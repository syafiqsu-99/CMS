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VSC projects\CMS\"/>
    </mc:Choice>
  </mc:AlternateContent>
  <xr:revisionPtr revIDLastSave="0" documentId="13_ncr:9_{75FE9BD0-435B-44EE-8C19-7C178E64F012}" xr6:coauthVersionLast="47" xr6:coauthVersionMax="47" xr10:uidLastSave="{00000000-0000-0000-0000-000000000000}"/>
  <bookViews>
    <workbookView xWindow="-110" yWindow="-110" windowWidth="19420" windowHeight="10420" xr2:uid="{0D5BEB57-31E2-41CA-B0E0-5BEF9716D2EB}"/>
  </bookViews>
  <sheets>
    <sheet name="Production Report" sheetId="1" r:id="rId1"/>
    <sheet name="Reference Card" sheetId="3" r:id="rId2"/>
  </sheets>
  <definedNames>
    <definedName name="_xlnm._FilterDatabase" localSheetId="1" hidden="1">'Reference Card'!$A$6:$J$1133</definedName>
    <definedName name="ReferenceCard">Reference_Card[]</definedName>
    <definedName name="SAPBEXrevision" hidden="1">9</definedName>
    <definedName name="SAPBEXsysID" hidden="1">"B02"</definedName>
    <definedName name="SAPBEXwbID" hidden="1">"4HMBZILWGVKR7328UQ3Z0URZX"</definedName>
  </definedNames>
  <calcPr calcId="0"/>
</workbook>
</file>

<file path=xl/calcChain.xml><?xml version="1.0" encoding="utf-8"?>
<calcChain xmlns="http://schemas.openxmlformats.org/spreadsheetml/2006/main">
  <c r="D4" i="1" l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 s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 s="1"/>
  <c r="D207" i="1" a="1"/>
  <c r="D207" i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 s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301" i="1" a="1"/>
  <c r="D301" i="1" s="1"/>
  <c r="D302" i="1" a="1"/>
  <c r="D302" i="1" s="1"/>
  <c r="D303" i="1" a="1"/>
  <c r="D303" i="1" s="1"/>
  <c r="D304" i="1" a="1"/>
  <c r="D304" i="1" s="1"/>
  <c r="D305" i="1" a="1"/>
  <c r="D305" i="1" s="1"/>
  <c r="D306" i="1" a="1"/>
  <c r="D306" i="1" s="1"/>
  <c r="D307" i="1" a="1"/>
  <c r="D307" i="1" s="1"/>
  <c r="D308" i="1" a="1"/>
  <c r="D308" i="1" s="1"/>
  <c r="D309" i="1" a="1"/>
  <c r="D309" i="1" s="1"/>
  <c r="D310" i="1" a="1"/>
  <c r="D310" i="1" s="1"/>
  <c r="D311" i="1" a="1"/>
  <c r="D311" i="1" s="1"/>
  <c r="D312" i="1" a="1"/>
  <c r="D312" i="1" s="1"/>
  <c r="D313" i="1" a="1"/>
  <c r="D313" i="1" s="1"/>
  <c r="D314" i="1" a="1"/>
  <c r="D314" i="1" s="1"/>
  <c r="D315" i="1" a="1"/>
  <c r="D315" i="1"/>
  <c r="D316" i="1" a="1"/>
  <c r="D316" i="1" s="1"/>
  <c r="D317" i="1" a="1"/>
  <c r="D317" i="1" s="1"/>
  <c r="D318" i="1" a="1"/>
  <c r="D318" i="1" s="1"/>
  <c r="D319" i="1" a="1"/>
  <c r="D319" i="1" s="1"/>
  <c r="D320" i="1" a="1"/>
  <c r="D320" i="1" s="1"/>
  <c r="D321" i="1" a="1"/>
  <c r="D321" i="1" s="1"/>
  <c r="D322" i="1" a="1"/>
  <c r="D322" i="1" s="1"/>
  <c r="D323" i="1" a="1"/>
  <c r="D323" i="1" s="1"/>
  <c r="D324" i="1" a="1"/>
  <c r="D324" i="1" s="1"/>
  <c r="D325" i="1" a="1"/>
  <c r="D325" i="1" s="1"/>
  <c r="D326" i="1" a="1"/>
  <c r="D326" i="1" s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/>
  <c r="D334" i="1" a="1"/>
  <c r="D334" i="1" s="1"/>
  <c r="D335" i="1" a="1"/>
  <c r="D335" i="1" s="1"/>
  <c r="D336" i="1" a="1"/>
  <c r="D336" i="1" s="1"/>
  <c r="D337" i="1" a="1"/>
  <c r="D337" i="1" s="1"/>
  <c r="D338" i="1" a="1"/>
  <c r="D338" i="1" s="1"/>
  <c r="D339" i="1" a="1"/>
  <c r="D339" i="1" s="1"/>
  <c r="D340" i="1" a="1"/>
  <c r="D340" i="1" s="1"/>
  <c r="D341" i="1" a="1"/>
  <c r="D341" i="1" s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 s="1"/>
  <c r="D349" i="1" a="1"/>
  <c r="D349" i="1" s="1"/>
  <c r="D350" i="1" a="1"/>
  <c r="D350" i="1" s="1"/>
  <c r="D351" i="1" a="1"/>
  <c r="D351" i="1"/>
  <c r="D352" i="1" a="1"/>
  <c r="D352" i="1" s="1"/>
  <c r="D353" i="1" a="1"/>
  <c r="D353" i="1" s="1"/>
  <c r="D354" i="1" a="1"/>
  <c r="D354" i="1" s="1"/>
  <c r="D355" i="1" a="1"/>
  <c r="D355" i="1" s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 s="1"/>
  <c r="D372" i="1" a="1"/>
  <c r="D372" i="1" s="1"/>
  <c r="D373" i="1" a="1"/>
  <c r="D373" i="1" s="1"/>
  <c r="D374" i="1" a="1"/>
  <c r="D374" i="1" s="1"/>
  <c r="D375" i="1" a="1"/>
  <c r="D375" i="1" s="1"/>
  <c r="D376" i="1" a="1"/>
  <c r="D376" i="1" s="1"/>
  <c r="D377" i="1" a="1"/>
  <c r="D377" i="1" s="1"/>
  <c r="D378" i="1" a="1"/>
  <c r="D378" i="1" s="1"/>
  <c r="D379" i="1" a="1"/>
  <c r="D379" i="1" s="1"/>
  <c r="D380" i="1" a="1"/>
  <c r="D380" i="1" s="1"/>
  <c r="D381" i="1" a="1"/>
  <c r="D381" i="1" s="1"/>
  <c r="D382" i="1" a="1"/>
  <c r="D382" i="1" s="1"/>
  <c r="D383" i="1" a="1"/>
  <c r="D383" i="1" s="1"/>
  <c r="D384" i="1" a="1"/>
  <c r="D384" i="1" s="1"/>
  <c r="D385" i="1" a="1"/>
  <c r="D385" i="1" s="1"/>
  <c r="D386" i="1" a="1"/>
  <c r="D386" i="1" s="1"/>
  <c r="D387" i="1" a="1"/>
  <c r="D387" i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D488" i="1" a="1"/>
  <c r="D488" i="1" s="1"/>
  <c r="D489" i="1" a="1"/>
  <c r="D489" i="1" s="1"/>
  <c r="D490" i="1" a="1"/>
  <c r="D490" i="1" s="1"/>
  <c r="D491" i="1" a="1"/>
  <c r="D491" i="1" s="1"/>
  <c r="D492" i="1" a="1"/>
  <c r="D492" i="1" s="1"/>
  <c r="D493" i="1" a="1"/>
  <c r="D493" i="1" s="1"/>
  <c r="D494" i="1" a="1"/>
  <c r="D494" i="1" s="1"/>
  <c r="D495" i="1" a="1"/>
  <c r="D495" i="1" s="1"/>
  <c r="D496" i="1" a="1"/>
  <c r="D496" i="1" s="1"/>
  <c r="D497" i="1" a="1"/>
  <c r="D497" i="1" s="1"/>
  <c r="D498" i="1" a="1"/>
  <c r="D498" i="1" s="1"/>
  <c r="D499" i="1" a="1"/>
  <c r="D499" i="1" s="1"/>
  <c r="D500" i="1" a="1"/>
  <c r="D500" i="1" s="1"/>
  <c r="D501" i="1" a="1"/>
  <c r="D501" i="1" s="1"/>
  <c r="D502" i="1" a="1"/>
  <c r="D502" i="1" s="1"/>
  <c r="D503" i="1" a="1"/>
  <c r="D503" i="1" s="1"/>
  <c r="D504" i="1" a="1"/>
  <c r="D504" i="1" s="1"/>
  <c r="D505" i="1" a="1"/>
  <c r="D505" i="1" s="1"/>
  <c r="D506" i="1" a="1"/>
  <c r="D506" i="1" s="1"/>
  <c r="D507" i="1" a="1"/>
  <c r="D507" i="1" s="1"/>
  <c r="D508" i="1" a="1"/>
  <c r="D508" i="1" s="1"/>
  <c r="D509" i="1" a="1"/>
  <c r="D509" i="1" s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/>
  <c r="D526" i="1" a="1"/>
  <c r="D526" i="1" s="1"/>
  <c r="D527" i="1" a="1"/>
  <c r="D527" i="1" s="1"/>
  <c r="D528" i="1" a="1"/>
  <c r="D528" i="1"/>
  <c r="D529" i="1" a="1"/>
  <c r="D529" i="1" s="1"/>
  <c r="D530" i="1" a="1"/>
  <c r="D530" i="1" s="1"/>
  <c r="D531" i="1" a="1"/>
  <c r="D531" i="1" s="1"/>
  <c r="D532" i="1" a="1"/>
  <c r="D532" i="1" s="1"/>
  <c r="D533" i="1" a="1"/>
  <c r="D533" i="1"/>
  <c r="D534" i="1" a="1"/>
  <c r="D534" i="1" s="1"/>
  <c r="D535" i="1" a="1"/>
  <c r="D535" i="1" s="1"/>
  <c r="D536" i="1" a="1"/>
  <c r="D536" i="1" s="1"/>
  <c r="D537" i="1" a="1"/>
  <c r="D537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/>
  <c r="D562" i="1" a="1"/>
  <c r="D562" i="1" s="1"/>
  <c r="D563" i="1" a="1"/>
  <c r="D563" i="1"/>
  <c r="D564" i="1" a="1"/>
  <c r="D564" i="1" s="1"/>
  <c r="D565" i="1" a="1"/>
  <c r="D565" i="1" s="1"/>
  <c r="D566" i="1" a="1"/>
  <c r="D566" i="1" s="1"/>
  <c r="D567" i="1" a="1"/>
  <c r="D567" i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/>
  <c r="D580" i="1" a="1"/>
  <c r="D580" i="1" s="1"/>
  <c r="D581" i="1" a="1"/>
  <c r="D581" i="1"/>
  <c r="D582" i="1" a="1"/>
  <c r="D582" i="1" s="1"/>
  <c r="D583" i="1" a="1"/>
  <c r="D583" i="1" s="1"/>
  <c r="D584" i="1" a="1"/>
  <c r="D584" i="1" s="1"/>
  <c r="D585" i="1" a="1"/>
  <c r="D585" i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 s="1"/>
  <c r="D595" i="1" a="1"/>
  <c r="D595" i="1" s="1"/>
  <c r="D596" i="1" a="1"/>
  <c r="D596" i="1" s="1"/>
  <c r="D597" i="1" a="1"/>
  <c r="D597" i="1" s="1"/>
  <c r="D598" i="1" a="1"/>
  <c r="D598" i="1" s="1"/>
  <c r="D599" i="1" a="1"/>
  <c r="D599" i="1" s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/>
  <c r="D606" i="1" a="1"/>
  <c r="D606" i="1" s="1"/>
  <c r="D607" i="1" a="1"/>
  <c r="D607" i="1" s="1"/>
  <c r="D608" i="1" a="1"/>
  <c r="D608" i="1" s="1"/>
  <c r="D609" i="1" a="1"/>
  <c r="D609" i="1" s="1"/>
  <c r="D610" i="1" a="1"/>
  <c r="D610" i="1"/>
  <c r="D611" i="1" a="1"/>
  <c r="D611" i="1" s="1"/>
  <c r="D612" i="1" a="1"/>
  <c r="D612" i="1" s="1"/>
  <c r="D613" i="1" a="1"/>
  <c r="D613" i="1" s="1"/>
  <c r="D614" i="1" a="1"/>
  <c r="D614" i="1" s="1"/>
  <c r="D615" i="1" a="1"/>
  <c r="D615" i="1" s="1"/>
  <c r="D616" i="1" a="1"/>
  <c r="D616" i="1" s="1"/>
  <c r="D617" i="1" a="1"/>
  <c r="D617" i="1" s="1"/>
  <c r="D618" i="1" a="1"/>
  <c r="D618" i="1" s="1"/>
  <c r="D619" i="1" a="1"/>
  <c r="D619" i="1"/>
  <c r="D620" i="1" a="1"/>
  <c r="D620" i="1" s="1"/>
  <c r="D621" i="1" a="1"/>
  <c r="D621" i="1" s="1"/>
  <c r="D622" i="1" a="1"/>
  <c r="D622" i="1" s="1"/>
  <c r="D623" i="1" a="1"/>
  <c r="D623" i="1" s="1"/>
  <c r="D624" i="1" a="1"/>
  <c r="D624" i="1" s="1"/>
  <c r="D625" i="1" a="1"/>
  <c r="D625" i="1" s="1"/>
  <c r="D626" i="1" a="1"/>
  <c r="D626" i="1"/>
  <c r="D627" i="1" a="1"/>
  <c r="D627" i="1" s="1"/>
  <c r="D628" i="1" a="1"/>
  <c r="D628" i="1"/>
  <c r="D629" i="1" a="1"/>
  <c r="D629" i="1" s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 s="1"/>
  <c r="D637" i="1" a="1"/>
  <c r="D637" i="1" s="1"/>
  <c r="D638" i="1" a="1"/>
  <c r="D638" i="1" s="1"/>
  <c r="D639" i="1" a="1"/>
  <c r="D639" i="1" s="1"/>
  <c r="D640" i="1" a="1"/>
  <c r="D640" i="1" s="1"/>
  <c r="D641" i="1" a="1"/>
  <c r="D641" i="1" s="1"/>
  <c r="D642" i="1" a="1"/>
  <c r="D642" i="1" s="1"/>
  <c r="D643" i="1" a="1"/>
  <c r="D643" i="1" s="1"/>
  <c r="D644" i="1" a="1"/>
  <c r="D644" i="1" s="1"/>
  <c r="D645" i="1" a="1"/>
  <c r="D645" i="1" s="1"/>
  <c r="D646" i="1" a="1"/>
  <c r="D646" i="1" s="1"/>
  <c r="D647" i="1" a="1"/>
  <c r="D647" i="1" s="1"/>
  <c r="D648" i="1" a="1"/>
  <c r="D648" i="1" s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 s="1"/>
  <c r="D655" i="1" a="1"/>
  <c r="D655" i="1" s="1"/>
  <c r="D656" i="1" a="1"/>
  <c r="D656" i="1" s="1"/>
  <c r="D657" i="1" a="1"/>
  <c r="D657" i="1" s="1"/>
  <c r="D658" i="1" a="1"/>
  <c r="D658" i="1"/>
  <c r="D659" i="1" a="1"/>
  <c r="D659" i="1" s="1"/>
  <c r="D660" i="1" a="1"/>
  <c r="D660" i="1" s="1"/>
  <c r="D661" i="1" a="1"/>
  <c r="D661" i="1" s="1"/>
  <c r="D662" i="1" a="1"/>
  <c r="D662" i="1"/>
  <c r="D663" i="1" a="1"/>
  <c r="D663" i="1" s="1"/>
  <c r="D664" i="1" a="1"/>
  <c r="D664" i="1" s="1"/>
  <c r="D665" i="1" a="1"/>
  <c r="D665" i="1" s="1"/>
  <c r="D666" i="1" a="1"/>
  <c r="D666" i="1" s="1"/>
  <c r="D667" i="1" a="1"/>
  <c r="D667" i="1" s="1"/>
  <c r="D668" i="1" a="1"/>
  <c r="D668" i="1" s="1"/>
  <c r="D669" i="1" a="1"/>
  <c r="D669" i="1" s="1"/>
  <c r="D670" i="1" a="1"/>
  <c r="D670" i="1" s="1"/>
  <c r="D671" i="1" a="1"/>
  <c r="D671" i="1" s="1"/>
  <c r="D672" i="1" a="1"/>
  <c r="D672" i="1"/>
  <c r="D673" i="1" a="1"/>
  <c r="D673" i="1" s="1"/>
  <c r="D674" i="1" a="1"/>
  <c r="D674" i="1"/>
  <c r="D675" i="1" a="1"/>
  <c r="D675" i="1" s="1"/>
  <c r="D676" i="1" a="1"/>
  <c r="D676" i="1" s="1"/>
  <c r="D677" i="1" a="1"/>
  <c r="D677" i="1" s="1"/>
  <c r="D678" i="1" a="1"/>
  <c r="D678" i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/>
  <c r="D685" i="1" a="1"/>
  <c r="D685" i="1" s="1"/>
  <c r="D686" i="1" a="1"/>
  <c r="D686" i="1" s="1"/>
  <c r="D687" i="1" a="1"/>
  <c r="D687" i="1" s="1"/>
  <c r="D688" i="1" a="1"/>
  <c r="D688" i="1" s="1"/>
  <c r="D689" i="1" a="1"/>
  <c r="D689" i="1" s="1"/>
  <c r="D690" i="1" a="1"/>
  <c r="D690" i="1"/>
  <c r="D691" i="1" a="1"/>
  <c r="D691" i="1" s="1"/>
  <c r="D692" i="1" a="1"/>
  <c r="D692" i="1" s="1"/>
  <c r="D693" i="1" a="1"/>
  <c r="D693" i="1" s="1"/>
  <c r="D694" i="1" a="1"/>
  <c r="D694" i="1" s="1"/>
  <c r="D695" i="1" a="1"/>
  <c r="D695" i="1" s="1"/>
  <c r="D696" i="1" a="1"/>
  <c r="D696" i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 s="1"/>
  <c r="D703" i="1" a="1"/>
  <c r="D703" i="1" s="1"/>
  <c r="D704" i="1" a="1"/>
  <c r="D704" i="1" s="1"/>
  <c r="D705" i="1" a="1"/>
  <c r="D705" i="1" s="1"/>
  <c r="D706" i="1" a="1"/>
  <c r="D706" i="1" s="1"/>
  <c r="D707" i="1" a="1"/>
  <c r="D707" i="1" s="1"/>
  <c r="D708" i="1" a="1"/>
  <c r="D708" i="1" s="1"/>
  <c r="D709" i="1" a="1"/>
  <c r="D709" i="1" s="1"/>
  <c r="D710" i="1" a="1"/>
  <c r="D710" i="1" s="1"/>
  <c r="D711" i="1" a="1"/>
  <c r="D711" i="1" s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 s="1"/>
  <c r="D723" i="1" a="1"/>
  <c r="D723" i="1" s="1"/>
  <c r="D724" i="1" a="1"/>
  <c r="D724" i="1" s="1"/>
  <c r="D725" i="1" a="1"/>
  <c r="D725" i="1" s="1"/>
  <c r="D726" i="1" a="1"/>
  <c r="D726" i="1"/>
  <c r="D727" i="1" a="1"/>
  <c r="D727" i="1" s="1"/>
  <c r="D728" i="1" a="1"/>
  <c r="D728" i="1" s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 s="1"/>
  <c r="D735" i="1" a="1"/>
  <c r="D735" i="1" s="1"/>
  <c r="D736" i="1" a="1"/>
  <c r="D736" i="1" s="1"/>
  <c r="D737" i="1" a="1"/>
  <c r="D737" i="1" s="1"/>
  <c r="D738" i="1" a="1"/>
  <c r="D738" i="1" s="1"/>
  <c r="D739" i="1" a="1"/>
  <c r="D739" i="1" s="1"/>
  <c r="D740" i="1" a="1"/>
  <c r="D740" i="1" s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 s="1"/>
  <c r="D750" i="1" a="1"/>
  <c r="D750" i="1"/>
  <c r="D751" i="1" a="1"/>
  <c r="D751" i="1" s="1"/>
  <c r="D752" i="1" a="1"/>
  <c r="D752" i="1" s="1"/>
  <c r="D753" i="1" a="1"/>
  <c r="D753" i="1" s="1"/>
  <c r="D754" i="1" a="1"/>
  <c r="D754" i="1" s="1"/>
  <c r="D755" i="1" a="1"/>
  <c r="D755" i="1" s="1"/>
  <c r="D756" i="1" a="1"/>
  <c r="D756" i="1" s="1"/>
  <c r="D757" i="1" a="1"/>
  <c r="D757" i="1" s="1"/>
  <c r="D758" i="1" a="1"/>
  <c r="D758" i="1" s="1"/>
  <c r="D759" i="1" a="1"/>
  <c r="D759" i="1" s="1"/>
  <c r="D760" i="1" a="1"/>
  <c r="D760" i="1" s="1"/>
  <c r="D761" i="1" a="1"/>
  <c r="D761" i="1" s="1"/>
  <c r="D762" i="1" a="1"/>
  <c r="D762" i="1" s="1"/>
  <c r="D763" i="1" a="1"/>
  <c r="D763" i="1" s="1"/>
  <c r="D764" i="1" a="1"/>
  <c r="D764" i="1" s="1"/>
  <c r="D765" i="1" a="1"/>
  <c r="D765" i="1" s="1"/>
  <c r="D766" i="1" a="1"/>
  <c r="D766" i="1" s="1"/>
  <c r="D767" i="1" a="1"/>
  <c r="D767" i="1" s="1"/>
  <c r="D768" i="1" a="1"/>
  <c r="D768" i="1"/>
  <c r="D769" i="1" a="1"/>
  <c r="D769" i="1" s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 s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 s="1"/>
  <c r="D796" i="1" a="1"/>
  <c r="D796" i="1" s="1"/>
  <c r="D797" i="1" a="1"/>
  <c r="D797" i="1" s="1"/>
  <c r="D798" i="1" a="1"/>
  <c r="D798" i="1" s="1"/>
  <c r="D799" i="1" a="1"/>
  <c r="D799" i="1" s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 s="1"/>
  <c r="D809" i="1" a="1"/>
  <c r="D809" i="1" s="1"/>
  <c r="D810" i="1" a="1"/>
  <c r="D810" i="1" s="1"/>
  <c r="D811" i="1" a="1"/>
  <c r="D811" i="1" s="1"/>
  <c r="D812" i="1" a="1"/>
  <c r="D812" i="1" s="1"/>
  <c r="D813" i="1" a="1"/>
  <c r="D813" i="1" s="1"/>
  <c r="D814" i="1" a="1"/>
  <c r="D814" i="1" s="1"/>
  <c r="D815" i="1" a="1"/>
  <c r="D815" i="1" s="1"/>
  <c r="D816" i="1" a="1"/>
  <c r="D816" i="1" s="1"/>
  <c r="D817" i="1" a="1"/>
  <c r="D817" i="1" s="1"/>
  <c r="D818" i="1" a="1"/>
  <c r="D818" i="1" s="1"/>
  <c r="D819" i="1" a="1"/>
  <c r="D819" i="1" s="1"/>
  <c r="D820" i="1" a="1"/>
  <c r="D820" i="1" s="1"/>
  <c r="D821" i="1" a="1"/>
  <c r="D821" i="1" s="1"/>
  <c r="D822" i="1" a="1"/>
  <c r="D822" i="1" s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 s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/>
  <c r="D841" i="1" a="1"/>
  <c r="D841" i="1" s="1"/>
  <c r="D842" i="1" a="1"/>
  <c r="D842" i="1" s="1"/>
  <c r="D843" i="1" a="1"/>
  <c r="D843" i="1" s="1"/>
  <c r="D844" i="1" a="1"/>
  <c r="D844" i="1" s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 s="1"/>
  <c r="D851" i="1" a="1"/>
  <c r="D851" i="1" s="1"/>
  <c r="D852" i="1" a="1"/>
  <c r="D852" i="1" s="1"/>
  <c r="D853" i="1" a="1"/>
  <c r="D853" i="1" s="1"/>
  <c r="D854" i="1" a="1"/>
  <c r="D854" i="1" s="1"/>
  <c r="D855" i="1" a="1"/>
  <c r="D855" i="1" s="1"/>
  <c r="D856" i="1" a="1"/>
  <c r="D856" i="1" s="1"/>
  <c r="D857" i="1" a="1"/>
  <c r="D857" i="1" s="1"/>
  <c r="D858" i="1" a="1"/>
  <c r="D858" i="1" s="1"/>
  <c r="D859" i="1" a="1"/>
  <c r="D859" i="1" s="1"/>
  <c r="D860" i="1" a="1"/>
  <c r="D860" i="1" s="1"/>
  <c r="D861" i="1" a="1"/>
  <c r="D861" i="1" s="1"/>
  <c r="D862" i="1" a="1"/>
  <c r="D862" i="1" s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 s="1"/>
  <c r="D879" i="1" a="1"/>
  <c r="D879" i="1" s="1"/>
  <c r="D880" i="1" a="1"/>
  <c r="D880" i="1" s="1"/>
  <c r="D881" i="1" a="1"/>
  <c r="D881" i="1" s="1"/>
  <c r="D882" i="1" a="1"/>
  <c r="D882" i="1" s="1"/>
  <c r="D883" i="1" a="1"/>
  <c r="D883" i="1" s="1"/>
  <c r="D884" i="1" a="1"/>
  <c r="D884" i="1" s="1"/>
  <c r="D885" i="1" a="1"/>
  <c r="D885" i="1" s="1"/>
  <c r="D886" i="1" a="1"/>
  <c r="D886" i="1" s="1"/>
  <c r="D887" i="1" a="1"/>
  <c r="D887" i="1" s="1"/>
  <c r="D888" i="1" a="1"/>
  <c r="D888" i="1" s="1"/>
  <c r="D889" i="1" a="1"/>
  <c r="D889" i="1" s="1"/>
  <c r="D890" i="1" a="1"/>
  <c r="D890" i="1" s="1"/>
  <c r="D891" i="1" a="1"/>
  <c r="D891" i="1" s="1"/>
  <c r="D892" i="1" a="1"/>
  <c r="D892" i="1" s="1"/>
  <c r="D893" i="1" a="1"/>
  <c r="D893" i="1" s="1"/>
  <c r="D894" i="1" a="1"/>
  <c r="D894" i="1"/>
  <c r="D895" i="1" a="1"/>
  <c r="D895" i="1" s="1"/>
  <c r="D896" i="1" a="1"/>
  <c r="D896" i="1" s="1"/>
  <c r="D897" i="1" a="1"/>
  <c r="D897" i="1" s="1"/>
  <c r="D898" i="1" a="1"/>
  <c r="D898" i="1" s="1"/>
  <c r="D899" i="1" a="1"/>
  <c r="D899" i="1" s="1"/>
  <c r="D900" i="1" a="1"/>
  <c r="D900" i="1" s="1"/>
  <c r="D901" i="1" a="1"/>
  <c r="D901" i="1" s="1"/>
  <c r="D902" i="1" a="1"/>
  <c r="D902" i="1" s="1"/>
  <c r="D903" i="1" a="1"/>
  <c r="D903" i="1" s="1"/>
  <c r="D904" i="1" a="1"/>
  <c r="D904" i="1" s="1"/>
  <c r="D905" i="1" a="1"/>
  <c r="D905" i="1" s="1"/>
  <c r="D906" i="1" a="1"/>
  <c r="D906" i="1" s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/>
  <c r="D913" i="1" a="1"/>
  <c r="D913" i="1" s="1"/>
  <c r="D914" i="1" a="1"/>
  <c r="D914" i="1" s="1"/>
  <c r="D915" i="1" a="1"/>
  <c r="D915" i="1" s="1"/>
  <c r="D916" i="1" a="1"/>
  <c r="D916" i="1" s="1"/>
  <c r="D917" i="1" a="1"/>
  <c r="D917" i="1" s="1"/>
  <c r="D918" i="1" a="1"/>
  <c r="D918" i="1" s="1"/>
  <c r="D919" i="1" a="1"/>
  <c r="D919" i="1" s="1"/>
  <c r="D920" i="1" a="1"/>
  <c r="D920" i="1" s="1"/>
  <c r="D921" i="1" a="1"/>
  <c r="D921" i="1" s="1"/>
  <c r="D922" i="1" a="1"/>
  <c r="D922" i="1" s="1"/>
  <c r="D923" i="1" a="1"/>
  <c r="D923" i="1" s="1"/>
  <c r="D924" i="1" a="1"/>
  <c r="D924" i="1" s="1"/>
  <c r="D925" i="1" a="1"/>
  <c r="D925" i="1" s="1"/>
  <c r="D926" i="1" a="1"/>
  <c r="D926" i="1" s="1"/>
  <c r="D927" i="1" a="1"/>
  <c r="D927" i="1" s="1"/>
  <c r="D928" i="1" a="1"/>
  <c r="D928" i="1" s="1"/>
  <c r="D929" i="1" a="1"/>
  <c r="D929" i="1" s="1"/>
  <c r="D930" i="1" a="1"/>
  <c r="D930" i="1"/>
  <c r="D931" i="1" a="1"/>
  <c r="D931" i="1" s="1"/>
  <c r="D932" i="1" a="1"/>
  <c r="D932" i="1" s="1"/>
  <c r="D933" i="1" a="1"/>
  <c r="D933" i="1" s="1"/>
  <c r="D934" i="1" a="1"/>
  <c r="D934" i="1" s="1"/>
  <c r="D935" i="1" a="1"/>
  <c r="D935" i="1" s="1"/>
  <c r="D936" i="1" a="1"/>
  <c r="D936" i="1" s="1"/>
  <c r="D937" i="1" a="1"/>
  <c r="D937" i="1" s="1"/>
  <c r="D938" i="1" a="1"/>
  <c r="D938" i="1" s="1"/>
  <c r="D939" i="1" a="1"/>
  <c r="D939" i="1" s="1"/>
  <c r="D940" i="1" a="1"/>
  <c r="D940" i="1" s="1"/>
  <c r="D941" i="1" a="1"/>
  <c r="D941" i="1" s="1"/>
  <c r="D942" i="1" a="1"/>
  <c r="D942" i="1" s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 s="1"/>
  <c r="D955" i="1" a="1"/>
  <c r="D955" i="1" s="1"/>
  <c r="D956" i="1" a="1"/>
  <c r="D956" i="1" s="1"/>
  <c r="D957" i="1" a="1"/>
  <c r="D957" i="1" s="1"/>
  <c r="D958" i="1" a="1"/>
  <c r="D958" i="1" s="1"/>
  <c r="D959" i="1" a="1"/>
  <c r="D959" i="1" s="1"/>
  <c r="D3" i="1" a="1"/>
  <c r="D3" i="1" s="1"/>
  <c r="AC560" i="1" a="1"/>
  <c r="AC560" i="1" s="1"/>
  <c r="AC561" i="1" a="1"/>
  <c r="AC561" i="1" s="1"/>
  <c r="AC562" i="1" a="1"/>
  <c r="AC562" i="1" s="1"/>
  <c r="AC563" i="1" a="1"/>
  <c r="AC563" i="1" s="1"/>
  <c r="AC564" i="1" a="1"/>
  <c r="AC564" i="1" s="1"/>
  <c r="AC565" i="1" a="1"/>
  <c r="AC565" i="1" s="1"/>
  <c r="AC566" i="1" a="1"/>
  <c r="AC566" i="1" s="1"/>
  <c r="AC567" i="1" a="1"/>
  <c r="AC567" i="1" s="1"/>
  <c r="AC568" i="1" a="1"/>
  <c r="AC568" i="1" s="1"/>
  <c r="AC569" i="1" a="1"/>
  <c r="AC569" i="1" s="1"/>
  <c r="AC570" i="1" a="1"/>
  <c r="AC570" i="1" s="1"/>
  <c r="AC571" i="1" a="1"/>
  <c r="AC571" i="1" s="1"/>
  <c r="AC572" i="1" a="1"/>
  <c r="AC572" i="1" s="1"/>
  <c r="AC573" i="1" a="1"/>
  <c r="AC573" i="1" s="1"/>
  <c r="AC574" i="1" a="1"/>
  <c r="AC574" i="1" s="1"/>
  <c r="AC575" i="1" a="1"/>
  <c r="AC575" i="1" s="1"/>
  <c r="AC576" i="1" a="1"/>
  <c r="AC576" i="1" s="1"/>
  <c r="AC577" i="1" a="1"/>
  <c r="AC577" i="1" s="1"/>
  <c r="AC578" i="1" a="1"/>
  <c r="AC578" i="1" s="1"/>
  <c r="AC579" i="1" a="1"/>
  <c r="AC579" i="1" s="1"/>
  <c r="AC580" i="1" a="1"/>
  <c r="AC580" i="1" s="1"/>
  <c r="AC581" i="1" a="1"/>
  <c r="AC581" i="1" s="1"/>
  <c r="AC582" i="1" a="1"/>
  <c r="AC582" i="1" s="1"/>
  <c r="AC583" i="1" a="1"/>
  <c r="AC583" i="1" s="1"/>
  <c r="AC584" i="1" a="1"/>
  <c r="AC584" i="1" s="1"/>
  <c r="AC585" i="1" a="1"/>
  <c r="AC585" i="1" s="1"/>
  <c r="AC586" i="1" a="1"/>
  <c r="AC586" i="1" s="1"/>
  <c r="AC587" i="1" a="1"/>
  <c r="AC587" i="1" s="1"/>
  <c r="AC588" i="1" a="1"/>
  <c r="AC588" i="1" s="1"/>
  <c r="AC589" i="1" a="1"/>
  <c r="AC589" i="1" s="1"/>
  <c r="AC590" i="1" a="1"/>
  <c r="AC590" i="1" s="1"/>
  <c r="AC591" i="1" a="1"/>
  <c r="AC591" i="1" s="1"/>
  <c r="AC592" i="1" a="1"/>
  <c r="AC592" i="1" s="1"/>
  <c r="AC593" i="1" a="1"/>
  <c r="AC593" i="1" s="1"/>
  <c r="AC594" i="1" a="1"/>
  <c r="AC594" i="1" s="1"/>
  <c r="AC595" i="1" a="1"/>
  <c r="AC595" i="1" s="1"/>
  <c r="AC596" i="1" a="1"/>
  <c r="AC596" i="1" s="1"/>
  <c r="AC597" i="1" a="1"/>
  <c r="AC597" i="1" s="1"/>
  <c r="AC598" i="1" a="1"/>
  <c r="AC598" i="1" s="1"/>
  <c r="AC599" i="1" a="1"/>
  <c r="AC599" i="1" s="1"/>
  <c r="AC600" i="1" a="1"/>
  <c r="AC600" i="1" s="1"/>
  <c r="AC601" i="1" a="1"/>
  <c r="AC601" i="1" s="1"/>
  <c r="AC602" i="1" a="1"/>
  <c r="AC602" i="1" s="1"/>
  <c r="AC603" i="1" a="1"/>
  <c r="AC603" i="1" s="1"/>
  <c r="AC604" i="1" a="1"/>
  <c r="AC604" i="1" s="1"/>
  <c r="AC605" i="1" a="1"/>
  <c r="AC605" i="1" s="1"/>
  <c r="AC606" i="1" a="1"/>
  <c r="AC606" i="1" s="1"/>
  <c r="AC607" i="1" a="1"/>
  <c r="AC607" i="1" s="1"/>
  <c r="AC608" i="1" a="1"/>
  <c r="AC608" i="1" s="1"/>
  <c r="AC609" i="1" a="1"/>
  <c r="AC609" i="1" s="1"/>
  <c r="AC610" i="1" a="1"/>
  <c r="AC610" i="1" s="1"/>
  <c r="AC611" i="1" a="1"/>
  <c r="AC611" i="1" s="1"/>
  <c r="AC612" i="1" a="1"/>
  <c r="AC612" i="1" s="1"/>
  <c r="AC613" i="1" a="1"/>
  <c r="AC613" i="1"/>
  <c r="AC614" i="1" a="1"/>
  <c r="AC614" i="1" s="1"/>
  <c r="AC615" i="1" a="1"/>
  <c r="AC615" i="1" s="1"/>
  <c r="AC616" i="1" a="1"/>
  <c r="AC616" i="1" s="1"/>
  <c r="AC617" i="1" a="1"/>
  <c r="AC617" i="1" s="1"/>
  <c r="AC618" i="1" a="1"/>
  <c r="AC618" i="1" s="1"/>
  <c r="AC619" i="1" a="1"/>
  <c r="AC619" i="1" s="1"/>
  <c r="AC620" i="1" a="1"/>
  <c r="AC620" i="1" s="1"/>
  <c r="AC621" i="1" a="1"/>
  <c r="AC621" i="1" s="1"/>
  <c r="AC622" i="1" a="1"/>
  <c r="AC622" i="1" s="1"/>
  <c r="AC623" i="1" a="1"/>
  <c r="AC623" i="1" s="1"/>
  <c r="AC624" i="1" a="1"/>
  <c r="AC624" i="1" s="1"/>
  <c r="AC625" i="1" a="1"/>
  <c r="AC625" i="1" s="1"/>
  <c r="AC626" i="1" a="1"/>
  <c r="AC626" i="1" s="1"/>
  <c r="AC627" i="1" a="1"/>
  <c r="AC627" i="1" s="1"/>
  <c r="AC628" i="1" a="1"/>
  <c r="AC628" i="1" s="1"/>
  <c r="AC629" i="1" a="1"/>
  <c r="AC629" i="1" s="1"/>
  <c r="AC630" i="1" a="1"/>
  <c r="AC630" i="1" s="1"/>
  <c r="AC631" i="1" a="1"/>
  <c r="AC631" i="1" s="1"/>
  <c r="AC632" i="1" a="1"/>
  <c r="AC632" i="1" s="1"/>
  <c r="AC633" i="1" a="1"/>
  <c r="AC633" i="1" s="1"/>
  <c r="AC634" i="1" a="1"/>
  <c r="AC634" i="1" s="1"/>
  <c r="AC635" i="1" a="1"/>
  <c r="AC635" i="1" s="1"/>
  <c r="AC636" i="1" a="1"/>
  <c r="AC636" i="1" s="1"/>
  <c r="AC637" i="1" a="1"/>
  <c r="AC637" i="1" s="1"/>
  <c r="AC638" i="1" a="1"/>
  <c r="AC638" i="1" s="1"/>
  <c r="AC639" i="1" a="1"/>
  <c r="AC639" i="1" s="1"/>
  <c r="AC640" i="1" a="1"/>
  <c r="AC640" i="1" s="1"/>
  <c r="AC641" i="1" a="1"/>
  <c r="AC641" i="1" s="1"/>
  <c r="AC642" i="1" a="1"/>
  <c r="AC642" i="1" s="1"/>
  <c r="AC643" i="1" a="1"/>
  <c r="AC643" i="1" s="1"/>
  <c r="AC644" i="1" a="1"/>
  <c r="AC644" i="1" s="1"/>
  <c r="AC645" i="1" a="1"/>
  <c r="AC645" i="1" s="1"/>
  <c r="AC646" i="1" a="1"/>
  <c r="AC646" i="1" s="1"/>
  <c r="AC647" i="1" a="1"/>
  <c r="AC647" i="1" s="1"/>
  <c r="AC648" i="1" a="1"/>
  <c r="AC648" i="1" s="1"/>
  <c r="AC649" i="1" a="1"/>
  <c r="AC649" i="1"/>
  <c r="AC650" i="1" a="1"/>
  <c r="AC650" i="1" s="1"/>
  <c r="AC651" i="1" a="1"/>
  <c r="AC651" i="1" s="1"/>
  <c r="AC652" i="1" a="1"/>
  <c r="AC652" i="1" s="1"/>
  <c r="AC653" i="1" a="1"/>
  <c r="AC653" i="1" s="1"/>
  <c r="AC654" i="1" a="1"/>
  <c r="AC654" i="1" s="1"/>
  <c r="AC655" i="1" a="1"/>
  <c r="AC655" i="1" s="1"/>
  <c r="AC656" i="1" a="1"/>
  <c r="AC656" i="1" s="1"/>
  <c r="AC657" i="1" a="1"/>
  <c r="AC657" i="1" s="1"/>
  <c r="AC658" i="1" a="1"/>
  <c r="AC658" i="1" s="1"/>
  <c r="AC659" i="1" a="1"/>
  <c r="AC659" i="1" s="1"/>
  <c r="AC660" i="1" a="1"/>
  <c r="AC660" i="1" s="1"/>
  <c r="AC661" i="1" a="1"/>
  <c r="AC661" i="1" s="1"/>
  <c r="AC662" i="1" a="1"/>
  <c r="AC662" i="1" s="1"/>
  <c r="AC663" i="1" a="1"/>
  <c r="AC663" i="1" s="1"/>
  <c r="AC664" i="1" a="1"/>
  <c r="AC664" i="1" s="1"/>
  <c r="AC665" i="1" a="1"/>
  <c r="AC665" i="1" s="1"/>
  <c r="AC666" i="1" a="1"/>
  <c r="AC666" i="1" s="1"/>
  <c r="AC667" i="1" a="1"/>
  <c r="AC667" i="1" s="1"/>
  <c r="AC668" i="1" a="1"/>
  <c r="AC668" i="1" s="1"/>
  <c r="AC669" i="1" a="1"/>
  <c r="AC669" i="1" s="1"/>
  <c r="AC670" i="1" a="1"/>
  <c r="AC670" i="1" s="1"/>
  <c r="AC671" i="1" a="1"/>
  <c r="AC671" i="1" s="1"/>
  <c r="AC672" i="1" a="1"/>
  <c r="AC672" i="1" s="1"/>
  <c r="AC673" i="1" a="1"/>
  <c r="AC673" i="1" s="1"/>
  <c r="AC674" i="1" a="1"/>
  <c r="AC674" i="1" s="1"/>
  <c r="AC675" i="1" a="1"/>
  <c r="AC675" i="1" s="1"/>
  <c r="AC676" i="1" a="1"/>
  <c r="AC676" i="1" s="1"/>
  <c r="AC677" i="1" a="1"/>
  <c r="AC677" i="1" s="1"/>
  <c r="AC678" i="1" a="1"/>
  <c r="AC678" i="1" s="1"/>
  <c r="AC679" i="1" a="1"/>
  <c r="AC679" i="1" s="1"/>
  <c r="AC680" i="1" a="1"/>
  <c r="AC680" i="1" s="1"/>
  <c r="AC681" i="1" a="1"/>
  <c r="AC681" i="1" s="1"/>
  <c r="AC682" i="1" a="1"/>
  <c r="AC682" i="1" s="1"/>
  <c r="AC683" i="1" a="1"/>
  <c r="AC683" i="1" s="1"/>
  <c r="AC684" i="1" a="1"/>
  <c r="AC684" i="1" s="1"/>
  <c r="AC685" i="1" a="1"/>
  <c r="AC685" i="1" s="1"/>
  <c r="AC686" i="1" a="1"/>
  <c r="AC686" i="1" s="1"/>
  <c r="AC687" i="1" a="1"/>
  <c r="AC687" i="1" s="1"/>
  <c r="AC688" i="1" a="1"/>
  <c r="AC688" i="1" s="1"/>
  <c r="AC689" i="1" a="1"/>
  <c r="AC689" i="1" s="1"/>
  <c r="AC690" i="1" a="1"/>
  <c r="AC690" i="1" s="1"/>
  <c r="AC691" i="1" a="1"/>
  <c r="AC691" i="1"/>
  <c r="AC692" i="1" a="1"/>
  <c r="AC692" i="1" s="1"/>
  <c r="AC693" i="1" a="1"/>
  <c r="AC693" i="1" s="1"/>
  <c r="AC694" i="1" a="1"/>
  <c r="AC694" i="1" s="1"/>
  <c r="AC695" i="1" a="1"/>
  <c r="AC695" i="1" s="1"/>
  <c r="AC696" i="1" a="1"/>
  <c r="AC696" i="1" s="1"/>
  <c r="AC697" i="1" a="1"/>
  <c r="AC697" i="1" s="1"/>
  <c r="AC698" i="1" a="1"/>
  <c r="AC698" i="1" s="1"/>
  <c r="AC699" i="1" a="1"/>
  <c r="AC699" i="1" s="1"/>
  <c r="AC700" i="1" a="1"/>
  <c r="AC700" i="1" s="1"/>
  <c r="AC701" i="1" a="1"/>
  <c r="AC701" i="1" s="1"/>
  <c r="AC702" i="1" a="1"/>
  <c r="AC702" i="1" s="1"/>
  <c r="AC703" i="1" a="1"/>
  <c r="AC703" i="1" s="1"/>
  <c r="AC704" i="1" a="1"/>
  <c r="AC704" i="1" s="1"/>
  <c r="AC705" i="1" a="1"/>
  <c r="AC705" i="1" s="1"/>
  <c r="AC706" i="1" a="1"/>
  <c r="AC706" i="1" s="1"/>
  <c r="AC707" i="1" a="1"/>
  <c r="AC707" i="1" s="1"/>
  <c r="AC708" i="1" a="1"/>
  <c r="AC708" i="1" s="1"/>
  <c r="AC709" i="1" a="1"/>
  <c r="AC709" i="1" s="1"/>
  <c r="AC710" i="1" a="1"/>
  <c r="AC710" i="1" s="1"/>
  <c r="AC711" i="1" a="1"/>
  <c r="AC711" i="1" s="1"/>
  <c r="AC712" i="1" a="1"/>
  <c r="AC712" i="1" s="1"/>
  <c r="AC713" i="1" a="1"/>
  <c r="AC713" i="1" s="1"/>
  <c r="AC714" i="1" a="1"/>
  <c r="AC714" i="1" s="1"/>
  <c r="AC715" i="1" a="1"/>
  <c r="AC715" i="1" s="1"/>
  <c r="AC716" i="1" a="1"/>
  <c r="AC716" i="1" s="1"/>
  <c r="AC717" i="1" a="1"/>
  <c r="AC717" i="1" s="1"/>
  <c r="AC718" i="1" a="1"/>
  <c r="AC718" i="1" s="1"/>
  <c r="AC719" i="1" a="1"/>
  <c r="AC719" i="1" s="1"/>
  <c r="AC720" i="1" a="1"/>
  <c r="AC720" i="1" s="1"/>
  <c r="AC721" i="1" a="1"/>
  <c r="AC721" i="1" s="1"/>
  <c r="AC722" i="1" a="1"/>
  <c r="AC722" i="1" s="1"/>
  <c r="AC723" i="1" a="1"/>
  <c r="AC723" i="1" s="1"/>
  <c r="AC724" i="1" a="1"/>
  <c r="AC724" i="1" s="1"/>
  <c r="AC725" i="1" a="1"/>
  <c r="AC725" i="1" s="1"/>
  <c r="AC726" i="1" a="1"/>
  <c r="AC726" i="1" s="1"/>
  <c r="AC727" i="1" a="1"/>
  <c r="AC727" i="1" s="1"/>
  <c r="AC728" i="1" a="1"/>
  <c r="AC728" i="1" s="1"/>
  <c r="AC729" i="1" a="1"/>
  <c r="AC729" i="1" s="1"/>
  <c r="AC730" i="1" a="1"/>
  <c r="AC730" i="1" s="1"/>
  <c r="AC731" i="1" a="1"/>
  <c r="AC731" i="1" s="1"/>
  <c r="AC732" i="1" a="1"/>
  <c r="AC732" i="1" s="1"/>
  <c r="AC733" i="1" a="1"/>
  <c r="AC733" i="1" s="1"/>
  <c r="AC734" i="1" a="1"/>
  <c r="AC734" i="1" s="1"/>
  <c r="AC735" i="1" a="1"/>
  <c r="AC735" i="1" s="1"/>
  <c r="AC736" i="1" a="1"/>
  <c r="AC736" i="1" s="1"/>
  <c r="AC737" i="1" a="1"/>
  <c r="AC737" i="1" s="1"/>
  <c r="AC738" i="1" a="1"/>
  <c r="AC738" i="1" s="1"/>
  <c r="AC739" i="1" a="1"/>
  <c r="AC739" i="1" s="1"/>
  <c r="AC740" i="1" a="1"/>
  <c r="AC740" i="1" s="1"/>
  <c r="AC741" i="1" a="1"/>
  <c r="AC741" i="1" s="1"/>
  <c r="AC742" i="1" a="1"/>
  <c r="AC742" i="1" s="1"/>
  <c r="AC743" i="1" a="1"/>
  <c r="AC743" i="1" s="1"/>
  <c r="AC744" i="1" a="1"/>
  <c r="AC744" i="1" s="1"/>
  <c r="AC745" i="1" a="1"/>
  <c r="AC745" i="1" s="1"/>
  <c r="AC746" i="1" a="1"/>
  <c r="AC746" i="1" s="1"/>
  <c r="AC747" i="1" a="1"/>
  <c r="AC747" i="1" s="1"/>
  <c r="AC748" i="1" a="1"/>
  <c r="AC748" i="1" s="1"/>
  <c r="AC749" i="1" a="1"/>
  <c r="AC749" i="1" s="1"/>
  <c r="AC750" i="1" a="1"/>
  <c r="AC750" i="1" s="1"/>
  <c r="AC751" i="1" a="1"/>
  <c r="AC751" i="1" s="1"/>
  <c r="AC752" i="1" a="1"/>
  <c r="AC752" i="1" s="1"/>
  <c r="AC753" i="1" a="1"/>
  <c r="AC753" i="1" s="1"/>
  <c r="AC754" i="1" a="1"/>
  <c r="AC754" i="1" s="1"/>
  <c r="AC755" i="1" a="1"/>
  <c r="AC755" i="1" s="1"/>
  <c r="AC756" i="1" a="1"/>
  <c r="AC756" i="1" s="1"/>
  <c r="AC757" i="1" a="1"/>
  <c r="AC757" i="1"/>
  <c r="AC758" i="1" a="1"/>
  <c r="AC758" i="1" s="1"/>
  <c r="AC759" i="1" a="1"/>
  <c r="AC759" i="1" s="1"/>
  <c r="AC760" i="1" a="1"/>
  <c r="AC760" i="1" s="1"/>
  <c r="AC761" i="1" a="1"/>
  <c r="AC761" i="1" s="1"/>
  <c r="AC762" i="1" a="1"/>
  <c r="AC762" i="1" s="1"/>
  <c r="AC763" i="1" a="1"/>
  <c r="AC763" i="1" s="1"/>
  <c r="AC764" i="1" a="1"/>
  <c r="AC764" i="1" s="1"/>
  <c r="AC765" i="1" a="1"/>
  <c r="AC765" i="1" s="1"/>
  <c r="AC766" i="1" a="1"/>
  <c r="AC766" i="1" s="1"/>
  <c r="AC767" i="1" a="1"/>
  <c r="AC767" i="1" s="1"/>
  <c r="AC768" i="1" a="1"/>
  <c r="AC768" i="1" s="1"/>
  <c r="AC769" i="1" a="1"/>
  <c r="AC769" i="1" s="1"/>
  <c r="AC770" i="1" a="1"/>
  <c r="AC770" i="1" s="1"/>
  <c r="AC771" i="1" a="1"/>
  <c r="AC771" i="1" s="1"/>
  <c r="AC772" i="1" a="1"/>
  <c r="AC772" i="1" s="1"/>
  <c r="AC773" i="1" a="1"/>
  <c r="AC773" i="1" s="1"/>
  <c r="AC774" i="1" a="1"/>
  <c r="AC774" i="1" s="1"/>
  <c r="AC775" i="1" a="1"/>
  <c r="AC775" i="1" s="1"/>
  <c r="AC776" i="1" a="1"/>
  <c r="AC776" i="1" s="1"/>
  <c r="AC777" i="1" a="1"/>
  <c r="AC777" i="1" s="1"/>
  <c r="AC778" i="1" a="1"/>
  <c r="AC778" i="1" s="1"/>
  <c r="AC779" i="1" a="1"/>
  <c r="AC779" i="1" s="1"/>
  <c r="AC780" i="1" a="1"/>
  <c r="AC780" i="1" s="1"/>
  <c r="AC781" i="1" a="1"/>
  <c r="AC781" i="1" s="1"/>
  <c r="AC782" i="1" a="1"/>
  <c r="AC782" i="1" s="1"/>
  <c r="AC783" i="1" a="1"/>
  <c r="AC783" i="1" s="1"/>
  <c r="AC784" i="1" a="1"/>
  <c r="AC784" i="1" s="1"/>
  <c r="AC785" i="1" a="1"/>
  <c r="AC785" i="1" s="1"/>
  <c r="AC786" i="1" a="1"/>
  <c r="AC786" i="1" s="1"/>
  <c r="AC787" i="1" a="1"/>
  <c r="AC787" i="1" s="1"/>
  <c r="AC788" i="1" a="1"/>
  <c r="AC788" i="1" s="1"/>
  <c r="AC789" i="1" a="1"/>
  <c r="AC789" i="1" s="1"/>
  <c r="AC790" i="1" a="1"/>
  <c r="AC790" i="1" s="1"/>
  <c r="AC791" i="1" a="1"/>
  <c r="AC791" i="1" s="1"/>
  <c r="AC792" i="1" a="1"/>
  <c r="AC792" i="1" s="1"/>
  <c r="AC793" i="1" a="1"/>
  <c r="AC793" i="1"/>
  <c r="AC794" i="1" a="1"/>
  <c r="AC794" i="1" s="1"/>
  <c r="AC795" i="1" a="1"/>
  <c r="AC795" i="1" s="1"/>
  <c r="AC796" i="1" a="1"/>
  <c r="AC796" i="1" s="1"/>
  <c r="AC797" i="1" a="1"/>
  <c r="AC797" i="1" s="1"/>
  <c r="AC798" i="1" a="1"/>
  <c r="AC798" i="1" s="1"/>
  <c r="AC799" i="1" a="1"/>
  <c r="AC799" i="1" s="1"/>
  <c r="AC800" i="1" a="1"/>
  <c r="AC800" i="1" s="1"/>
  <c r="AC801" i="1" a="1"/>
  <c r="AC801" i="1" s="1"/>
  <c r="AC802" i="1" a="1"/>
  <c r="AC802" i="1" s="1"/>
  <c r="AC803" i="1" a="1"/>
  <c r="AC803" i="1" s="1"/>
  <c r="AC804" i="1" a="1"/>
  <c r="AC804" i="1" s="1"/>
  <c r="AC805" i="1" a="1"/>
  <c r="AC805" i="1" s="1"/>
  <c r="AC806" i="1" a="1"/>
  <c r="AC806" i="1" s="1"/>
  <c r="AC807" i="1" a="1"/>
  <c r="AC807" i="1" s="1"/>
  <c r="AC808" i="1" a="1"/>
  <c r="AC808" i="1" s="1"/>
  <c r="AC809" i="1" a="1"/>
  <c r="AC809" i="1" s="1"/>
  <c r="AC810" i="1" a="1"/>
  <c r="AC810" i="1" s="1"/>
  <c r="AC811" i="1" a="1"/>
  <c r="AC811" i="1" s="1"/>
  <c r="AC812" i="1" a="1"/>
  <c r="AC812" i="1" s="1"/>
  <c r="AC813" i="1" a="1"/>
  <c r="AC813" i="1" s="1"/>
  <c r="AC814" i="1" a="1"/>
  <c r="AC814" i="1" s="1"/>
  <c r="AC815" i="1" a="1"/>
  <c r="AC815" i="1" s="1"/>
  <c r="AC816" i="1" a="1"/>
  <c r="AC816" i="1" s="1"/>
  <c r="AC817" i="1" a="1"/>
  <c r="AC817" i="1" s="1"/>
  <c r="AC818" i="1" a="1"/>
  <c r="AC818" i="1" s="1"/>
  <c r="AC819" i="1" a="1"/>
  <c r="AC819" i="1" s="1"/>
  <c r="AC820" i="1" a="1"/>
  <c r="AC820" i="1" s="1"/>
  <c r="AC821" i="1" a="1"/>
  <c r="AC821" i="1" s="1"/>
  <c r="AC822" i="1" a="1"/>
  <c r="AC822" i="1" s="1"/>
  <c r="AC823" i="1" a="1"/>
  <c r="AC823" i="1" s="1"/>
  <c r="AC824" i="1" a="1"/>
  <c r="AC824" i="1" s="1"/>
  <c r="AC825" i="1" a="1"/>
  <c r="AC825" i="1" s="1"/>
  <c r="AC826" i="1" a="1"/>
  <c r="AC826" i="1" s="1"/>
  <c r="AC827" i="1" a="1"/>
  <c r="AC827" i="1" s="1"/>
  <c r="AC828" i="1" a="1"/>
  <c r="AC828" i="1" s="1"/>
  <c r="AC829" i="1" a="1"/>
  <c r="AC829" i="1" s="1"/>
  <c r="AC830" i="1" a="1"/>
  <c r="AC830" i="1" s="1"/>
  <c r="AC831" i="1" a="1"/>
  <c r="AC831" i="1" s="1"/>
  <c r="AC832" i="1" a="1"/>
  <c r="AC832" i="1" s="1"/>
  <c r="AC833" i="1" a="1"/>
  <c r="AC833" i="1" s="1"/>
  <c r="AC834" i="1" a="1"/>
  <c r="AC834" i="1" s="1"/>
  <c r="AC835" i="1" a="1"/>
  <c r="AC835" i="1"/>
  <c r="AC836" i="1" a="1"/>
  <c r="AC836" i="1" s="1"/>
  <c r="AC837" i="1" a="1"/>
  <c r="AC837" i="1" s="1"/>
  <c r="AC838" i="1" a="1"/>
  <c r="AC838" i="1" s="1"/>
  <c r="AC839" i="1" a="1"/>
  <c r="AC839" i="1" s="1"/>
  <c r="AC840" i="1" a="1"/>
  <c r="AC840" i="1" s="1"/>
  <c r="AC841" i="1" a="1"/>
  <c r="AC841" i="1" s="1"/>
  <c r="AC842" i="1" a="1"/>
  <c r="AC842" i="1" s="1"/>
  <c r="AC843" i="1" a="1"/>
  <c r="AC843" i="1" s="1"/>
  <c r="AC844" i="1" a="1"/>
  <c r="AC844" i="1" s="1"/>
  <c r="AC845" i="1" a="1"/>
  <c r="AC845" i="1" s="1"/>
  <c r="AC846" i="1" a="1"/>
  <c r="AC846" i="1" s="1"/>
  <c r="AC847" i="1" a="1"/>
  <c r="AC847" i="1" s="1"/>
  <c r="AC848" i="1" a="1"/>
  <c r="AC848" i="1" s="1"/>
  <c r="AC849" i="1" a="1"/>
  <c r="AC849" i="1" s="1"/>
  <c r="AC850" i="1" a="1"/>
  <c r="AC850" i="1" s="1"/>
  <c r="AC851" i="1" a="1"/>
  <c r="AC851" i="1" s="1"/>
  <c r="AC852" i="1" a="1"/>
  <c r="AC852" i="1" s="1"/>
  <c r="AC853" i="1" a="1"/>
  <c r="AC853" i="1" s="1"/>
  <c r="AC854" i="1" a="1"/>
  <c r="AC854" i="1" s="1"/>
  <c r="AC855" i="1" a="1"/>
  <c r="AC855" i="1" s="1"/>
  <c r="AC856" i="1" a="1"/>
  <c r="AC856" i="1" s="1"/>
  <c r="AC857" i="1" a="1"/>
  <c r="AC857" i="1" s="1"/>
  <c r="AC858" i="1" a="1"/>
  <c r="AC858" i="1" s="1"/>
  <c r="AC859" i="1" a="1"/>
  <c r="AC859" i="1" s="1"/>
  <c r="AC860" i="1" a="1"/>
  <c r="AC860" i="1" s="1"/>
  <c r="AC861" i="1" a="1"/>
  <c r="AC861" i="1" s="1"/>
  <c r="AC862" i="1" a="1"/>
  <c r="AC862" i="1" s="1"/>
  <c r="AC863" i="1" a="1"/>
  <c r="AC863" i="1" s="1"/>
  <c r="AC864" i="1" a="1"/>
  <c r="AC864" i="1" s="1"/>
  <c r="AC865" i="1" a="1"/>
  <c r="AC865" i="1" s="1"/>
  <c r="AC866" i="1" a="1"/>
  <c r="AC866" i="1" s="1"/>
  <c r="AC867" i="1" a="1"/>
  <c r="AC867" i="1" s="1"/>
  <c r="AC868" i="1" a="1"/>
  <c r="AC868" i="1" s="1"/>
  <c r="AC869" i="1" a="1"/>
  <c r="AC869" i="1" s="1"/>
  <c r="AC870" i="1" a="1"/>
  <c r="AC870" i="1" s="1"/>
  <c r="AC871" i="1" a="1"/>
  <c r="AC871" i="1" s="1"/>
  <c r="AC872" i="1" a="1"/>
  <c r="AC872" i="1" s="1"/>
  <c r="AC873" i="1" a="1"/>
  <c r="AC873" i="1" s="1"/>
  <c r="AC874" i="1" a="1"/>
  <c r="AC874" i="1" s="1"/>
  <c r="AC875" i="1" a="1"/>
  <c r="AC875" i="1" s="1"/>
  <c r="AC876" i="1" a="1"/>
  <c r="AC876" i="1" s="1"/>
  <c r="AC877" i="1" a="1"/>
  <c r="AC877" i="1"/>
  <c r="AC878" i="1" a="1"/>
  <c r="AC878" i="1" s="1"/>
  <c r="AC879" i="1" a="1"/>
  <c r="AC879" i="1" s="1"/>
  <c r="AC880" i="1" a="1"/>
  <c r="AC880" i="1" s="1"/>
  <c r="AC881" i="1" a="1"/>
  <c r="AC881" i="1" s="1"/>
  <c r="AC882" i="1" a="1"/>
  <c r="AC882" i="1" s="1"/>
  <c r="AC883" i="1" a="1"/>
  <c r="AC883" i="1" s="1"/>
  <c r="AC884" i="1" a="1"/>
  <c r="AC884" i="1" s="1"/>
  <c r="AC885" i="1" a="1"/>
  <c r="AC885" i="1" s="1"/>
  <c r="AC886" i="1" a="1"/>
  <c r="AC886" i="1" s="1"/>
  <c r="AC887" i="1" a="1"/>
  <c r="AC887" i="1" s="1"/>
  <c r="AC888" i="1" a="1"/>
  <c r="AC888" i="1" s="1"/>
  <c r="AC889" i="1" a="1"/>
  <c r="AC889" i="1" s="1"/>
  <c r="AC890" i="1" a="1"/>
  <c r="AC890" i="1" s="1"/>
  <c r="AC891" i="1" a="1"/>
  <c r="AC891" i="1" s="1"/>
  <c r="AC892" i="1" a="1"/>
  <c r="AC892" i="1" s="1"/>
  <c r="AC893" i="1" a="1"/>
  <c r="AC893" i="1" s="1"/>
  <c r="AC894" i="1" a="1"/>
  <c r="AC894" i="1" s="1"/>
  <c r="AC895" i="1" a="1"/>
  <c r="AC895" i="1" s="1"/>
  <c r="AC896" i="1" a="1"/>
  <c r="AC896" i="1" s="1"/>
  <c r="AC897" i="1" a="1"/>
  <c r="AC897" i="1" s="1"/>
  <c r="AC898" i="1" a="1"/>
  <c r="AC898" i="1" s="1"/>
  <c r="AC899" i="1" a="1"/>
  <c r="AC899" i="1" s="1"/>
  <c r="AC900" i="1" a="1"/>
  <c r="AC900" i="1" s="1"/>
  <c r="AC901" i="1" a="1"/>
  <c r="AC901" i="1" s="1"/>
  <c r="AC902" i="1" a="1"/>
  <c r="AC902" i="1" s="1"/>
  <c r="AC903" i="1" a="1"/>
  <c r="AC903" i="1" s="1"/>
  <c r="AC904" i="1" a="1"/>
  <c r="AC904" i="1" s="1"/>
  <c r="AC905" i="1" a="1"/>
  <c r="AC905" i="1" s="1"/>
  <c r="AC906" i="1" a="1"/>
  <c r="AC906" i="1" s="1"/>
  <c r="AC907" i="1" a="1"/>
  <c r="AC907" i="1"/>
  <c r="AC908" i="1" a="1"/>
  <c r="AC908" i="1" s="1"/>
  <c r="AC909" i="1" a="1"/>
  <c r="AC909" i="1" s="1"/>
  <c r="AC910" i="1" a="1"/>
  <c r="AC910" i="1" s="1"/>
  <c r="AC911" i="1" a="1"/>
  <c r="AC911" i="1" s="1"/>
  <c r="AC912" i="1" a="1"/>
  <c r="AC912" i="1" s="1"/>
  <c r="AC913" i="1" a="1"/>
  <c r="AC913" i="1" s="1"/>
  <c r="AC914" i="1" a="1"/>
  <c r="AC914" i="1" s="1"/>
  <c r="AC915" i="1" a="1"/>
  <c r="AC915" i="1" s="1"/>
  <c r="AC916" i="1" a="1"/>
  <c r="AC916" i="1" s="1"/>
  <c r="AC917" i="1" a="1"/>
  <c r="AC917" i="1" s="1"/>
  <c r="AC918" i="1" a="1"/>
  <c r="AC918" i="1" s="1"/>
  <c r="AC919" i="1" a="1"/>
  <c r="AC919" i="1" s="1"/>
  <c r="AC920" i="1" a="1"/>
  <c r="AC920" i="1" s="1"/>
  <c r="AC921" i="1" a="1"/>
  <c r="AC921" i="1" s="1"/>
  <c r="AC922" i="1" a="1"/>
  <c r="AC922" i="1" s="1"/>
  <c r="AC923" i="1" a="1"/>
  <c r="AC923" i="1" s="1"/>
  <c r="AC924" i="1" a="1"/>
  <c r="AC924" i="1" s="1"/>
  <c r="AC925" i="1" a="1"/>
  <c r="AC925" i="1" s="1"/>
  <c r="AC926" i="1" a="1"/>
  <c r="AC926" i="1" s="1"/>
  <c r="AC927" i="1" a="1"/>
  <c r="AC927" i="1" s="1"/>
  <c r="AC928" i="1" a="1"/>
  <c r="AC928" i="1" s="1"/>
  <c r="AC929" i="1" a="1"/>
  <c r="AC929" i="1" s="1"/>
  <c r="AC930" i="1" a="1"/>
  <c r="AC930" i="1" s="1"/>
  <c r="AC931" i="1" a="1"/>
  <c r="AC931" i="1" s="1"/>
  <c r="AC932" i="1" a="1"/>
  <c r="AC932" i="1" s="1"/>
  <c r="AC933" i="1" a="1"/>
  <c r="AC933" i="1" s="1"/>
  <c r="AC934" i="1" a="1"/>
  <c r="AC934" i="1" s="1"/>
  <c r="AC935" i="1" a="1"/>
  <c r="AC935" i="1" s="1"/>
  <c r="AC936" i="1" a="1"/>
  <c r="AC936" i="1" s="1"/>
  <c r="AC937" i="1" a="1"/>
  <c r="AC937" i="1" s="1"/>
  <c r="AC938" i="1" a="1"/>
  <c r="AC938" i="1" s="1"/>
  <c r="AC939" i="1" a="1"/>
  <c r="AC939" i="1" s="1"/>
  <c r="AC940" i="1" a="1"/>
  <c r="AC940" i="1" s="1"/>
  <c r="AC941" i="1" a="1"/>
  <c r="AC941" i="1" s="1"/>
  <c r="AC942" i="1" a="1"/>
  <c r="AC942" i="1" s="1"/>
  <c r="AC943" i="1" a="1"/>
  <c r="AC943" i="1" s="1"/>
  <c r="AC944" i="1" a="1"/>
  <c r="AC944" i="1" s="1"/>
  <c r="AC945" i="1" a="1"/>
  <c r="AC945" i="1" s="1"/>
  <c r="AC946" i="1" a="1"/>
  <c r="AC946" i="1" s="1"/>
  <c r="AC947" i="1" a="1"/>
  <c r="AC947" i="1" s="1"/>
  <c r="AC948" i="1" a="1"/>
  <c r="AC948" i="1" s="1"/>
  <c r="AC949" i="1" a="1"/>
  <c r="AC949" i="1"/>
  <c r="AC950" i="1" a="1"/>
  <c r="AC950" i="1" s="1"/>
  <c r="AC951" i="1" a="1"/>
  <c r="AC951" i="1" s="1"/>
  <c r="AC952" i="1" a="1"/>
  <c r="AC952" i="1" s="1"/>
  <c r="AC953" i="1" a="1"/>
  <c r="AC953" i="1" s="1"/>
  <c r="AC954" i="1" a="1"/>
  <c r="AC954" i="1" s="1"/>
  <c r="AC955" i="1" a="1"/>
  <c r="AC955" i="1" s="1"/>
  <c r="AC956" i="1" a="1"/>
  <c r="AC956" i="1" s="1"/>
  <c r="AC957" i="1" a="1"/>
  <c r="AC957" i="1" s="1"/>
  <c r="AC958" i="1" a="1"/>
  <c r="AC958" i="1" s="1"/>
  <c r="AC959" i="1" a="1"/>
  <c r="AC959" i="1" s="1"/>
  <c r="AC5" i="1" a="1"/>
  <c r="AC5" i="1" s="1"/>
  <c r="AC6" i="1" a="1"/>
  <c r="AC6" i="1" s="1"/>
  <c r="AC7" i="1" a="1"/>
  <c r="AC7" i="1" s="1"/>
  <c r="AC8" i="1" a="1"/>
  <c r="AC8" i="1" s="1"/>
  <c r="AC9" i="1" a="1"/>
  <c r="AC9" i="1" s="1"/>
  <c r="AC10" i="1" a="1"/>
  <c r="AC10" i="1" s="1"/>
  <c r="AC11" i="1" a="1"/>
  <c r="AC11" i="1" s="1"/>
  <c r="AC12" i="1" a="1"/>
  <c r="AC12" i="1" s="1"/>
  <c r="AC13" i="1" a="1"/>
  <c r="AC13" i="1" s="1"/>
  <c r="AC14" i="1" a="1"/>
  <c r="AC14" i="1" s="1"/>
  <c r="AC15" i="1" a="1"/>
  <c r="AC15" i="1" s="1"/>
  <c r="AC16" i="1" a="1"/>
  <c r="AC16" i="1" s="1"/>
  <c r="AC17" i="1" a="1"/>
  <c r="AC17" i="1" s="1"/>
  <c r="AC18" i="1" a="1"/>
  <c r="AC18" i="1" s="1"/>
  <c r="AC19" i="1" a="1"/>
  <c r="AC19" i="1" s="1"/>
  <c r="AC20" i="1" a="1"/>
  <c r="AC20" i="1" s="1"/>
  <c r="AC21" i="1" a="1"/>
  <c r="AC21" i="1" s="1"/>
  <c r="AC22" i="1" a="1"/>
  <c r="AC22" i="1" s="1"/>
  <c r="AC23" i="1" a="1"/>
  <c r="AC23" i="1" s="1"/>
  <c r="AC24" i="1" a="1"/>
  <c r="AC24" i="1" s="1"/>
  <c r="AC25" i="1" a="1"/>
  <c r="AC25" i="1" s="1"/>
  <c r="AC26" i="1" a="1"/>
  <c r="AC26" i="1" s="1"/>
  <c r="AC27" i="1" a="1"/>
  <c r="AC27" i="1" s="1"/>
  <c r="AC28" i="1" a="1"/>
  <c r="AC28" i="1" s="1"/>
  <c r="AC29" i="1" a="1"/>
  <c r="AC29" i="1" s="1"/>
  <c r="AC30" i="1" a="1"/>
  <c r="AC30" i="1" s="1"/>
  <c r="AC31" i="1" a="1"/>
  <c r="AC31" i="1" s="1"/>
  <c r="AC32" i="1" a="1"/>
  <c r="AC32" i="1" s="1"/>
  <c r="AC33" i="1" a="1"/>
  <c r="AC33" i="1" s="1"/>
  <c r="AC34" i="1" a="1"/>
  <c r="AC34" i="1" s="1"/>
  <c r="AC35" i="1" a="1"/>
  <c r="AC35" i="1" s="1"/>
  <c r="AC36" i="1" a="1"/>
  <c r="AC36" i="1" s="1"/>
  <c r="AC37" i="1" a="1"/>
  <c r="AC37" i="1" s="1"/>
  <c r="AC38" i="1" a="1"/>
  <c r="AC38" i="1" s="1"/>
  <c r="AC39" i="1" a="1"/>
  <c r="AC39" i="1" s="1"/>
  <c r="AC40" i="1" a="1"/>
  <c r="AC40" i="1" s="1"/>
  <c r="AC41" i="1" a="1"/>
  <c r="AC41" i="1" s="1"/>
  <c r="AC42" i="1" a="1"/>
  <c r="AC42" i="1" s="1"/>
  <c r="AC43" i="1" a="1"/>
  <c r="AC43" i="1" s="1"/>
  <c r="AC44" i="1" a="1"/>
  <c r="AC44" i="1" s="1"/>
  <c r="AC45" i="1" a="1"/>
  <c r="AC45" i="1" s="1"/>
  <c r="AC46" i="1" a="1"/>
  <c r="AC46" i="1" s="1"/>
  <c r="AC47" i="1" a="1"/>
  <c r="AC47" i="1" s="1"/>
  <c r="AC48" i="1" a="1"/>
  <c r="AC48" i="1" s="1"/>
  <c r="AC49" i="1" a="1"/>
  <c r="AC49" i="1" s="1"/>
  <c r="AC50" i="1" a="1"/>
  <c r="AC50" i="1" s="1"/>
  <c r="AC51" i="1" a="1"/>
  <c r="AC51" i="1" s="1"/>
  <c r="AC52" i="1" a="1"/>
  <c r="AC52" i="1" s="1"/>
  <c r="AC53" i="1" a="1"/>
  <c r="AC53" i="1" s="1"/>
  <c r="AC54" i="1" a="1"/>
  <c r="AC54" i="1" s="1"/>
  <c r="AC55" i="1" a="1"/>
  <c r="AC55" i="1" s="1"/>
  <c r="AC56" i="1" a="1"/>
  <c r="AC56" i="1" s="1"/>
  <c r="AC57" i="1" a="1"/>
  <c r="AC57" i="1" s="1"/>
  <c r="AC58" i="1" a="1"/>
  <c r="AC58" i="1" s="1"/>
  <c r="AC59" i="1" a="1"/>
  <c r="AC59" i="1" s="1"/>
  <c r="AC60" i="1" a="1"/>
  <c r="AC60" i="1" s="1"/>
  <c r="AC61" i="1" a="1"/>
  <c r="AC61" i="1" s="1"/>
  <c r="AC62" i="1" a="1"/>
  <c r="AC62" i="1" s="1"/>
  <c r="AC63" i="1" a="1"/>
  <c r="AC63" i="1" s="1"/>
  <c r="AC64" i="1" a="1"/>
  <c r="AC64" i="1" s="1"/>
  <c r="AC65" i="1" a="1"/>
  <c r="AC65" i="1" s="1"/>
  <c r="AC66" i="1" a="1"/>
  <c r="AC66" i="1" s="1"/>
  <c r="AC67" i="1" a="1"/>
  <c r="AC67" i="1" s="1"/>
  <c r="AC68" i="1" a="1"/>
  <c r="AC68" i="1" s="1"/>
  <c r="AC69" i="1" a="1"/>
  <c r="AC69" i="1" s="1"/>
  <c r="AC70" i="1" a="1"/>
  <c r="AC70" i="1" s="1"/>
  <c r="AC71" i="1" a="1"/>
  <c r="AC71" i="1" s="1"/>
  <c r="AC72" i="1" a="1"/>
  <c r="AC72" i="1" s="1"/>
  <c r="AC73" i="1" a="1"/>
  <c r="AC73" i="1" s="1"/>
  <c r="AC74" i="1" a="1"/>
  <c r="AC74" i="1" s="1"/>
  <c r="AC75" i="1" a="1"/>
  <c r="AC75" i="1" s="1"/>
  <c r="AC76" i="1" a="1"/>
  <c r="AC76" i="1" s="1"/>
  <c r="AC77" i="1" a="1"/>
  <c r="AC77" i="1" s="1"/>
  <c r="AC78" i="1" a="1"/>
  <c r="AC78" i="1" s="1"/>
  <c r="AC79" i="1" a="1"/>
  <c r="AC79" i="1" s="1"/>
  <c r="AC80" i="1" a="1"/>
  <c r="AC80" i="1" s="1"/>
  <c r="AC81" i="1" a="1"/>
  <c r="AC81" i="1" s="1"/>
  <c r="AC82" i="1" a="1"/>
  <c r="AC82" i="1" s="1"/>
  <c r="AC83" i="1" a="1"/>
  <c r="AC83" i="1" s="1"/>
  <c r="AC84" i="1" a="1"/>
  <c r="AC84" i="1" s="1"/>
  <c r="AC85" i="1" a="1"/>
  <c r="AC85" i="1" s="1"/>
  <c r="AC86" i="1" a="1"/>
  <c r="AC86" i="1" s="1"/>
  <c r="AC87" i="1" a="1"/>
  <c r="AC87" i="1" s="1"/>
  <c r="AC88" i="1" a="1"/>
  <c r="AC88" i="1" s="1"/>
  <c r="AC89" i="1" a="1"/>
  <c r="AC89" i="1" s="1"/>
  <c r="AC90" i="1" a="1"/>
  <c r="AC90" i="1" s="1"/>
  <c r="AC91" i="1" a="1"/>
  <c r="AC91" i="1" s="1"/>
  <c r="AC92" i="1" a="1"/>
  <c r="AC92" i="1" s="1"/>
  <c r="AC93" i="1" a="1"/>
  <c r="AC93" i="1" s="1"/>
  <c r="AC94" i="1" a="1"/>
  <c r="AC94" i="1" s="1"/>
  <c r="AC95" i="1" a="1"/>
  <c r="AC95" i="1" s="1"/>
  <c r="AC96" i="1" a="1"/>
  <c r="AC96" i="1" s="1"/>
  <c r="AC97" i="1" a="1"/>
  <c r="AC97" i="1" s="1"/>
  <c r="AC98" i="1" a="1"/>
  <c r="AC98" i="1" s="1"/>
  <c r="AC99" i="1" a="1"/>
  <c r="AC99" i="1" s="1"/>
  <c r="AC100" i="1" a="1"/>
  <c r="AC100" i="1" s="1"/>
  <c r="AC101" i="1" a="1"/>
  <c r="AC101" i="1" s="1"/>
  <c r="AC102" i="1" a="1"/>
  <c r="AC102" i="1" s="1"/>
  <c r="AC103" i="1" a="1"/>
  <c r="AC103" i="1" s="1"/>
  <c r="AC104" i="1" a="1"/>
  <c r="AC104" i="1" s="1"/>
  <c r="AC105" i="1" a="1"/>
  <c r="AC105" i="1" s="1"/>
  <c r="AC106" i="1" a="1"/>
  <c r="AC106" i="1" s="1"/>
  <c r="AC107" i="1" a="1"/>
  <c r="AC107" i="1" s="1"/>
  <c r="AC108" i="1" a="1"/>
  <c r="AC108" i="1" s="1"/>
  <c r="AC109" i="1" a="1"/>
  <c r="AC109" i="1" s="1"/>
  <c r="AC110" i="1" a="1"/>
  <c r="AC110" i="1" s="1"/>
  <c r="AC111" i="1" a="1"/>
  <c r="AC111" i="1" s="1"/>
  <c r="AC112" i="1" a="1"/>
  <c r="AC112" i="1" s="1"/>
  <c r="AC113" i="1" a="1"/>
  <c r="AC113" i="1" s="1"/>
  <c r="AC114" i="1" a="1"/>
  <c r="AC114" i="1" s="1"/>
  <c r="AC115" i="1" a="1"/>
  <c r="AC115" i="1" s="1"/>
  <c r="AC116" i="1" a="1"/>
  <c r="AC116" i="1" s="1"/>
  <c r="AC117" i="1" a="1"/>
  <c r="AC117" i="1" s="1"/>
  <c r="AC118" i="1" a="1"/>
  <c r="AC118" i="1" s="1"/>
  <c r="AC119" i="1" a="1"/>
  <c r="AC119" i="1" s="1"/>
  <c r="AC120" i="1" a="1"/>
  <c r="AC120" i="1" s="1"/>
  <c r="AC121" i="1" a="1"/>
  <c r="AC121" i="1" s="1"/>
  <c r="AC122" i="1" a="1"/>
  <c r="AC122" i="1" s="1"/>
  <c r="AC123" i="1" a="1"/>
  <c r="AC123" i="1" s="1"/>
  <c r="AC124" i="1" a="1"/>
  <c r="AC124" i="1" s="1"/>
  <c r="AC125" i="1" a="1"/>
  <c r="AC125" i="1" s="1"/>
  <c r="AC126" i="1" a="1"/>
  <c r="AC126" i="1" s="1"/>
  <c r="AC127" i="1" a="1"/>
  <c r="AC127" i="1" s="1"/>
  <c r="AC128" i="1" a="1"/>
  <c r="AC128" i="1" s="1"/>
  <c r="AC129" i="1" a="1"/>
  <c r="AC129" i="1" s="1"/>
  <c r="AC130" i="1" a="1"/>
  <c r="AC130" i="1" s="1"/>
  <c r="AC131" i="1" a="1"/>
  <c r="AC131" i="1" s="1"/>
  <c r="AC132" i="1" a="1"/>
  <c r="AC132" i="1" s="1"/>
  <c r="AC133" i="1" a="1"/>
  <c r="AC133" i="1" s="1"/>
  <c r="AC134" i="1" a="1"/>
  <c r="AC134" i="1" s="1"/>
  <c r="AC135" i="1" a="1"/>
  <c r="AC135" i="1" s="1"/>
  <c r="AC136" i="1" a="1"/>
  <c r="AC136" i="1" s="1"/>
  <c r="AC137" i="1" a="1"/>
  <c r="AC137" i="1" s="1"/>
  <c r="AC138" i="1" a="1"/>
  <c r="AC138" i="1" s="1"/>
  <c r="AC139" i="1" a="1"/>
  <c r="AC139" i="1" s="1"/>
  <c r="AC140" i="1" a="1"/>
  <c r="AC140" i="1" s="1"/>
  <c r="AC141" i="1" a="1"/>
  <c r="AC141" i="1" s="1"/>
  <c r="AC142" i="1" a="1"/>
  <c r="AC142" i="1" s="1"/>
  <c r="AC143" i="1" a="1"/>
  <c r="AC143" i="1" s="1"/>
  <c r="AC144" i="1" a="1"/>
  <c r="AC144" i="1" s="1"/>
  <c r="AC145" i="1" a="1"/>
  <c r="AC145" i="1" s="1"/>
  <c r="AC146" i="1" a="1"/>
  <c r="AC146" i="1" s="1"/>
  <c r="AC147" i="1" a="1"/>
  <c r="AC147" i="1" s="1"/>
  <c r="AC148" i="1" a="1"/>
  <c r="AC148" i="1" s="1"/>
  <c r="AC149" i="1" a="1"/>
  <c r="AC149" i="1" s="1"/>
  <c r="AC150" i="1" a="1"/>
  <c r="AC150" i="1" s="1"/>
  <c r="AC151" i="1" a="1"/>
  <c r="AC151" i="1" s="1"/>
  <c r="AC152" i="1" a="1"/>
  <c r="AC152" i="1" s="1"/>
  <c r="AC153" i="1" a="1"/>
  <c r="AC153" i="1" s="1"/>
  <c r="AC154" i="1" a="1"/>
  <c r="AC154" i="1" s="1"/>
  <c r="AC155" i="1" a="1"/>
  <c r="AC155" i="1" s="1"/>
  <c r="AC156" i="1" a="1"/>
  <c r="AC156" i="1" s="1"/>
  <c r="AC157" i="1" a="1"/>
  <c r="AC157" i="1" s="1"/>
  <c r="AC158" i="1" a="1"/>
  <c r="AC158" i="1" s="1"/>
  <c r="AC159" i="1" a="1"/>
  <c r="AC159" i="1" s="1"/>
  <c r="AC160" i="1" a="1"/>
  <c r="AC160" i="1" s="1"/>
  <c r="AC161" i="1" a="1"/>
  <c r="AC161" i="1" s="1"/>
  <c r="AC162" i="1" a="1"/>
  <c r="AC162" i="1" s="1"/>
  <c r="AC163" i="1" a="1"/>
  <c r="AC163" i="1" s="1"/>
  <c r="AC164" i="1" a="1"/>
  <c r="AC164" i="1" s="1"/>
  <c r="AC165" i="1" a="1"/>
  <c r="AC165" i="1" s="1"/>
  <c r="AC166" i="1" a="1"/>
  <c r="AC166" i="1" s="1"/>
  <c r="AC167" i="1" a="1"/>
  <c r="AC167" i="1" s="1"/>
  <c r="AC168" i="1" a="1"/>
  <c r="AC168" i="1" s="1"/>
  <c r="AC169" i="1" a="1"/>
  <c r="AC169" i="1" s="1"/>
  <c r="AC170" i="1" a="1"/>
  <c r="AC170" i="1" s="1"/>
  <c r="AC171" i="1" a="1"/>
  <c r="AC171" i="1" s="1"/>
  <c r="AC172" i="1" a="1"/>
  <c r="AC172" i="1" s="1"/>
  <c r="AC173" i="1" a="1"/>
  <c r="AC173" i="1" s="1"/>
  <c r="AC174" i="1" a="1"/>
  <c r="AC174" i="1" s="1"/>
  <c r="AC175" i="1" a="1"/>
  <c r="AC175" i="1" s="1"/>
  <c r="AC176" i="1" a="1"/>
  <c r="AC176" i="1" s="1"/>
  <c r="AC177" i="1" a="1"/>
  <c r="AC177" i="1" s="1"/>
  <c r="AC178" i="1" a="1"/>
  <c r="AC178" i="1" s="1"/>
  <c r="AC179" i="1" a="1"/>
  <c r="AC179" i="1" s="1"/>
  <c r="AC180" i="1" a="1"/>
  <c r="AC180" i="1" s="1"/>
  <c r="AC181" i="1" a="1"/>
  <c r="AC181" i="1" s="1"/>
  <c r="AC182" i="1" a="1"/>
  <c r="AC182" i="1" s="1"/>
  <c r="AC183" i="1" a="1"/>
  <c r="AC183" i="1" s="1"/>
  <c r="AC184" i="1" a="1"/>
  <c r="AC184" i="1" s="1"/>
  <c r="AC185" i="1" a="1"/>
  <c r="AC185" i="1" s="1"/>
  <c r="AC186" i="1" a="1"/>
  <c r="AC186" i="1" s="1"/>
  <c r="AC187" i="1" a="1"/>
  <c r="AC187" i="1" s="1"/>
  <c r="AC188" i="1" a="1"/>
  <c r="AC188" i="1" s="1"/>
  <c r="AC189" i="1" a="1"/>
  <c r="AC189" i="1" s="1"/>
  <c r="AC190" i="1" a="1"/>
  <c r="AC190" i="1" s="1"/>
  <c r="AC191" i="1" a="1"/>
  <c r="AC191" i="1" s="1"/>
  <c r="AC192" i="1" a="1"/>
  <c r="AC192" i="1" s="1"/>
  <c r="AC193" i="1" a="1"/>
  <c r="AC193" i="1" s="1"/>
  <c r="AC194" i="1" a="1"/>
  <c r="AC194" i="1" s="1"/>
  <c r="AC195" i="1" a="1"/>
  <c r="AC195" i="1" s="1"/>
  <c r="AC196" i="1" a="1"/>
  <c r="AC196" i="1" s="1"/>
  <c r="AC197" i="1" a="1"/>
  <c r="AC197" i="1" s="1"/>
  <c r="AC198" i="1" a="1"/>
  <c r="AC198" i="1" s="1"/>
  <c r="AC199" i="1" a="1"/>
  <c r="AC199" i="1" s="1"/>
  <c r="AC200" i="1" a="1"/>
  <c r="AC200" i="1" s="1"/>
  <c r="AC201" i="1" a="1"/>
  <c r="AC201" i="1" s="1"/>
  <c r="AC202" i="1" a="1"/>
  <c r="AC202" i="1" s="1"/>
  <c r="AC203" i="1" a="1"/>
  <c r="AC203" i="1" s="1"/>
  <c r="AC204" i="1" a="1"/>
  <c r="AC204" i="1" s="1"/>
  <c r="AC205" i="1" a="1"/>
  <c r="AC205" i="1" s="1"/>
  <c r="AC206" i="1" a="1"/>
  <c r="AC206" i="1" s="1"/>
  <c r="AC207" i="1" a="1"/>
  <c r="AC207" i="1" s="1"/>
  <c r="AC208" i="1" a="1"/>
  <c r="AC208" i="1" s="1"/>
  <c r="AC209" i="1" a="1"/>
  <c r="AC209" i="1" s="1"/>
  <c r="AC210" i="1" a="1"/>
  <c r="AC210" i="1" s="1"/>
  <c r="AC211" i="1" a="1"/>
  <c r="AC211" i="1" s="1"/>
  <c r="AC212" i="1" a="1"/>
  <c r="AC212" i="1" s="1"/>
  <c r="AC213" i="1" a="1"/>
  <c r="AC213" i="1" s="1"/>
  <c r="AC214" i="1" a="1"/>
  <c r="AC214" i="1" s="1"/>
  <c r="AC215" i="1" a="1"/>
  <c r="AC215" i="1" s="1"/>
  <c r="AC216" i="1" a="1"/>
  <c r="AC216" i="1" s="1"/>
  <c r="AC217" i="1" a="1"/>
  <c r="AC217" i="1" s="1"/>
  <c r="AC218" i="1" a="1"/>
  <c r="AC218" i="1" s="1"/>
  <c r="AC219" i="1" a="1"/>
  <c r="AC219" i="1" s="1"/>
  <c r="AC220" i="1" a="1"/>
  <c r="AC220" i="1" s="1"/>
  <c r="AC221" i="1" a="1"/>
  <c r="AC221" i="1" s="1"/>
  <c r="AC222" i="1" a="1"/>
  <c r="AC222" i="1" s="1"/>
  <c r="AC223" i="1" a="1"/>
  <c r="AC223" i="1" s="1"/>
  <c r="AC224" i="1" a="1"/>
  <c r="AC224" i="1" s="1"/>
  <c r="AC225" i="1" a="1"/>
  <c r="AC225" i="1" s="1"/>
  <c r="AC226" i="1" a="1"/>
  <c r="AC226" i="1" s="1"/>
  <c r="AC227" i="1" a="1"/>
  <c r="AC227" i="1" s="1"/>
  <c r="AC228" i="1" a="1"/>
  <c r="AC228" i="1" s="1"/>
  <c r="AC229" i="1" a="1"/>
  <c r="AC229" i="1" s="1"/>
  <c r="AC230" i="1" a="1"/>
  <c r="AC230" i="1" s="1"/>
  <c r="AC231" i="1" a="1"/>
  <c r="AC231" i="1" s="1"/>
  <c r="AC232" i="1" a="1"/>
  <c r="AC232" i="1" s="1"/>
  <c r="AC233" i="1" a="1"/>
  <c r="AC233" i="1" s="1"/>
  <c r="AC234" i="1" a="1"/>
  <c r="AC234" i="1" s="1"/>
  <c r="AC235" i="1" a="1"/>
  <c r="AC235" i="1" s="1"/>
  <c r="AC236" i="1" a="1"/>
  <c r="AC236" i="1" s="1"/>
  <c r="AC237" i="1" a="1"/>
  <c r="AC237" i="1" s="1"/>
  <c r="AC238" i="1" a="1"/>
  <c r="AC238" i="1" s="1"/>
  <c r="AC239" i="1" a="1"/>
  <c r="AC239" i="1" s="1"/>
  <c r="AC240" i="1" a="1"/>
  <c r="AC240" i="1" s="1"/>
  <c r="AC241" i="1" a="1"/>
  <c r="AC241" i="1" s="1"/>
  <c r="AC242" i="1" a="1"/>
  <c r="AC242" i="1" s="1"/>
  <c r="AC243" i="1" a="1"/>
  <c r="AC243" i="1" s="1"/>
  <c r="AC244" i="1" a="1"/>
  <c r="AC244" i="1" s="1"/>
  <c r="AC245" i="1" a="1"/>
  <c r="AC245" i="1" s="1"/>
  <c r="AC246" i="1" a="1"/>
  <c r="AC246" i="1" s="1"/>
  <c r="AC247" i="1" a="1"/>
  <c r="AC247" i="1" s="1"/>
  <c r="AC248" i="1" a="1"/>
  <c r="AC248" i="1" s="1"/>
  <c r="AC249" i="1" a="1"/>
  <c r="AC249" i="1" s="1"/>
  <c r="AC250" i="1" a="1"/>
  <c r="AC250" i="1" s="1"/>
  <c r="AC251" i="1" a="1"/>
  <c r="AC251" i="1" s="1"/>
  <c r="AC252" i="1" a="1"/>
  <c r="AC252" i="1" s="1"/>
  <c r="AC253" i="1" a="1"/>
  <c r="AC253" i="1" s="1"/>
  <c r="AC254" i="1" a="1"/>
  <c r="AC254" i="1" s="1"/>
  <c r="AC255" i="1" a="1"/>
  <c r="AC255" i="1" s="1"/>
  <c r="AC256" i="1" a="1"/>
  <c r="AC256" i="1" s="1"/>
  <c r="AC257" i="1" a="1"/>
  <c r="AC257" i="1" s="1"/>
  <c r="AC258" i="1" a="1"/>
  <c r="AC258" i="1" s="1"/>
  <c r="AC259" i="1" a="1"/>
  <c r="AC259" i="1" s="1"/>
  <c r="AC260" i="1" a="1"/>
  <c r="AC260" i="1" s="1"/>
  <c r="AC261" i="1" a="1"/>
  <c r="AC261" i="1" s="1"/>
  <c r="AC262" i="1" a="1"/>
  <c r="AC262" i="1" s="1"/>
  <c r="AC263" i="1" a="1"/>
  <c r="AC263" i="1" s="1"/>
  <c r="AC264" i="1" a="1"/>
  <c r="AC264" i="1" s="1"/>
  <c r="AC265" i="1" a="1"/>
  <c r="AC265" i="1" s="1"/>
  <c r="AC266" i="1" a="1"/>
  <c r="AC266" i="1" s="1"/>
  <c r="AC267" i="1" a="1"/>
  <c r="AC267" i="1" s="1"/>
  <c r="AC268" i="1" a="1"/>
  <c r="AC268" i="1" s="1"/>
  <c r="AC269" i="1" a="1"/>
  <c r="AC269" i="1" s="1"/>
  <c r="AC270" i="1" a="1"/>
  <c r="AC270" i="1" s="1"/>
  <c r="AC271" i="1" a="1"/>
  <c r="AC271" i="1" s="1"/>
  <c r="AC272" i="1" a="1"/>
  <c r="AC272" i="1" s="1"/>
  <c r="AC273" i="1" a="1"/>
  <c r="AC273" i="1" s="1"/>
  <c r="AC274" i="1" a="1"/>
  <c r="AC274" i="1" s="1"/>
  <c r="AC275" i="1" a="1"/>
  <c r="AC275" i="1" s="1"/>
  <c r="AC276" i="1" a="1"/>
  <c r="AC276" i="1" s="1"/>
  <c r="AC277" i="1" a="1"/>
  <c r="AC277" i="1" s="1"/>
  <c r="AC278" i="1" a="1"/>
  <c r="AC278" i="1" s="1"/>
  <c r="AC279" i="1" a="1"/>
  <c r="AC279" i="1" s="1"/>
  <c r="AC280" i="1" a="1"/>
  <c r="AC280" i="1" s="1"/>
  <c r="AC281" i="1" a="1"/>
  <c r="AC281" i="1" s="1"/>
  <c r="AC282" i="1" a="1"/>
  <c r="AC282" i="1" s="1"/>
  <c r="AC283" i="1" a="1"/>
  <c r="AC283" i="1" s="1"/>
  <c r="AC284" i="1" a="1"/>
  <c r="AC284" i="1" s="1"/>
  <c r="AC285" i="1" a="1"/>
  <c r="AC285" i="1" s="1"/>
  <c r="AC286" i="1" a="1"/>
  <c r="AC286" i="1" s="1"/>
  <c r="AC287" i="1" a="1"/>
  <c r="AC287" i="1" s="1"/>
  <c r="AC288" i="1" a="1"/>
  <c r="AC288" i="1" s="1"/>
  <c r="AC289" i="1" a="1"/>
  <c r="AC289" i="1" s="1"/>
  <c r="AC290" i="1" a="1"/>
  <c r="AC290" i="1" s="1"/>
  <c r="AC291" i="1" a="1"/>
  <c r="AC291" i="1" s="1"/>
  <c r="AC292" i="1" a="1"/>
  <c r="AC292" i="1" s="1"/>
  <c r="AC293" i="1" a="1"/>
  <c r="AC293" i="1" s="1"/>
  <c r="AC294" i="1" a="1"/>
  <c r="AC294" i="1" s="1"/>
  <c r="AC295" i="1" a="1"/>
  <c r="AC295" i="1" s="1"/>
  <c r="AC296" i="1" a="1"/>
  <c r="AC296" i="1" s="1"/>
  <c r="AC297" i="1" a="1"/>
  <c r="AC297" i="1" s="1"/>
  <c r="AC298" i="1" a="1"/>
  <c r="AC298" i="1" s="1"/>
  <c r="AC299" i="1" a="1"/>
  <c r="AC299" i="1" s="1"/>
  <c r="AC300" i="1" a="1"/>
  <c r="AC300" i="1" s="1"/>
  <c r="AC301" i="1" a="1"/>
  <c r="AC301" i="1" s="1"/>
  <c r="AC302" i="1" a="1"/>
  <c r="AC302" i="1" s="1"/>
  <c r="AC303" i="1" a="1"/>
  <c r="AC303" i="1" s="1"/>
  <c r="AC304" i="1" a="1"/>
  <c r="AC304" i="1" s="1"/>
  <c r="AC305" i="1" a="1"/>
  <c r="AC305" i="1" s="1"/>
  <c r="AC306" i="1" a="1"/>
  <c r="AC306" i="1" s="1"/>
  <c r="AC307" i="1" a="1"/>
  <c r="AC307" i="1" s="1"/>
  <c r="AC308" i="1" a="1"/>
  <c r="AC308" i="1" s="1"/>
  <c r="AC309" i="1" a="1"/>
  <c r="AC309" i="1" s="1"/>
  <c r="AC310" i="1" a="1"/>
  <c r="AC310" i="1" s="1"/>
  <c r="AC311" i="1" a="1"/>
  <c r="AC311" i="1" s="1"/>
  <c r="AC312" i="1" a="1"/>
  <c r="AC312" i="1" s="1"/>
  <c r="AC313" i="1" a="1"/>
  <c r="AC313" i="1" s="1"/>
  <c r="AC314" i="1" a="1"/>
  <c r="AC314" i="1" s="1"/>
  <c r="AC315" i="1" a="1"/>
  <c r="AC315" i="1" s="1"/>
  <c r="AC316" i="1" a="1"/>
  <c r="AC316" i="1" s="1"/>
  <c r="AC317" i="1" a="1"/>
  <c r="AC317" i="1" s="1"/>
  <c r="AC318" i="1" a="1"/>
  <c r="AC318" i="1" s="1"/>
  <c r="AC319" i="1" a="1"/>
  <c r="AC319" i="1" s="1"/>
  <c r="AC320" i="1" a="1"/>
  <c r="AC320" i="1" s="1"/>
  <c r="AC321" i="1" a="1"/>
  <c r="AC321" i="1" s="1"/>
  <c r="AC322" i="1" a="1"/>
  <c r="AC322" i="1" s="1"/>
  <c r="AC323" i="1" a="1"/>
  <c r="AC323" i="1" s="1"/>
  <c r="AC324" i="1" a="1"/>
  <c r="AC324" i="1" s="1"/>
  <c r="AC325" i="1" a="1"/>
  <c r="AC325" i="1" s="1"/>
  <c r="AC326" i="1" a="1"/>
  <c r="AC326" i="1" s="1"/>
  <c r="AC327" i="1" a="1"/>
  <c r="AC327" i="1" s="1"/>
  <c r="AC328" i="1" a="1"/>
  <c r="AC328" i="1" s="1"/>
  <c r="AC329" i="1" a="1"/>
  <c r="AC329" i="1" s="1"/>
  <c r="AC330" i="1" a="1"/>
  <c r="AC330" i="1" s="1"/>
  <c r="AC331" i="1" a="1"/>
  <c r="AC331" i="1" s="1"/>
  <c r="AC332" i="1" a="1"/>
  <c r="AC332" i="1" s="1"/>
  <c r="AC333" i="1" a="1"/>
  <c r="AC333" i="1" s="1"/>
  <c r="AC334" i="1" a="1"/>
  <c r="AC334" i="1" s="1"/>
  <c r="AC335" i="1" a="1"/>
  <c r="AC335" i="1" s="1"/>
  <c r="AC336" i="1" a="1"/>
  <c r="AC336" i="1" s="1"/>
  <c r="AC337" i="1" a="1"/>
  <c r="AC337" i="1" s="1"/>
  <c r="AC338" i="1" a="1"/>
  <c r="AC338" i="1" s="1"/>
  <c r="AC339" i="1" a="1"/>
  <c r="AC339" i="1" s="1"/>
  <c r="AC340" i="1" a="1"/>
  <c r="AC340" i="1" s="1"/>
  <c r="AC341" i="1" a="1"/>
  <c r="AC341" i="1" s="1"/>
  <c r="AC342" i="1" a="1"/>
  <c r="AC342" i="1" s="1"/>
  <c r="AC343" i="1" a="1"/>
  <c r="AC343" i="1" s="1"/>
  <c r="AC344" i="1" a="1"/>
  <c r="AC344" i="1" s="1"/>
  <c r="AC345" i="1" a="1"/>
  <c r="AC345" i="1" s="1"/>
  <c r="AC346" i="1" a="1"/>
  <c r="AC346" i="1" s="1"/>
  <c r="AC347" i="1" a="1"/>
  <c r="AC347" i="1" s="1"/>
  <c r="AC348" i="1" a="1"/>
  <c r="AC348" i="1" s="1"/>
  <c r="AC349" i="1" a="1"/>
  <c r="AC349" i="1" s="1"/>
  <c r="AC350" i="1" a="1"/>
  <c r="AC350" i="1" s="1"/>
  <c r="AC351" i="1" a="1"/>
  <c r="AC351" i="1" s="1"/>
  <c r="AC352" i="1" a="1"/>
  <c r="AC352" i="1" s="1"/>
  <c r="AC353" i="1" a="1"/>
  <c r="AC353" i="1" s="1"/>
  <c r="AC354" i="1" a="1"/>
  <c r="AC354" i="1" s="1"/>
  <c r="AC355" i="1" a="1"/>
  <c r="AC355" i="1" s="1"/>
  <c r="AC356" i="1" a="1"/>
  <c r="AC356" i="1" s="1"/>
  <c r="AC357" i="1" a="1"/>
  <c r="AC357" i="1" s="1"/>
  <c r="AC358" i="1" a="1"/>
  <c r="AC358" i="1" s="1"/>
  <c r="AC359" i="1" a="1"/>
  <c r="AC359" i="1" s="1"/>
  <c r="AC360" i="1" a="1"/>
  <c r="AC360" i="1" s="1"/>
  <c r="AC361" i="1" a="1"/>
  <c r="AC361" i="1" s="1"/>
  <c r="AC362" i="1" a="1"/>
  <c r="AC362" i="1" s="1"/>
  <c r="AC363" i="1" a="1"/>
  <c r="AC363" i="1" s="1"/>
  <c r="AC364" i="1" a="1"/>
  <c r="AC364" i="1" s="1"/>
  <c r="AC365" i="1" a="1"/>
  <c r="AC365" i="1" s="1"/>
  <c r="AC366" i="1" a="1"/>
  <c r="AC366" i="1" s="1"/>
  <c r="AC367" i="1" a="1"/>
  <c r="AC367" i="1" s="1"/>
  <c r="AC368" i="1" a="1"/>
  <c r="AC368" i="1" s="1"/>
  <c r="AC369" i="1" a="1"/>
  <c r="AC369" i="1" s="1"/>
  <c r="AC370" i="1" a="1"/>
  <c r="AC370" i="1" s="1"/>
  <c r="AC371" i="1" a="1"/>
  <c r="AC371" i="1" s="1"/>
  <c r="AC372" i="1" a="1"/>
  <c r="AC372" i="1" s="1"/>
  <c r="AC373" i="1" a="1"/>
  <c r="AC373" i="1" s="1"/>
  <c r="AC374" i="1" a="1"/>
  <c r="AC374" i="1" s="1"/>
  <c r="AC375" i="1" a="1"/>
  <c r="AC375" i="1" s="1"/>
  <c r="AC376" i="1" a="1"/>
  <c r="AC376" i="1" s="1"/>
  <c r="AC377" i="1" a="1"/>
  <c r="AC377" i="1" s="1"/>
  <c r="AC378" i="1" a="1"/>
  <c r="AC378" i="1" s="1"/>
  <c r="AC379" i="1" a="1"/>
  <c r="AC379" i="1" s="1"/>
  <c r="AC380" i="1" a="1"/>
  <c r="AC380" i="1" s="1"/>
  <c r="AC381" i="1" a="1"/>
  <c r="AC381" i="1" s="1"/>
  <c r="AC382" i="1" a="1"/>
  <c r="AC382" i="1" s="1"/>
  <c r="AC383" i="1" a="1"/>
  <c r="AC383" i="1" s="1"/>
  <c r="AC384" i="1" a="1"/>
  <c r="AC384" i="1" s="1"/>
  <c r="AC385" i="1" a="1"/>
  <c r="AC385" i="1" s="1"/>
  <c r="AC386" i="1" a="1"/>
  <c r="AC386" i="1" s="1"/>
  <c r="AC387" i="1" a="1"/>
  <c r="AC387" i="1" s="1"/>
  <c r="AC388" i="1" a="1"/>
  <c r="AC388" i="1" s="1"/>
  <c r="AC389" i="1" a="1"/>
  <c r="AC389" i="1" s="1"/>
  <c r="AC390" i="1" a="1"/>
  <c r="AC390" i="1" s="1"/>
  <c r="AC391" i="1" a="1"/>
  <c r="AC391" i="1" s="1"/>
  <c r="AC392" i="1" a="1"/>
  <c r="AC392" i="1" s="1"/>
  <c r="AC393" i="1" a="1"/>
  <c r="AC393" i="1" s="1"/>
  <c r="AC394" i="1" a="1"/>
  <c r="AC394" i="1" s="1"/>
  <c r="AC395" i="1" a="1"/>
  <c r="AC395" i="1" s="1"/>
  <c r="AC396" i="1" a="1"/>
  <c r="AC396" i="1" s="1"/>
  <c r="AC397" i="1" a="1"/>
  <c r="AC397" i="1" s="1"/>
  <c r="AC398" i="1" a="1"/>
  <c r="AC398" i="1" s="1"/>
  <c r="AC399" i="1" a="1"/>
  <c r="AC399" i="1" s="1"/>
  <c r="AC400" i="1" a="1"/>
  <c r="AC400" i="1" s="1"/>
  <c r="AC401" i="1" a="1"/>
  <c r="AC401" i="1" s="1"/>
  <c r="AC402" i="1" a="1"/>
  <c r="AC402" i="1" s="1"/>
  <c r="AC403" i="1" a="1"/>
  <c r="AC403" i="1" s="1"/>
  <c r="AC404" i="1" a="1"/>
  <c r="AC404" i="1" s="1"/>
  <c r="AC405" i="1" a="1"/>
  <c r="AC405" i="1" s="1"/>
  <c r="AC406" i="1" a="1"/>
  <c r="AC406" i="1" s="1"/>
  <c r="AC407" i="1" a="1"/>
  <c r="AC407" i="1" s="1"/>
  <c r="AC408" i="1" a="1"/>
  <c r="AC408" i="1" s="1"/>
  <c r="AC409" i="1" a="1"/>
  <c r="AC409" i="1" s="1"/>
  <c r="AC410" i="1" a="1"/>
  <c r="AC410" i="1" s="1"/>
  <c r="AC411" i="1" a="1"/>
  <c r="AC411" i="1" s="1"/>
  <c r="AC412" i="1" a="1"/>
  <c r="AC412" i="1" s="1"/>
  <c r="AC413" i="1" a="1"/>
  <c r="AC413" i="1" s="1"/>
  <c r="AC414" i="1" a="1"/>
  <c r="AC414" i="1" s="1"/>
  <c r="AC415" i="1" a="1"/>
  <c r="AC415" i="1" s="1"/>
  <c r="AC416" i="1" a="1"/>
  <c r="AC416" i="1" s="1"/>
  <c r="AC417" i="1" a="1"/>
  <c r="AC417" i="1" s="1"/>
  <c r="AC418" i="1" a="1"/>
  <c r="AC418" i="1" s="1"/>
  <c r="AC419" i="1" a="1"/>
  <c r="AC419" i="1" s="1"/>
  <c r="AC420" i="1" a="1"/>
  <c r="AC420" i="1" s="1"/>
  <c r="AC421" i="1" a="1"/>
  <c r="AC421" i="1" s="1"/>
  <c r="AC422" i="1" a="1"/>
  <c r="AC422" i="1" s="1"/>
  <c r="AC423" i="1" a="1"/>
  <c r="AC423" i="1" s="1"/>
  <c r="AC424" i="1" a="1"/>
  <c r="AC424" i="1" s="1"/>
  <c r="AC425" i="1" a="1"/>
  <c r="AC425" i="1" s="1"/>
  <c r="AC426" i="1" a="1"/>
  <c r="AC426" i="1" s="1"/>
  <c r="AC427" i="1" a="1"/>
  <c r="AC427" i="1" s="1"/>
  <c r="AC428" i="1" a="1"/>
  <c r="AC428" i="1" s="1"/>
  <c r="AC429" i="1" a="1"/>
  <c r="AC429" i="1" s="1"/>
  <c r="AC430" i="1" a="1"/>
  <c r="AC430" i="1" s="1"/>
  <c r="AC431" i="1" a="1"/>
  <c r="AC431" i="1" s="1"/>
  <c r="AC432" i="1" a="1"/>
  <c r="AC432" i="1" s="1"/>
  <c r="AC433" i="1" a="1"/>
  <c r="AC433" i="1" s="1"/>
  <c r="AC434" i="1" a="1"/>
  <c r="AC434" i="1" s="1"/>
  <c r="AC435" i="1" a="1"/>
  <c r="AC435" i="1" s="1"/>
  <c r="AC436" i="1" a="1"/>
  <c r="AC436" i="1" s="1"/>
  <c r="AC437" i="1" a="1"/>
  <c r="AC437" i="1" s="1"/>
  <c r="AC438" i="1" a="1"/>
  <c r="AC438" i="1" s="1"/>
  <c r="AC439" i="1" a="1"/>
  <c r="AC439" i="1" s="1"/>
  <c r="AC440" i="1" a="1"/>
  <c r="AC440" i="1" s="1"/>
  <c r="AC441" i="1" a="1"/>
  <c r="AC441" i="1" s="1"/>
  <c r="AC442" i="1" a="1"/>
  <c r="AC442" i="1" s="1"/>
  <c r="AC443" i="1" a="1"/>
  <c r="AC443" i="1" s="1"/>
  <c r="AC444" i="1" a="1"/>
  <c r="AC444" i="1" s="1"/>
  <c r="AC445" i="1" a="1"/>
  <c r="AC445" i="1" s="1"/>
  <c r="AC446" i="1" a="1"/>
  <c r="AC446" i="1" s="1"/>
  <c r="AC447" i="1" a="1"/>
  <c r="AC447" i="1" s="1"/>
  <c r="AC448" i="1" a="1"/>
  <c r="AC448" i="1" s="1"/>
  <c r="AC449" i="1" a="1"/>
  <c r="AC449" i="1" s="1"/>
  <c r="AC450" i="1" a="1"/>
  <c r="AC450" i="1" s="1"/>
  <c r="AC451" i="1" a="1"/>
  <c r="AC451" i="1" s="1"/>
  <c r="AC452" i="1" a="1"/>
  <c r="AC452" i="1" s="1"/>
  <c r="AC453" i="1" a="1"/>
  <c r="AC453" i="1" s="1"/>
  <c r="AC454" i="1" a="1"/>
  <c r="AC454" i="1" s="1"/>
  <c r="AC455" i="1" a="1"/>
  <c r="AC455" i="1" s="1"/>
  <c r="AC456" i="1" a="1"/>
  <c r="AC456" i="1" s="1"/>
  <c r="AC457" i="1" a="1"/>
  <c r="AC457" i="1" s="1"/>
  <c r="AC458" i="1" a="1"/>
  <c r="AC458" i="1" s="1"/>
  <c r="AC459" i="1" a="1"/>
  <c r="AC459" i="1" s="1"/>
  <c r="AC460" i="1" a="1"/>
  <c r="AC460" i="1" s="1"/>
  <c r="AC461" i="1" a="1"/>
  <c r="AC461" i="1" s="1"/>
  <c r="AC462" i="1" a="1"/>
  <c r="AC462" i="1" s="1"/>
  <c r="AC463" i="1" a="1"/>
  <c r="AC463" i="1" s="1"/>
  <c r="AC464" i="1" a="1"/>
  <c r="AC464" i="1" s="1"/>
  <c r="AC465" i="1" a="1"/>
  <c r="AC465" i="1" s="1"/>
  <c r="AC466" i="1" a="1"/>
  <c r="AC466" i="1" s="1"/>
  <c r="AC467" i="1" a="1"/>
  <c r="AC467" i="1" s="1"/>
  <c r="AC468" i="1" a="1"/>
  <c r="AC468" i="1" s="1"/>
  <c r="AC469" i="1" a="1"/>
  <c r="AC469" i="1" s="1"/>
  <c r="AC470" i="1" a="1"/>
  <c r="AC470" i="1" s="1"/>
  <c r="AC471" i="1" a="1"/>
  <c r="AC471" i="1" s="1"/>
  <c r="AC472" i="1" a="1"/>
  <c r="AC472" i="1" s="1"/>
  <c r="AC473" i="1" a="1"/>
  <c r="AC473" i="1" s="1"/>
  <c r="AC474" i="1" a="1"/>
  <c r="AC474" i="1" s="1"/>
  <c r="AC475" i="1" a="1"/>
  <c r="AC475" i="1" s="1"/>
  <c r="AC476" i="1" a="1"/>
  <c r="AC476" i="1" s="1"/>
  <c r="AC477" i="1" a="1"/>
  <c r="AC477" i="1" s="1"/>
  <c r="AC478" i="1" a="1"/>
  <c r="AC478" i="1" s="1"/>
  <c r="AC479" i="1" a="1"/>
  <c r="AC479" i="1" s="1"/>
  <c r="AC480" i="1" a="1"/>
  <c r="AC480" i="1" s="1"/>
  <c r="AC481" i="1" a="1"/>
  <c r="AC481" i="1" s="1"/>
  <c r="AC482" i="1" a="1"/>
  <c r="AC482" i="1" s="1"/>
  <c r="AC483" i="1" a="1"/>
  <c r="AC483" i="1" s="1"/>
  <c r="AC484" i="1" a="1"/>
  <c r="AC484" i="1" s="1"/>
  <c r="AC485" i="1" a="1"/>
  <c r="AC485" i="1" s="1"/>
  <c r="AC486" i="1" a="1"/>
  <c r="AC486" i="1" s="1"/>
  <c r="AC487" i="1" a="1"/>
  <c r="AC487" i="1" s="1"/>
  <c r="AC488" i="1" a="1"/>
  <c r="AC488" i="1" s="1"/>
  <c r="AC489" i="1" a="1"/>
  <c r="AC489" i="1" s="1"/>
  <c r="AC490" i="1" a="1"/>
  <c r="AC490" i="1" s="1"/>
  <c r="AC491" i="1" a="1"/>
  <c r="AC491" i="1" s="1"/>
  <c r="AC492" i="1" a="1"/>
  <c r="AC492" i="1" s="1"/>
  <c r="AC493" i="1" a="1"/>
  <c r="AC493" i="1" s="1"/>
  <c r="AC494" i="1" a="1"/>
  <c r="AC494" i="1" s="1"/>
  <c r="AC495" i="1" a="1"/>
  <c r="AC495" i="1" s="1"/>
  <c r="AC496" i="1" a="1"/>
  <c r="AC496" i="1" s="1"/>
  <c r="AC497" i="1" a="1"/>
  <c r="AC497" i="1" s="1"/>
  <c r="AC498" i="1" a="1"/>
  <c r="AC498" i="1" s="1"/>
  <c r="AC499" i="1" a="1"/>
  <c r="AC499" i="1" s="1"/>
  <c r="AC500" i="1" a="1"/>
  <c r="AC500" i="1" s="1"/>
  <c r="AC501" i="1" a="1"/>
  <c r="AC501" i="1" s="1"/>
  <c r="AC502" i="1" a="1"/>
  <c r="AC502" i="1" s="1"/>
  <c r="AC503" i="1" a="1"/>
  <c r="AC503" i="1" s="1"/>
  <c r="AC504" i="1" a="1"/>
  <c r="AC504" i="1" s="1"/>
  <c r="AC505" i="1" a="1"/>
  <c r="AC505" i="1" s="1"/>
  <c r="AC506" i="1" a="1"/>
  <c r="AC506" i="1" s="1"/>
  <c r="AC507" i="1" a="1"/>
  <c r="AC507" i="1" s="1"/>
  <c r="AC508" i="1" a="1"/>
  <c r="AC508" i="1" s="1"/>
  <c r="AC509" i="1" a="1"/>
  <c r="AC509" i="1" s="1"/>
  <c r="AC510" i="1" a="1"/>
  <c r="AC510" i="1" s="1"/>
  <c r="AC511" i="1" a="1"/>
  <c r="AC511" i="1" s="1"/>
  <c r="AC512" i="1" a="1"/>
  <c r="AC512" i="1" s="1"/>
  <c r="AC513" i="1" a="1"/>
  <c r="AC513" i="1" s="1"/>
  <c r="AC514" i="1" a="1"/>
  <c r="AC514" i="1" s="1"/>
  <c r="AC515" i="1" a="1"/>
  <c r="AC515" i="1" s="1"/>
  <c r="AC516" i="1" a="1"/>
  <c r="AC516" i="1" s="1"/>
  <c r="AC517" i="1" a="1"/>
  <c r="AC517" i="1" s="1"/>
  <c r="AC518" i="1" a="1"/>
  <c r="AC518" i="1" s="1"/>
  <c r="AC519" i="1" a="1"/>
  <c r="AC519" i="1" s="1"/>
  <c r="AC520" i="1" a="1"/>
  <c r="AC520" i="1" s="1"/>
  <c r="AC521" i="1" a="1"/>
  <c r="AC521" i="1" s="1"/>
  <c r="AC522" i="1" a="1"/>
  <c r="AC522" i="1" s="1"/>
  <c r="AC523" i="1" a="1"/>
  <c r="AC523" i="1" s="1"/>
  <c r="AC524" i="1" a="1"/>
  <c r="AC524" i="1" s="1"/>
  <c r="AC525" i="1" a="1"/>
  <c r="AC525" i="1" s="1"/>
  <c r="AC526" i="1" a="1"/>
  <c r="AC526" i="1" s="1"/>
  <c r="AC527" i="1" a="1"/>
  <c r="AC527" i="1" s="1"/>
  <c r="AC528" i="1" a="1"/>
  <c r="AC528" i="1" s="1"/>
  <c r="AC529" i="1" a="1"/>
  <c r="AC529" i="1" s="1"/>
  <c r="AC530" i="1" a="1"/>
  <c r="AC530" i="1" s="1"/>
  <c r="AC531" i="1" a="1"/>
  <c r="AC531" i="1" s="1"/>
  <c r="AC532" i="1" a="1"/>
  <c r="AC532" i="1" s="1"/>
  <c r="AC533" i="1" a="1"/>
  <c r="AC533" i="1" s="1"/>
  <c r="AC534" i="1" a="1"/>
  <c r="AC534" i="1" s="1"/>
  <c r="AC535" i="1" a="1"/>
  <c r="AC535" i="1" s="1"/>
  <c r="AC536" i="1" a="1"/>
  <c r="AC536" i="1" s="1"/>
  <c r="AC537" i="1" a="1"/>
  <c r="AC537" i="1" s="1"/>
  <c r="AC538" i="1" a="1"/>
  <c r="AC538" i="1" s="1"/>
  <c r="AC539" i="1" a="1"/>
  <c r="AC539" i="1" s="1"/>
  <c r="AC540" i="1" a="1"/>
  <c r="AC540" i="1" s="1"/>
  <c r="AC541" i="1" a="1"/>
  <c r="AC541" i="1" s="1"/>
  <c r="AC542" i="1" a="1"/>
  <c r="AC542" i="1" s="1"/>
  <c r="AC543" i="1" a="1"/>
  <c r="AC543" i="1" s="1"/>
  <c r="AC544" i="1" a="1"/>
  <c r="AC544" i="1" s="1"/>
  <c r="AC545" i="1" a="1"/>
  <c r="AC545" i="1" s="1"/>
  <c r="AC546" i="1" a="1"/>
  <c r="AC546" i="1" s="1"/>
  <c r="AC547" i="1" a="1"/>
  <c r="AC547" i="1" s="1"/>
  <c r="AC548" i="1" a="1"/>
  <c r="AC548" i="1" s="1"/>
  <c r="AC549" i="1" a="1"/>
  <c r="AC549" i="1" s="1"/>
  <c r="AC550" i="1" a="1"/>
  <c r="AC550" i="1" s="1"/>
  <c r="AC551" i="1" a="1"/>
  <c r="AC551" i="1" s="1"/>
  <c r="AC552" i="1" a="1"/>
  <c r="AC552" i="1" s="1"/>
  <c r="AC553" i="1" a="1"/>
  <c r="AC553" i="1" s="1"/>
  <c r="AC554" i="1" a="1"/>
  <c r="AC554" i="1" s="1"/>
  <c r="AC555" i="1" a="1"/>
  <c r="AC555" i="1" s="1"/>
  <c r="AC556" i="1" a="1"/>
  <c r="AC556" i="1" s="1"/>
  <c r="AC557" i="1" a="1"/>
  <c r="AC557" i="1" s="1"/>
  <c r="AC558" i="1" a="1"/>
  <c r="AC558" i="1" s="1"/>
  <c r="AC559" i="1" a="1"/>
  <c r="AC559" i="1" s="1"/>
  <c r="AC4" i="1" a="1"/>
  <c r="AC4" i="1" s="1"/>
  <c r="AC3" i="1" a="1"/>
  <c r="AC3" i="1" s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3" i="1"/>
  <c r="I785" i="1" a="1"/>
  <c r="I785" i="1" s="1"/>
  <c r="P785" i="1" s="1"/>
  <c r="U785" i="1" s="1"/>
  <c r="J785" i="1" a="1"/>
  <c r="J785" i="1" s="1"/>
  <c r="K785" i="1" a="1"/>
  <c r="K785" i="1" s="1"/>
  <c r="R785" i="1" s="1"/>
  <c r="I786" i="1" a="1"/>
  <c r="I786" i="1" s="1"/>
  <c r="P786" i="1" s="1"/>
  <c r="J786" i="1" a="1"/>
  <c r="J786" i="1" s="1"/>
  <c r="K786" i="1" a="1"/>
  <c r="K786" i="1" s="1"/>
  <c r="R786" i="1" s="1"/>
  <c r="I787" i="1" a="1"/>
  <c r="I787" i="1" s="1"/>
  <c r="P787" i="1" s="1"/>
  <c r="U787" i="1" s="1"/>
  <c r="J787" i="1" a="1"/>
  <c r="J787" i="1" s="1"/>
  <c r="V787" i="1" s="1"/>
  <c r="K787" i="1" a="1"/>
  <c r="K787" i="1" s="1"/>
  <c r="R787" i="1" s="1"/>
  <c r="I788" i="1" a="1"/>
  <c r="I788" i="1" s="1"/>
  <c r="P788" i="1" s="1"/>
  <c r="J788" i="1" a="1"/>
  <c r="J788" i="1" s="1"/>
  <c r="K788" i="1" a="1"/>
  <c r="K788" i="1" s="1"/>
  <c r="R788" i="1" s="1"/>
  <c r="I789" i="1" a="1"/>
  <c r="I789" i="1" s="1"/>
  <c r="P789" i="1" s="1"/>
  <c r="J789" i="1" a="1"/>
  <c r="J789" i="1" s="1"/>
  <c r="K789" i="1" a="1"/>
  <c r="K789" i="1" s="1"/>
  <c r="R789" i="1" s="1"/>
  <c r="I790" i="1" a="1"/>
  <c r="I790" i="1" s="1"/>
  <c r="P790" i="1" s="1"/>
  <c r="J790" i="1" a="1"/>
  <c r="J790" i="1" s="1"/>
  <c r="K790" i="1" a="1"/>
  <c r="K790" i="1" s="1"/>
  <c r="R790" i="1" s="1"/>
  <c r="I791" i="1" a="1"/>
  <c r="I791" i="1" s="1"/>
  <c r="P791" i="1" s="1"/>
  <c r="J791" i="1" a="1"/>
  <c r="J791" i="1" s="1"/>
  <c r="V791" i="1" s="1"/>
  <c r="K791" i="1" a="1"/>
  <c r="K791" i="1" s="1"/>
  <c r="R791" i="1" s="1"/>
  <c r="I792" i="1" a="1"/>
  <c r="I792" i="1" s="1"/>
  <c r="P792" i="1" s="1"/>
  <c r="J792" i="1" a="1"/>
  <c r="J792" i="1" s="1"/>
  <c r="K792" i="1" a="1"/>
  <c r="K792" i="1" s="1"/>
  <c r="R792" i="1" s="1"/>
  <c r="I793" i="1" a="1"/>
  <c r="I793" i="1" s="1"/>
  <c r="P793" i="1" s="1"/>
  <c r="J793" i="1" a="1"/>
  <c r="J793" i="1" s="1"/>
  <c r="K793" i="1" a="1"/>
  <c r="K793" i="1" s="1"/>
  <c r="R793" i="1" s="1"/>
  <c r="I794" i="1" a="1"/>
  <c r="I794" i="1" s="1"/>
  <c r="P794" i="1" s="1"/>
  <c r="J794" i="1" a="1"/>
  <c r="J794" i="1" s="1"/>
  <c r="K794" i="1" a="1"/>
  <c r="K794" i="1" s="1"/>
  <c r="R794" i="1" s="1"/>
  <c r="I795" i="1" a="1"/>
  <c r="I795" i="1" s="1"/>
  <c r="P795" i="1" s="1"/>
  <c r="U795" i="1" s="1"/>
  <c r="X795" i="1" s="1"/>
  <c r="J795" i="1" a="1"/>
  <c r="J795" i="1" s="1"/>
  <c r="V795" i="1" s="1"/>
  <c r="K795" i="1" a="1"/>
  <c r="K795" i="1" s="1"/>
  <c r="R795" i="1" s="1"/>
  <c r="I796" i="1" a="1"/>
  <c r="I796" i="1" s="1"/>
  <c r="P796" i="1" s="1"/>
  <c r="J796" i="1" a="1"/>
  <c r="J796" i="1" s="1"/>
  <c r="K796" i="1" a="1"/>
  <c r="K796" i="1" s="1"/>
  <c r="R796" i="1" s="1"/>
  <c r="I797" i="1" a="1"/>
  <c r="I797" i="1" s="1"/>
  <c r="P797" i="1" s="1"/>
  <c r="U797" i="1" s="1"/>
  <c r="J797" i="1" a="1"/>
  <c r="J797" i="1" s="1"/>
  <c r="K797" i="1" a="1"/>
  <c r="K797" i="1" s="1"/>
  <c r="R797" i="1" s="1"/>
  <c r="I798" i="1" a="1"/>
  <c r="I798" i="1" s="1"/>
  <c r="P798" i="1" s="1"/>
  <c r="U798" i="1" s="1"/>
  <c r="X798" i="1" s="1"/>
  <c r="J798" i="1" a="1"/>
  <c r="J798" i="1" s="1"/>
  <c r="K798" i="1" a="1"/>
  <c r="K798" i="1" s="1"/>
  <c r="R798" i="1" s="1"/>
  <c r="I799" i="1" a="1"/>
  <c r="I799" i="1" s="1"/>
  <c r="P799" i="1" s="1"/>
  <c r="U799" i="1" s="1"/>
  <c r="J799" i="1" a="1"/>
  <c r="J799" i="1" s="1"/>
  <c r="K799" i="1" a="1"/>
  <c r="K799" i="1" s="1"/>
  <c r="R799" i="1" s="1"/>
  <c r="I800" i="1" a="1"/>
  <c r="I800" i="1" s="1"/>
  <c r="P800" i="1" s="1"/>
  <c r="J800" i="1" a="1"/>
  <c r="J800" i="1" s="1"/>
  <c r="K800" i="1" a="1"/>
  <c r="K800" i="1" s="1"/>
  <c r="R800" i="1" s="1"/>
  <c r="I801" i="1" a="1"/>
  <c r="I801" i="1" s="1"/>
  <c r="P801" i="1" s="1"/>
  <c r="U801" i="1" s="1"/>
  <c r="J801" i="1" a="1"/>
  <c r="J801" i="1" s="1"/>
  <c r="K801" i="1" a="1"/>
  <c r="K801" i="1" s="1"/>
  <c r="R801" i="1" s="1"/>
  <c r="I802" i="1" a="1"/>
  <c r="I802" i="1" s="1"/>
  <c r="P802" i="1" s="1"/>
  <c r="U802" i="1" s="1"/>
  <c r="J802" i="1" a="1"/>
  <c r="J802" i="1" s="1"/>
  <c r="K802" i="1" a="1"/>
  <c r="K802" i="1" s="1"/>
  <c r="R802" i="1" s="1"/>
  <c r="I803" i="1" a="1"/>
  <c r="I803" i="1" s="1"/>
  <c r="P803" i="1" s="1"/>
  <c r="J803" i="1" a="1"/>
  <c r="J803" i="1" s="1"/>
  <c r="K803" i="1" a="1"/>
  <c r="K803" i="1" s="1"/>
  <c r="R803" i="1" s="1"/>
  <c r="I804" i="1" a="1"/>
  <c r="I804" i="1" s="1"/>
  <c r="P804" i="1" s="1"/>
  <c r="J804" i="1" a="1"/>
  <c r="J804" i="1" s="1"/>
  <c r="K804" i="1" a="1"/>
  <c r="K804" i="1" s="1"/>
  <c r="R804" i="1" s="1"/>
  <c r="I805" i="1" a="1"/>
  <c r="I805" i="1" s="1"/>
  <c r="P805" i="1" s="1"/>
  <c r="J805" i="1" a="1"/>
  <c r="J805" i="1" s="1"/>
  <c r="K805" i="1" a="1"/>
  <c r="K805" i="1" s="1"/>
  <c r="R805" i="1" s="1"/>
  <c r="I806" i="1" a="1"/>
  <c r="I806" i="1" s="1"/>
  <c r="P806" i="1" s="1"/>
  <c r="J806" i="1" a="1"/>
  <c r="J806" i="1" s="1"/>
  <c r="V806" i="1" s="1"/>
  <c r="K806" i="1" a="1"/>
  <c r="K806" i="1" s="1"/>
  <c r="R806" i="1" s="1"/>
  <c r="I807" i="1" a="1"/>
  <c r="I807" i="1" s="1"/>
  <c r="P807" i="1" s="1"/>
  <c r="J807" i="1" a="1"/>
  <c r="J807" i="1" s="1"/>
  <c r="K807" i="1" a="1"/>
  <c r="K807" i="1" s="1"/>
  <c r="R807" i="1" s="1"/>
  <c r="I808" i="1" a="1"/>
  <c r="I808" i="1" s="1"/>
  <c r="P808" i="1" s="1"/>
  <c r="J808" i="1" a="1"/>
  <c r="J808" i="1" s="1"/>
  <c r="K808" i="1" a="1"/>
  <c r="K808" i="1" s="1"/>
  <c r="R808" i="1" s="1"/>
  <c r="I809" i="1" a="1"/>
  <c r="I809" i="1" s="1"/>
  <c r="P809" i="1" s="1"/>
  <c r="J809" i="1" a="1"/>
  <c r="J809" i="1" s="1"/>
  <c r="K809" i="1" a="1"/>
  <c r="K809" i="1" s="1"/>
  <c r="R809" i="1" s="1"/>
  <c r="I810" i="1" a="1"/>
  <c r="I810" i="1" s="1"/>
  <c r="P810" i="1" s="1"/>
  <c r="J810" i="1" a="1"/>
  <c r="J810" i="1" s="1"/>
  <c r="V810" i="1" s="1"/>
  <c r="K810" i="1" a="1"/>
  <c r="K810" i="1" s="1"/>
  <c r="R810" i="1" s="1"/>
  <c r="I811" i="1" a="1"/>
  <c r="I811" i="1" s="1"/>
  <c r="P811" i="1" s="1"/>
  <c r="U811" i="1" s="1"/>
  <c r="J811" i="1" a="1"/>
  <c r="J811" i="1" s="1"/>
  <c r="K811" i="1" a="1"/>
  <c r="K811" i="1" s="1"/>
  <c r="R811" i="1" s="1"/>
  <c r="I812" i="1" a="1"/>
  <c r="I812" i="1" s="1"/>
  <c r="P812" i="1" s="1"/>
  <c r="J812" i="1" a="1"/>
  <c r="J812" i="1" s="1"/>
  <c r="K812" i="1" a="1"/>
  <c r="K812" i="1" s="1"/>
  <c r="R812" i="1" s="1"/>
  <c r="I813" i="1" a="1"/>
  <c r="I813" i="1" s="1"/>
  <c r="P813" i="1" s="1"/>
  <c r="J813" i="1" a="1"/>
  <c r="J813" i="1" s="1"/>
  <c r="K813" i="1" a="1"/>
  <c r="K813" i="1" s="1"/>
  <c r="R813" i="1" s="1"/>
  <c r="I814" i="1" a="1"/>
  <c r="I814" i="1" s="1"/>
  <c r="P814" i="1" s="1"/>
  <c r="U814" i="1" s="1"/>
  <c r="J814" i="1" a="1"/>
  <c r="J814" i="1" s="1"/>
  <c r="K814" i="1" a="1"/>
  <c r="K814" i="1" s="1"/>
  <c r="R814" i="1" s="1"/>
  <c r="I815" i="1" a="1"/>
  <c r="I815" i="1" s="1"/>
  <c r="P815" i="1" s="1"/>
  <c r="J815" i="1" a="1"/>
  <c r="J815" i="1" s="1"/>
  <c r="K815" i="1" a="1"/>
  <c r="K815" i="1" s="1"/>
  <c r="R815" i="1" s="1"/>
  <c r="I816" i="1" a="1"/>
  <c r="I816" i="1" s="1"/>
  <c r="P816" i="1" s="1"/>
  <c r="J816" i="1" a="1"/>
  <c r="J816" i="1" s="1"/>
  <c r="K816" i="1" a="1"/>
  <c r="K816" i="1" s="1"/>
  <c r="R816" i="1" s="1"/>
  <c r="I817" i="1" a="1"/>
  <c r="I817" i="1" s="1"/>
  <c r="P817" i="1" s="1"/>
  <c r="J817" i="1" a="1"/>
  <c r="J817" i="1" s="1"/>
  <c r="K817" i="1" a="1"/>
  <c r="K817" i="1" s="1"/>
  <c r="R817" i="1" s="1"/>
  <c r="I818" i="1" a="1"/>
  <c r="I818" i="1" s="1"/>
  <c r="P818" i="1" s="1"/>
  <c r="U818" i="1" s="1"/>
  <c r="J818" i="1" a="1"/>
  <c r="J818" i="1" s="1"/>
  <c r="K818" i="1" a="1"/>
  <c r="K818" i="1" s="1"/>
  <c r="R818" i="1" s="1"/>
  <c r="I819" i="1" a="1"/>
  <c r="I819" i="1" s="1"/>
  <c r="P819" i="1" s="1"/>
  <c r="U819" i="1" s="1"/>
  <c r="J819" i="1" a="1"/>
  <c r="J819" i="1" s="1"/>
  <c r="K819" i="1" a="1"/>
  <c r="K819" i="1" s="1"/>
  <c r="R819" i="1" s="1"/>
  <c r="I820" i="1" a="1"/>
  <c r="I820" i="1" s="1"/>
  <c r="P820" i="1" s="1"/>
  <c r="J820" i="1" a="1"/>
  <c r="J820" i="1" s="1"/>
  <c r="K820" i="1" a="1"/>
  <c r="K820" i="1" s="1"/>
  <c r="R820" i="1" s="1"/>
  <c r="I821" i="1" a="1"/>
  <c r="I821" i="1" s="1"/>
  <c r="P821" i="1" s="1"/>
  <c r="J821" i="1" a="1"/>
  <c r="J821" i="1" s="1"/>
  <c r="K821" i="1" a="1"/>
  <c r="K821" i="1" s="1"/>
  <c r="R821" i="1" s="1"/>
  <c r="I822" i="1" a="1"/>
  <c r="I822" i="1" s="1"/>
  <c r="P822" i="1" s="1"/>
  <c r="U822" i="1" s="1"/>
  <c r="J822" i="1" a="1"/>
  <c r="J822" i="1" s="1"/>
  <c r="K822" i="1" a="1"/>
  <c r="K822" i="1" s="1"/>
  <c r="R822" i="1" s="1"/>
  <c r="I823" i="1" a="1"/>
  <c r="I823" i="1" s="1"/>
  <c r="P823" i="1" s="1"/>
  <c r="U823" i="1" s="1"/>
  <c r="J823" i="1" a="1"/>
  <c r="J823" i="1" s="1"/>
  <c r="K823" i="1" a="1"/>
  <c r="K823" i="1" s="1"/>
  <c r="R823" i="1" s="1"/>
  <c r="I824" i="1" a="1"/>
  <c r="I824" i="1" s="1"/>
  <c r="P824" i="1" s="1"/>
  <c r="J824" i="1" a="1"/>
  <c r="J824" i="1" s="1"/>
  <c r="K824" i="1" a="1"/>
  <c r="K824" i="1" s="1"/>
  <c r="R824" i="1" s="1"/>
  <c r="I825" i="1" a="1"/>
  <c r="I825" i="1" s="1"/>
  <c r="P825" i="1" s="1"/>
  <c r="J825" i="1" a="1"/>
  <c r="J825" i="1" s="1"/>
  <c r="K825" i="1" a="1"/>
  <c r="K825" i="1" s="1"/>
  <c r="R825" i="1" s="1"/>
  <c r="I826" i="1" a="1"/>
  <c r="I826" i="1" s="1"/>
  <c r="P826" i="1" s="1"/>
  <c r="U826" i="1" s="1"/>
  <c r="J826" i="1" a="1"/>
  <c r="J826" i="1" s="1"/>
  <c r="K826" i="1" a="1"/>
  <c r="K826" i="1" s="1"/>
  <c r="R826" i="1" s="1"/>
  <c r="I827" i="1" a="1"/>
  <c r="I827" i="1" s="1"/>
  <c r="P827" i="1" s="1"/>
  <c r="J827" i="1" a="1"/>
  <c r="J827" i="1" s="1"/>
  <c r="K827" i="1" a="1"/>
  <c r="K827" i="1" s="1"/>
  <c r="R827" i="1" s="1"/>
  <c r="I828" i="1" a="1"/>
  <c r="I828" i="1" s="1"/>
  <c r="P828" i="1" s="1"/>
  <c r="J828" i="1" a="1"/>
  <c r="J828" i="1" s="1"/>
  <c r="K828" i="1" a="1"/>
  <c r="K828" i="1" s="1"/>
  <c r="R828" i="1" s="1"/>
  <c r="I829" i="1" a="1"/>
  <c r="I829" i="1" s="1"/>
  <c r="P829" i="1" s="1"/>
  <c r="J829" i="1" a="1"/>
  <c r="J829" i="1" s="1"/>
  <c r="K829" i="1" a="1"/>
  <c r="K829" i="1" s="1"/>
  <c r="R829" i="1" s="1"/>
  <c r="I830" i="1" a="1"/>
  <c r="I830" i="1" s="1"/>
  <c r="P830" i="1" s="1"/>
  <c r="J830" i="1" a="1"/>
  <c r="J830" i="1" s="1"/>
  <c r="V830" i="1" s="1"/>
  <c r="K830" i="1" a="1"/>
  <c r="K830" i="1" s="1"/>
  <c r="R830" i="1" s="1"/>
  <c r="I831" i="1" a="1"/>
  <c r="I831" i="1" s="1"/>
  <c r="P831" i="1" s="1"/>
  <c r="J831" i="1" a="1"/>
  <c r="J831" i="1" s="1"/>
  <c r="K831" i="1" a="1"/>
  <c r="K831" i="1" s="1"/>
  <c r="R831" i="1" s="1"/>
  <c r="I832" i="1" a="1"/>
  <c r="I832" i="1" s="1"/>
  <c r="P832" i="1" s="1"/>
  <c r="J832" i="1" a="1"/>
  <c r="J832" i="1" s="1"/>
  <c r="K832" i="1" a="1"/>
  <c r="K832" i="1" s="1"/>
  <c r="R832" i="1" s="1"/>
  <c r="I833" i="1" a="1"/>
  <c r="I833" i="1" s="1"/>
  <c r="P833" i="1" s="1"/>
  <c r="J833" i="1" a="1"/>
  <c r="J833" i="1" s="1"/>
  <c r="V833" i="1" s="1"/>
  <c r="K833" i="1" a="1"/>
  <c r="K833" i="1" s="1"/>
  <c r="R833" i="1" s="1"/>
  <c r="I834" i="1" a="1"/>
  <c r="I834" i="1" s="1"/>
  <c r="P834" i="1" s="1"/>
  <c r="J834" i="1" a="1"/>
  <c r="J834" i="1" s="1"/>
  <c r="K834" i="1" a="1"/>
  <c r="K834" i="1" s="1"/>
  <c r="R834" i="1" s="1"/>
  <c r="I835" i="1" a="1"/>
  <c r="I835" i="1" s="1"/>
  <c r="P835" i="1" s="1"/>
  <c r="J835" i="1" a="1"/>
  <c r="J835" i="1" s="1"/>
  <c r="K835" i="1" a="1"/>
  <c r="K835" i="1" s="1"/>
  <c r="R835" i="1" s="1"/>
  <c r="I836" i="1" a="1"/>
  <c r="I836" i="1" s="1"/>
  <c r="P836" i="1" s="1"/>
  <c r="J836" i="1" a="1"/>
  <c r="J836" i="1" s="1"/>
  <c r="K836" i="1" a="1"/>
  <c r="K836" i="1" s="1"/>
  <c r="R836" i="1" s="1"/>
  <c r="I837" i="1" a="1"/>
  <c r="I837" i="1" s="1"/>
  <c r="P837" i="1" s="1"/>
  <c r="J837" i="1" a="1"/>
  <c r="J837" i="1" s="1"/>
  <c r="V837" i="1" s="1"/>
  <c r="K837" i="1" a="1"/>
  <c r="K837" i="1" s="1"/>
  <c r="R837" i="1" s="1"/>
  <c r="I838" i="1" a="1"/>
  <c r="I838" i="1" s="1"/>
  <c r="P838" i="1" s="1"/>
  <c r="J838" i="1" a="1"/>
  <c r="J838" i="1" s="1"/>
  <c r="K838" i="1" a="1"/>
  <c r="K838" i="1" s="1"/>
  <c r="R838" i="1" s="1"/>
  <c r="I839" i="1" a="1"/>
  <c r="I839" i="1" s="1"/>
  <c r="P839" i="1" s="1"/>
  <c r="J839" i="1" a="1"/>
  <c r="J839" i="1" s="1"/>
  <c r="K839" i="1" a="1"/>
  <c r="K839" i="1" s="1"/>
  <c r="R839" i="1" s="1"/>
  <c r="I840" i="1" a="1"/>
  <c r="I840" i="1" s="1"/>
  <c r="P840" i="1" s="1"/>
  <c r="J840" i="1" a="1"/>
  <c r="J840" i="1" s="1"/>
  <c r="V840" i="1" s="1"/>
  <c r="K840" i="1" a="1"/>
  <c r="K840" i="1" s="1"/>
  <c r="R840" i="1" s="1"/>
  <c r="I841" i="1" a="1"/>
  <c r="I841" i="1" s="1"/>
  <c r="P841" i="1" s="1"/>
  <c r="J841" i="1" a="1"/>
  <c r="J841" i="1" s="1"/>
  <c r="K841" i="1" a="1"/>
  <c r="K841" i="1" s="1"/>
  <c r="R841" i="1" s="1"/>
  <c r="I842" i="1" a="1"/>
  <c r="I842" i="1" s="1"/>
  <c r="P842" i="1" s="1"/>
  <c r="U842" i="1" s="1"/>
  <c r="J842" i="1" a="1"/>
  <c r="J842" i="1" s="1"/>
  <c r="K842" i="1" a="1"/>
  <c r="K842" i="1" s="1"/>
  <c r="R842" i="1" s="1"/>
  <c r="I843" i="1" a="1"/>
  <c r="I843" i="1" s="1"/>
  <c r="P843" i="1" s="1"/>
  <c r="J843" i="1" a="1"/>
  <c r="J843" i="1" s="1"/>
  <c r="K843" i="1" a="1"/>
  <c r="K843" i="1" s="1"/>
  <c r="R843" i="1" s="1"/>
  <c r="I844" i="1" a="1"/>
  <c r="I844" i="1" s="1"/>
  <c r="P844" i="1" s="1"/>
  <c r="J844" i="1" a="1"/>
  <c r="J844" i="1" s="1"/>
  <c r="V844" i="1" s="1"/>
  <c r="K844" i="1" a="1"/>
  <c r="K844" i="1" s="1"/>
  <c r="R844" i="1" s="1"/>
  <c r="I845" i="1" a="1"/>
  <c r="I845" i="1" s="1"/>
  <c r="P845" i="1" s="1"/>
  <c r="J845" i="1" a="1"/>
  <c r="J845" i="1" s="1"/>
  <c r="K845" i="1" a="1"/>
  <c r="K845" i="1" s="1"/>
  <c r="R845" i="1" s="1"/>
  <c r="I846" i="1" a="1"/>
  <c r="I846" i="1" s="1"/>
  <c r="P846" i="1" s="1"/>
  <c r="J846" i="1" a="1"/>
  <c r="J846" i="1" s="1"/>
  <c r="K846" i="1" a="1"/>
  <c r="K846" i="1" s="1"/>
  <c r="R846" i="1" s="1"/>
  <c r="I847" i="1" a="1"/>
  <c r="I847" i="1" s="1"/>
  <c r="P847" i="1" s="1"/>
  <c r="J847" i="1" a="1"/>
  <c r="J847" i="1" s="1"/>
  <c r="K847" i="1" a="1"/>
  <c r="K847" i="1" s="1"/>
  <c r="R847" i="1" s="1"/>
  <c r="I848" i="1" a="1"/>
  <c r="I848" i="1" s="1"/>
  <c r="P848" i="1" s="1"/>
  <c r="U848" i="1" s="1"/>
  <c r="J848" i="1" a="1"/>
  <c r="J848" i="1" s="1"/>
  <c r="K848" i="1" a="1"/>
  <c r="K848" i="1" s="1"/>
  <c r="R848" i="1" s="1"/>
  <c r="I849" i="1" a="1"/>
  <c r="I849" i="1" s="1"/>
  <c r="P849" i="1" s="1"/>
  <c r="J849" i="1" a="1"/>
  <c r="J849" i="1" s="1"/>
  <c r="V849" i="1" s="1"/>
  <c r="K849" i="1" a="1"/>
  <c r="K849" i="1" s="1"/>
  <c r="R849" i="1" s="1"/>
  <c r="I850" i="1" a="1"/>
  <c r="I850" i="1" s="1"/>
  <c r="P850" i="1" s="1"/>
  <c r="J850" i="1" a="1"/>
  <c r="J850" i="1" s="1"/>
  <c r="K850" i="1" a="1"/>
  <c r="K850" i="1" s="1"/>
  <c r="R850" i="1" s="1"/>
  <c r="I851" i="1" a="1"/>
  <c r="I851" i="1" s="1"/>
  <c r="P851" i="1" s="1"/>
  <c r="J851" i="1" a="1"/>
  <c r="J851" i="1" s="1"/>
  <c r="K851" i="1" a="1"/>
  <c r="K851" i="1" s="1"/>
  <c r="R851" i="1" s="1"/>
  <c r="I852" i="1" a="1"/>
  <c r="I852" i="1" s="1"/>
  <c r="P852" i="1" s="1"/>
  <c r="J852" i="1" a="1"/>
  <c r="J852" i="1" s="1"/>
  <c r="K852" i="1" a="1"/>
  <c r="K852" i="1" s="1"/>
  <c r="R852" i="1" s="1"/>
  <c r="I853" i="1" a="1"/>
  <c r="I853" i="1" s="1"/>
  <c r="P853" i="1" s="1"/>
  <c r="J853" i="1" a="1"/>
  <c r="J853" i="1" s="1"/>
  <c r="V853" i="1" s="1"/>
  <c r="K853" i="1" a="1"/>
  <c r="K853" i="1" s="1"/>
  <c r="R853" i="1" s="1"/>
  <c r="I854" i="1" a="1"/>
  <c r="I854" i="1" s="1"/>
  <c r="P854" i="1" s="1"/>
  <c r="J854" i="1" a="1"/>
  <c r="J854" i="1" s="1"/>
  <c r="K854" i="1" a="1"/>
  <c r="K854" i="1" s="1"/>
  <c r="R854" i="1" s="1"/>
  <c r="I855" i="1" a="1"/>
  <c r="I855" i="1" s="1"/>
  <c r="P855" i="1" s="1"/>
  <c r="J855" i="1" a="1"/>
  <c r="J855" i="1" s="1"/>
  <c r="K855" i="1" a="1"/>
  <c r="K855" i="1" s="1"/>
  <c r="R855" i="1" s="1"/>
  <c r="I856" i="1" a="1"/>
  <c r="I856" i="1" s="1"/>
  <c r="P856" i="1" s="1"/>
  <c r="J856" i="1" a="1"/>
  <c r="J856" i="1" s="1"/>
  <c r="K856" i="1" a="1"/>
  <c r="K856" i="1" s="1"/>
  <c r="R856" i="1" s="1"/>
  <c r="I857" i="1" a="1"/>
  <c r="I857" i="1" s="1"/>
  <c r="P857" i="1" s="1"/>
  <c r="J857" i="1" a="1"/>
  <c r="J857" i="1" s="1"/>
  <c r="K857" i="1" a="1"/>
  <c r="K857" i="1" s="1"/>
  <c r="R857" i="1" s="1"/>
  <c r="I858" i="1" a="1"/>
  <c r="I858" i="1" s="1"/>
  <c r="P858" i="1" s="1"/>
  <c r="J858" i="1" a="1"/>
  <c r="J858" i="1" s="1"/>
  <c r="K858" i="1" a="1"/>
  <c r="K858" i="1" s="1"/>
  <c r="R858" i="1" s="1"/>
  <c r="I859" i="1" a="1"/>
  <c r="I859" i="1" s="1"/>
  <c r="P859" i="1" s="1"/>
  <c r="J859" i="1" a="1"/>
  <c r="J859" i="1" s="1"/>
  <c r="K859" i="1" a="1"/>
  <c r="K859" i="1" s="1"/>
  <c r="R859" i="1" s="1"/>
  <c r="I860" i="1" a="1"/>
  <c r="I860" i="1" s="1"/>
  <c r="P860" i="1" s="1"/>
  <c r="J860" i="1" a="1"/>
  <c r="J860" i="1" s="1"/>
  <c r="K860" i="1" a="1"/>
  <c r="K860" i="1" s="1"/>
  <c r="R860" i="1" s="1"/>
  <c r="I861" i="1" a="1"/>
  <c r="I861" i="1" s="1"/>
  <c r="P861" i="1" s="1"/>
  <c r="J861" i="1" a="1"/>
  <c r="J861" i="1" s="1"/>
  <c r="V861" i="1" s="1"/>
  <c r="K861" i="1" a="1"/>
  <c r="K861" i="1" s="1"/>
  <c r="R861" i="1" s="1"/>
  <c r="I862" i="1" a="1"/>
  <c r="I862" i="1" s="1"/>
  <c r="P862" i="1" s="1"/>
  <c r="J862" i="1" a="1"/>
  <c r="J862" i="1" s="1"/>
  <c r="K862" i="1" a="1"/>
  <c r="K862" i="1" s="1"/>
  <c r="R862" i="1" s="1"/>
  <c r="I863" i="1" a="1"/>
  <c r="I863" i="1" s="1"/>
  <c r="P863" i="1" s="1"/>
  <c r="J863" i="1" a="1"/>
  <c r="J863" i="1" s="1"/>
  <c r="K863" i="1" a="1"/>
  <c r="K863" i="1" s="1"/>
  <c r="R863" i="1" s="1"/>
  <c r="I864" i="1" a="1"/>
  <c r="I864" i="1" s="1"/>
  <c r="P864" i="1" s="1"/>
  <c r="J864" i="1" a="1"/>
  <c r="J864" i="1" s="1"/>
  <c r="V864" i="1" s="1"/>
  <c r="K864" i="1" a="1"/>
  <c r="K864" i="1" s="1"/>
  <c r="R864" i="1" s="1"/>
  <c r="I865" i="1" a="1"/>
  <c r="I865" i="1" s="1"/>
  <c r="P865" i="1" s="1"/>
  <c r="J865" i="1" a="1"/>
  <c r="J865" i="1" s="1"/>
  <c r="K865" i="1" a="1"/>
  <c r="K865" i="1" s="1"/>
  <c r="R865" i="1" s="1"/>
  <c r="I866" i="1" a="1"/>
  <c r="I866" i="1" s="1"/>
  <c r="P866" i="1" s="1"/>
  <c r="J866" i="1" a="1"/>
  <c r="J866" i="1" s="1"/>
  <c r="K866" i="1" a="1"/>
  <c r="K866" i="1" s="1"/>
  <c r="R866" i="1" s="1"/>
  <c r="I867" i="1" a="1"/>
  <c r="I867" i="1" s="1"/>
  <c r="P867" i="1" s="1"/>
  <c r="J867" i="1" a="1"/>
  <c r="J867" i="1" s="1"/>
  <c r="K867" i="1" a="1"/>
  <c r="K867" i="1" s="1"/>
  <c r="R867" i="1" s="1"/>
  <c r="I868" i="1" a="1"/>
  <c r="I868" i="1" s="1"/>
  <c r="P868" i="1" s="1"/>
  <c r="J868" i="1" a="1"/>
  <c r="J868" i="1" s="1"/>
  <c r="V868" i="1" s="1"/>
  <c r="K868" i="1" a="1"/>
  <c r="K868" i="1"/>
  <c r="R868" i="1" s="1"/>
  <c r="I869" i="1" a="1"/>
  <c r="I869" i="1" s="1"/>
  <c r="P869" i="1" s="1"/>
  <c r="U869" i="1" s="1"/>
  <c r="J869" i="1" a="1"/>
  <c r="J869" i="1" s="1"/>
  <c r="K869" i="1" a="1"/>
  <c r="K869" i="1" s="1"/>
  <c r="R869" i="1" s="1"/>
  <c r="I870" i="1" a="1"/>
  <c r="I870" i="1" s="1"/>
  <c r="P870" i="1" s="1"/>
  <c r="U870" i="1" s="1"/>
  <c r="J870" i="1" a="1"/>
  <c r="J870" i="1" s="1"/>
  <c r="K870" i="1" a="1"/>
  <c r="K870" i="1" s="1"/>
  <c r="R870" i="1" s="1"/>
  <c r="I871" i="1" a="1"/>
  <c r="I871" i="1" s="1"/>
  <c r="P871" i="1" s="1"/>
  <c r="J871" i="1" a="1"/>
  <c r="J871" i="1" s="1"/>
  <c r="K871" i="1" a="1"/>
  <c r="K871" i="1" s="1"/>
  <c r="R871" i="1" s="1"/>
  <c r="I872" i="1" a="1"/>
  <c r="I872" i="1" s="1"/>
  <c r="P872" i="1" s="1"/>
  <c r="U872" i="1" s="1"/>
  <c r="J872" i="1" a="1"/>
  <c r="J872" i="1" s="1"/>
  <c r="K872" i="1" a="1"/>
  <c r="K872" i="1" s="1"/>
  <c r="R872" i="1" s="1"/>
  <c r="I873" i="1" a="1"/>
  <c r="I873" i="1" s="1"/>
  <c r="P873" i="1" s="1"/>
  <c r="U873" i="1" s="1"/>
  <c r="J873" i="1" a="1"/>
  <c r="J873" i="1" s="1"/>
  <c r="K873" i="1" a="1"/>
  <c r="K873" i="1" s="1"/>
  <c r="R873" i="1" s="1"/>
  <c r="I874" i="1" a="1"/>
  <c r="I874" i="1" s="1"/>
  <c r="P874" i="1" s="1"/>
  <c r="U874" i="1" s="1"/>
  <c r="J874" i="1" a="1"/>
  <c r="J874" i="1" s="1"/>
  <c r="K874" i="1" a="1"/>
  <c r="K874" i="1" s="1"/>
  <c r="R874" i="1" s="1"/>
  <c r="I875" i="1" a="1"/>
  <c r="I875" i="1" s="1"/>
  <c r="P875" i="1" s="1"/>
  <c r="J875" i="1" a="1"/>
  <c r="J875" i="1" s="1"/>
  <c r="K875" i="1" a="1"/>
  <c r="K875" i="1"/>
  <c r="R875" i="1" s="1"/>
  <c r="I876" i="1" a="1"/>
  <c r="I876" i="1" s="1"/>
  <c r="P876" i="1" s="1"/>
  <c r="J876" i="1" a="1"/>
  <c r="J876" i="1" s="1"/>
  <c r="K876" i="1" a="1"/>
  <c r="K876" i="1" s="1"/>
  <c r="R876" i="1" s="1"/>
  <c r="I877" i="1" a="1"/>
  <c r="I877" i="1" s="1"/>
  <c r="P877" i="1" s="1"/>
  <c r="J877" i="1" a="1"/>
  <c r="J877" i="1" s="1"/>
  <c r="K877" i="1" a="1"/>
  <c r="K877" i="1" s="1"/>
  <c r="R877" i="1" s="1"/>
  <c r="I878" i="1" a="1"/>
  <c r="I878" i="1" s="1"/>
  <c r="P878" i="1" s="1"/>
  <c r="J878" i="1" a="1"/>
  <c r="J878" i="1" s="1"/>
  <c r="K878" i="1" a="1"/>
  <c r="K878" i="1" s="1"/>
  <c r="R878" i="1" s="1"/>
  <c r="I879" i="1" a="1"/>
  <c r="I879" i="1" s="1"/>
  <c r="P879" i="1" s="1"/>
  <c r="J879" i="1" a="1"/>
  <c r="J879" i="1" s="1"/>
  <c r="K879" i="1" a="1"/>
  <c r="K879" i="1" s="1"/>
  <c r="R879" i="1" s="1"/>
  <c r="I880" i="1" a="1"/>
  <c r="I880" i="1" s="1"/>
  <c r="P880" i="1" s="1"/>
  <c r="J880" i="1" a="1"/>
  <c r="J880" i="1" s="1"/>
  <c r="K880" i="1" a="1"/>
  <c r="K880" i="1" s="1"/>
  <c r="R880" i="1" s="1"/>
  <c r="I881" i="1" a="1"/>
  <c r="I881" i="1" s="1"/>
  <c r="P881" i="1" s="1"/>
  <c r="J881" i="1" a="1"/>
  <c r="J881" i="1" s="1"/>
  <c r="K881" i="1" a="1"/>
  <c r="K881" i="1" s="1"/>
  <c r="R881" i="1" s="1"/>
  <c r="I882" i="1" a="1"/>
  <c r="I882" i="1" s="1"/>
  <c r="P882" i="1" s="1"/>
  <c r="U882" i="1" s="1"/>
  <c r="J882" i="1" a="1"/>
  <c r="J882" i="1" s="1"/>
  <c r="K882" i="1" a="1"/>
  <c r="K882" i="1" s="1"/>
  <c r="R882" i="1" s="1"/>
  <c r="I883" i="1" a="1"/>
  <c r="I883" i="1" s="1"/>
  <c r="P883" i="1" s="1"/>
  <c r="J883" i="1" a="1"/>
  <c r="J883" i="1" s="1"/>
  <c r="K883" i="1" a="1"/>
  <c r="K883" i="1" s="1"/>
  <c r="R883" i="1" s="1"/>
  <c r="I884" i="1" a="1"/>
  <c r="I884" i="1" s="1"/>
  <c r="P884" i="1" s="1"/>
  <c r="J884" i="1" a="1"/>
  <c r="J884" i="1" s="1"/>
  <c r="K884" i="1" a="1"/>
  <c r="K884" i="1" s="1"/>
  <c r="R884" i="1" s="1"/>
  <c r="I885" i="1" a="1"/>
  <c r="I885" i="1" s="1"/>
  <c r="P885" i="1" s="1"/>
  <c r="J885" i="1" a="1"/>
  <c r="J885" i="1" s="1"/>
  <c r="K885" i="1" a="1"/>
  <c r="K885" i="1" s="1"/>
  <c r="R885" i="1" s="1"/>
  <c r="I886" i="1" a="1"/>
  <c r="I886" i="1" s="1"/>
  <c r="P886" i="1" s="1"/>
  <c r="J886" i="1" a="1"/>
  <c r="J886" i="1" s="1"/>
  <c r="K886" i="1" a="1"/>
  <c r="K886" i="1" s="1"/>
  <c r="R886" i="1" s="1"/>
  <c r="I887" i="1" a="1"/>
  <c r="I887" i="1" s="1"/>
  <c r="P887" i="1" s="1"/>
  <c r="J887" i="1" a="1"/>
  <c r="J887" i="1" s="1"/>
  <c r="K887" i="1" a="1"/>
  <c r="K887" i="1" s="1"/>
  <c r="R887" i="1" s="1"/>
  <c r="I888" i="1" a="1"/>
  <c r="I888" i="1" s="1"/>
  <c r="P888" i="1" s="1"/>
  <c r="J888" i="1" a="1"/>
  <c r="J888" i="1" s="1"/>
  <c r="K888" i="1" a="1"/>
  <c r="K888" i="1" s="1"/>
  <c r="R888" i="1" s="1"/>
  <c r="I889" i="1" a="1"/>
  <c r="I889" i="1" s="1"/>
  <c r="P889" i="1" s="1"/>
  <c r="J889" i="1" a="1"/>
  <c r="J889" i="1" s="1"/>
  <c r="V889" i="1" s="1"/>
  <c r="K889" i="1" a="1"/>
  <c r="K889" i="1" s="1"/>
  <c r="R889" i="1" s="1"/>
  <c r="I890" i="1" a="1"/>
  <c r="I890" i="1" s="1"/>
  <c r="P890" i="1" s="1"/>
  <c r="J890" i="1" a="1"/>
  <c r="J890" i="1" s="1"/>
  <c r="K890" i="1" a="1"/>
  <c r="K890" i="1" s="1"/>
  <c r="R890" i="1" s="1"/>
  <c r="I891" i="1" a="1"/>
  <c r="I891" i="1" s="1"/>
  <c r="P891" i="1" s="1"/>
  <c r="J891" i="1" a="1"/>
  <c r="J891" i="1" s="1"/>
  <c r="K891" i="1" a="1"/>
  <c r="K891" i="1" s="1"/>
  <c r="R891" i="1" s="1"/>
  <c r="I892" i="1" a="1"/>
  <c r="I892" i="1" s="1"/>
  <c r="P892" i="1" s="1"/>
  <c r="J892" i="1" a="1"/>
  <c r="J892" i="1" s="1"/>
  <c r="K892" i="1" a="1"/>
  <c r="K892" i="1" s="1"/>
  <c r="R892" i="1" s="1"/>
  <c r="I893" i="1" a="1"/>
  <c r="I893" i="1" s="1"/>
  <c r="P893" i="1" s="1"/>
  <c r="J893" i="1" a="1"/>
  <c r="J893" i="1" s="1"/>
  <c r="V893" i="1" s="1"/>
  <c r="K893" i="1" a="1"/>
  <c r="K893" i="1" s="1"/>
  <c r="R893" i="1" s="1"/>
  <c r="I894" i="1" a="1"/>
  <c r="I894" i="1" s="1"/>
  <c r="P894" i="1" s="1"/>
  <c r="J894" i="1" a="1"/>
  <c r="J894" i="1" s="1"/>
  <c r="K894" i="1" a="1"/>
  <c r="K894" i="1" s="1"/>
  <c r="R894" i="1" s="1"/>
  <c r="I895" i="1" a="1"/>
  <c r="I895" i="1" s="1"/>
  <c r="P895" i="1" s="1"/>
  <c r="J895" i="1" a="1"/>
  <c r="J895" i="1" s="1"/>
  <c r="K895" i="1" a="1"/>
  <c r="K895" i="1" s="1"/>
  <c r="R895" i="1" s="1"/>
  <c r="I896" i="1" a="1"/>
  <c r="I896" i="1" s="1"/>
  <c r="P896" i="1" s="1"/>
  <c r="J896" i="1" a="1"/>
  <c r="J896" i="1" s="1"/>
  <c r="K896" i="1" a="1"/>
  <c r="K896" i="1" s="1"/>
  <c r="R896" i="1" s="1"/>
  <c r="I897" i="1" a="1"/>
  <c r="I897" i="1" s="1"/>
  <c r="P897" i="1" s="1"/>
  <c r="J897" i="1" a="1"/>
  <c r="J897" i="1" s="1"/>
  <c r="V897" i="1" s="1"/>
  <c r="K897" i="1" a="1"/>
  <c r="K897" i="1" s="1"/>
  <c r="R897" i="1" s="1"/>
  <c r="I898" i="1" a="1"/>
  <c r="I898" i="1" s="1"/>
  <c r="P898" i="1" s="1"/>
  <c r="J898" i="1" a="1"/>
  <c r="J898" i="1" s="1"/>
  <c r="K898" i="1" a="1"/>
  <c r="K898" i="1" s="1"/>
  <c r="R898" i="1" s="1"/>
  <c r="I899" i="1" a="1"/>
  <c r="I899" i="1" s="1"/>
  <c r="P899" i="1" s="1"/>
  <c r="J899" i="1" a="1"/>
  <c r="J899" i="1" s="1"/>
  <c r="K899" i="1" a="1"/>
  <c r="K899" i="1" s="1"/>
  <c r="R899" i="1" s="1"/>
  <c r="I900" i="1" a="1"/>
  <c r="I900" i="1" s="1"/>
  <c r="P900" i="1" s="1"/>
  <c r="J900" i="1" a="1"/>
  <c r="J900" i="1" s="1"/>
  <c r="K900" i="1" a="1"/>
  <c r="K900" i="1" s="1"/>
  <c r="R900" i="1" s="1"/>
  <c r="I901" i="1" a="1"/>
  <c r="I901" i="1" s="1"/>
  <c r="P901" i="1" s="1"/>
  <c r="J901" i="1" a="1"/>
  <c r="J901" i="1" s="1"/>
  <c r="K901" i="1" a="1"/>
  <c r="K901" i="1" s="1"/>
  <c r="R901" i="1" s="1"/>
  <c r="I902" i="1" a="1"/>
  <c r="I902" i="1" s="1"/>
  <c r="P902" i="1" s="1"/>
  <c r="J902" i="1" a="1"/>
  <c r="J902" i="1" s="1"/>
  <c r="K902" i="1" a="1"/>
  <c r="K902" i="1" s="1"/>
  <c r="R902" i="1" s="1"/>
  <c r="I903" i="1" a="1"/>
  <c r="I903" i="1" s="1"/>
  <c r="P903" i="1" s="1"/>
  <c r="J903" i="1" a="1"/>
  <c r="J903" i="1" s="1"/>
  <c r="K903" i="1" a="1"/>
  <c r="K903" i="1" s="1"/>
  <c r="R903" i="1" s="1"/>
  <c r="I904" i="1" a="1"/>
  <c r="I904" i="1" s="1"/>
  <c r="P904" i="1" s="1"/>
  <c r="J904" i="1" a="1"/>
  <c r="J904" i="1" s="1"/>
  <c r="K904" i="1" a="1"/>
  <c r="K904" i="1" s="1"/>
  <c r="R904" i="1" s="1"/>
  <c r="I905" i="1" a="1"/>
  <c r="I905" i="1" s="1"/>
  <c r="P905" i="1" s="1"/>
  <c r="U905" i="1" s="1"/>
  <c r="J905" i="1" a="1"/>
  <c r="J905" i="1" s="1"/>
  <c r="K905" i="1" a="1"/>
  <c r="K905" i="1" s="1"/>
  <c r="R905" i="1" s="1"/>
  <c r="I906" i="1" a="1"/>
  <c r="I906" i="1" s="1"/>
  <c r="P906" i="1" s="1"/>
  <c r="J906" i="1" a="1"/>
  <c r="J906" i="1" s="1"/>
  <c r="K906" i="1" a="1"/>
  <c r="K906" i="1" s="1"/>
  <c r="R906" i="1" s="1"/>
  <c r="I907" i="1" a="1"/>
  <c r="I907" i="1" s="1"/>
  <c r="P907" i="1" s="1"/>
  <c r="U907" i="1" s="1"/>
  <c r="J907" i="1" a="1"/>
  <c r="J907" i="1" s="1"/>
  <c r="V907" i="1" s="1"/>
  <c r="K907" i="1" a="1"/>
  <c r="K907" i="1" s="1"/>
  <c r="R907" i="1" s="1"/>
  <c r="I908" i="1" a="1"/>
  <c r="I908" i="1" s="1"/>
  <c r="P908" i="1" s="1"/>
  <c r="J908" i="1" a="1"/>
  <c r="J908" i="1" s="1"/>
  <c r="K908" i="1" a="1"/>
  <c r="K908" i="1" s="1"/>
  <c r="R908" i="1" s="1"/>
  <c r="I909" i="1" a="1"/>
  <c r="I909" i="1" s="1"/>
  <c r="P909" i="1" s="1"/>
  <c r="U909" i="1" s="1"/>
  <c r="J909" i="1" a="1"/>
  <c r="J909" i="1" s="1"/>
  <c r="K909" i="1" a="1"/>
  <c r="K909" i="1" s="1"/>
  <c r="R909" i="1" s="1"/>
  <c r="I910" i="1" a="1"/>
  <c r="I910" i="1" s="1"/>
  <c r="P910" i="1" s="1"/>
  <c r="J910" i="1" a="1"/>
  <c r="J910" i="1" s="1"/>
  <c r="K910" i="1" a="1"/>
  <c r="K910" i="1" s="1"/>
  <c r="R910" i="1" s="1"/>
  <c r="I911" i="1" a="1"/>
  <c r="I911" i="1" s="1"/>
  <c r="P911" i="1" s="1"/>
  <c r="J911" i="1" a="1"/>
  <c r="J911" i="1" s="1"/>
  <c r="K911" i="1" a="1"/>
  <c r="K911" i="1"/>
  <c r="R911" i="1" s="1"/>
  <c r="I912" i="1" a="1"/>
  <c r="I912" i="1" s="1"/>
  <c r="P912" i="1" s="1"/>
  <c r="J912" i="1" a="1"/>
  <c r="J912" i="1" s="1"/>
  <c r="K912" i="1" a="1"/>
  <c r="K912" i="1" s="1"/>
  <c r="R912" i="1" s="1"/>
  <c r="I913" i="1" a="1"/>
  <c r="I913" i="1" s="1"/>
  <c r="P913" i="1" s="1"/>
  <c r="J913" i="1" a="1"/>
  <c r="J913" i="1" s="1"/>
  <c r="K913" i="1" a="1"/>
  <c r="K913" i="1" s="1"/>
  <c r="R913" i="1" s="1"/>
  <c r="I914" i="1" a="1"/>
  <c r="I914" i="1" s="1"/>
  <c r="P914" i="1" s="1"/>
  <c r="J914" i="1" a="1"/>
  <c r="J914" i="1" s="1"/>
  <c r="K914" i="1" a="1"/>
  <c r="K914" i="1" s="1"/>
  <c r="R914" i="1" s="1"/>
  <c r="I915" i="1" a="1"/>
  <c r="I915" i="1" s="1"/>
  <c r="P915" i="1" s="1"/>
  <c r="J915" i="1" a="1"/>
  <c r="J915" i="1" s="1"/>
  <c r="K915" i="1" a="1"/>
  <c r="K915" i="1" s="1"/>
  <c r="R915" i="1" s="1"/>
  <c r="I916" i="1" a="1"/>
  <c r="I916" i="1" s="1"/>
  <c r="P916" i="1" s="1"/>
  <c r="J916" i="1" a="1"/>
  <c r="J916" i="1" s="1"/>
  <c r="K916" i="1" a="1"/>
  <c r="K916" i="1" s="1"/>
  <c r="R916" i="1" s="1"/>
  <c r="I917" i="1" a="1"/>
  <c r="I917" i="1" s="1"/>
  <c r="P917" i="1" s="1"/>
  <c r="J917" i="1" a="1"/>
  <c r="J917" i="1" s="1"/>
  <c r="K917" i="1" a="1"/>
  <c r="K917" i="1" s="1"/>
  <c r="R917" i="1" s="1"/>
  <c r="I918" i="1" a="1"/>
  <c r="I918" i="1" s="1"/>
  <c r="P918" i="1" s="1"/>
  <c r="J918" i="1" a="1"/>
  <c r="J918" i="1" s="1"/>
  <c r="K918" i="1" a="1"/>
  <c r="K918" i="1" s="1"/>
  <c r="R918" i="1" s="1"/>
  <c r="I919" i="1" a="1"/>
  <c r="I919" i="1" s="1"/>
  <c r="P919" i="1" s="1"/>
  <c r="U919" i="1" s="1"/>
  <c r="J919" i="1" a="1"/>
  <c r="J919" i="1" s="1"/>
  <c r="K919" i="1" a="1"/>
  <c r="K919" i="1" s="1"/>
  <c r="R919" i="1" s="1"/>
  <c r="I920" i="1" a="1"/>
  <c r="I920" i="1" s="1"/>
  <c r="P920" i="1" s="1"/>
  <c r="U920" i="1" s="1"/>
  <c r="J920" i="1" a="1"/>
  <c r="J920" i="1" s="1"/>
  <c r="K920" i="1" a="1"/>
  <c r="K920" i="1" s="1"/>
  <c r="R920" i="1" s="1"/>
  <c r="I921" i="1" a="1"/>
  <c r="I921" i="1" s="1"/>
  <c r="P921" i="1" s="1"/>
  <c r="J921" i="1" a="1"/>
  <c r="J921" i="1" s="1"/>
  <c r="V921" i="1" s="1"/>
  <c r="K921" i="1" a="1"/>
  <c r="K921" i="1" s="1"/>
  <c r="R921" i="1" s="1"/>
  <c r="I922" i="1" a="1"/>
  <c r="I922" i="1" s="1"/>
  <c r="P922" i="1" s="1"/>
  <c r="J922" i="1" a="1"/>
  <c r="J922" i="1" s="1"/>
  <c r="K922" i="1" a="1"/>
  <c r="K922" i="1" s="1"/>
  <c r="R922" i="1" s="1"/>
  <c r="I923" i="1" a="1"/>
  <c r="I923" i="1" s="1"/>
  <c r="P923" i="1" s="1"/>
  <c r="J923" i="1" a="1"/>
  <c r="J923" i="1" s="1"/>
  <c r="K923" i="1" a="1"/>
  <c r="K923" i="1" s="1"/>
  <c r="R923" i="1" s="1"/>
  <c r="I924" i="1" a="1"/>
  <c r="I924" i="1" s="1"/>
  <c r="P924" i="1" s="1"/>
  <c r="J924" i="1" a="1"/>
  <c r="J924" i="1" s="1"/>
  <c r="K924" i="1" a="1"/>
  <c r="K924" i="1" s="1"/>
  <c r="R924" i="1" s="1"/>
  <c r="I925" i="1" a="1"/>
  <c r="I925" i="1" s="1"/>
  <c r="P925" i="1" s="1"/>
  <c r="J925" i="1" a="1"/>
  <c r="J925" i="1" s="1"/>
  <c r="V925" i="1" s="1"/>
  <c r="K925" i="1" a="1"/>
  <c r="K925" i="1" s="1"/>
  <c r="R925" i="1" s="1"/>
  <c r="I926" i="1" a="1"/>
  <c r="I926" i="1" s="1"/>
  <c r="P926" i="1" s="1"/>
  <c r="J926" i="1" a="1"/>
  <c r="J926" i="1" s="1"/>
  <c r="K926" i="1" a="1"/>
  <c r="K926" i="1" s="1"/>
  <c r="R926" i="1" s="1"/>
  <c r="I927" i="1" a="1"/>
  <c r="I927" i="1" s="1"/>
  <c r="P927" i="1" s="1"/>
  <c r="U927" i="1" s="1"/>
  <c r="J927" i="1" a="1"/>
  <c r="J927" i="1" s="1"/>
  <c r="K927" i="1" a="1"/>
  <c r="K927" i="1" s="1"/>
  <c r="R927" i="1" s="1"/>
  <c r="I928" i="1" a="1"/>
  <c r="I928" i="1" s="1"/>
  <c r="P928" i="1" s="1"/>
  <c r="J928" i="1" a="1"/>
  <c r="J928" i="1" s="1"/>
  <c r="K928" i="1" a="1"/>
  <c r="K928" i="1" s="1"/>
  <c r="R928" i="1" s="1"/>
  <c r="I929" i="1" a="1"/>
  <c r="I929" i="1" s="1"/>
  <c r="P929" i="1" s="1"/>
  <c r="J929" i="1" a="1"/>
  <c r="J929" i="1" s="1"/>
  <c r="V929" i="1" s="1"/>
  <c r="K929" i="1" a="1"/>
  <c r="K929" i="1" s="1"/>
  <c r="R929" i="1" s="1"/>
  <c r="I930" i="1" a="1"/>
  <c r="I930" i="1" s="1"/>
  <c r="P930" i="1" s="1"/>
  <c r="J930" i="1" a="1"/>
  <c r="J930" i="1" s="1"/>
  <c r="K930" i="1" a="1"/>
  <c r="K930" i="1" s="1"/>
  <c r="R930" i="1" s="1"/>
  <c r="I931" i="1" a="1"/>
  <c r="I931" i="1" s="1"/>
  <c r="P931" i="1" s="1"/>
  <c r="U931" i="1" s="1"/>
  <c r="J931" i="1" a="1"/>
  <c r="J931" i="1" s="1"/>
  <c r="K931" i="1" a="1"/>
  <c r="K931" i="1" s="1"/>
  <c r="R931" i="1" s="1"/>
  <c r="I932" i="1" a="1"/>
  <c r="I932" i="1" s="1"/>
  <c r="P932" i="1" s="1"/>
  <c r="J932" i="1" a="1"/>
  <c r="J932" i="1" s="1"/>
  <c r="K932" i="1" a="1"/>
  <c r="K932" i="1" s="1"/>
  <c r="R932" i="1" s="1"/>
  <c r="I933" i="1" a="1"/>
  <c r="I933" i="1" s="1"/>
  <c r="P933" i="1" s="1"/>
  <c r="J933" i="1" a="1"/>
  <c r="J933" i="1" s="1"/>
  <c r="V933" i="1" s="1"/>
  <c r="K933" i="1" a="1"/>
  <c r="K933" i="1" s="1"/>
  <c r="R933" i="1" s="1"/>
  <c r="I934" i="1" a="1"/>
  <c r="I934" i="1" s="1"/>
  <c r="P934" i="1" s="1"/>
  <c r="J934" i="1" a="1"/>
  <c r="J934" i="1" s="1"/>
  <c r="K934" i="1" a="1"/>
  <c r="K934" i="1" s="1"/>
  <c r="R934" i="1" s="1"/>
  <c r="I935" i="1" a="1"/>
  <c r="I935" i="1" s="1"/>
  <c r="P935" i="1" s="1"/>
  <c r="J935" i="1" a="1"/>
  <c r="J935" i="1" s="1"/>
  <c r="K935" i="1" a="1"/>
  <c r="K935" i="1" s="1"/>
  <c r="R935" i="1" s="1"/>
  <c r="I936" i="1" a="1"/>
  <c r="I936" i="1" s="1"/>
  <c r="P936" i="1" s="1"/>
  <c r="U936" i="1" s="1"/>
  <c r="J936" i="1" a="1"/>
  <c r="J936" i="1" s="1"/>
  <c r="K936" i="1" a="1"/>
  <c r="K936" i="1" s="1"/>
  <c r="R936" i="1" s="1"/>
  <c r="I937" i="1" a="1"/>
  <c r="I937" i="1" s="1"/>
  <c r="P937" i="1" s="1"/>
  <c r="U937" i="1" s="1"/>
  <c r="J937" i="1" a="1"/>
  <c r="J937" i="1" s="1"/>
  <c r="K937" i="1" a="1"/>
  <c r="K937" i="1" s="1"/>
  <c r="R937" i="1" s="1"/>
  <c r="I938" i="1" a="1"/>
  <c r="I938" i="1" s="1"/>
  <c r="P938" i="1" s="1"/>
  <c r="J938" i="1" a="1"/>
  <c r="J938" i="1" s="1"/>
  <c r="K938" i="1" a="1"/>
  <c r="K938" i="1" s="1"/>
  <c r="R938" i="1" s="1"/>
  <c r="I939" i="1" a="1"/>
  <c r="I939" i="1" s="1"/>
  <c r="P939" i="1" s="1"/>
  <c r="J939" i="1" a="1"/>
  <c r="J939" i="1" s="1"/>
  <c r="K939" i="1" a="1"/>
  <c r="K939" i="1" s="1"/>
  <c r="R939" i="1" s="1"/>
  <c r="I940" i="1" a="1"/>
  <c r="I940" i="1" s="1"/>
  <c r="P940" i="1" s="1"/>
  <c r="J940" i="1" a="1"/>
  <c r="J940" i="1" s="1"/>
  <c r="K940" i="1" a="1"/>
  <c r="K940" i="1" s="1"/>
  <c r="R940" i="1" s="1"/>
  <c r="I941" i="1" a="1"/>
  <c r="I941" i="1" s="1"/>
  <c r="P941" i="1" s="1"/>
  <c r="U941" i="1" s="1"/>
  <c r="J941" i="1" a="1"/>
  <c r="J941" i="1" s="1"/>
  <c r="K941" i="1" a="1"/>
  <c r="K941" i="1" s="1"/>
  <c r="R941" i="1" s="1"/>
  <c r="I942" i="1" a="1"/>
  <c r="I942" i="1" s="1"/>
  <c r="P942" i="1" s="1"/>
  <c r="J942" i="1" a="1"/>
  <c r="J942" i="1" s="1"/>
  <c r="K942" i="1" a="1"/>
  <c r="K942" i="1" s="1"/>
  <c r="R942" i="1" s="1"/>
  <c r="I943" i="1" a="1"/>
  <c r="I943" i="1" s="1"/>
  <c r="P943" i="1" s="1"/>
  <c r="J943" i="1" a="1"/>
  <c r="J943" i="1" s="1"/>
  <c r="K943" i="1" a="1"/>
  <c r="K943" i="1" s="1"/>
  <c r="R943" i="1" s="1"/>
  <c r="I944" i="1" a="1"/>
  <c r="I944" i="1" s="1"/>
  <c r="P944" i="1" s="1"/>
  <c r="U944" i="1" s="1"/>
  <c r="J944" i="1" a="1"/>
  <c r="J944" i="1" s="1"/>
  <c r="K944" i="1" a="1"/>
  <c r="K944" i="1" s="1"/>
  <c r="R944" i="1" s="1"/>
  <c r="I945" i="1" a="1"/>
  <c r="I945" i="1" s="1"/>
  <c r="P945" i="1" s="1"/>
  <c r="U945" i="1" s="1"/>
  <c r="J945" i="1" a="1"/>
  <c r="J945" i="1" s="1"/>
  <c r="K945" i="1" a="1"/>
  <c r="K945" i="1" s="1"/>
  <c r="R945" i="1" s="1"/>
  <c r="I946" i="1" a="1"/>
  <c r="I946" i="1" s="1"/>
  <c r="P946" i="1" s="1"/>
  <c r="J946" i="1" a="1"/>
  <c r="J946" i="1" s="1"/>
  <c r="K946" i="1" a="1"/>
  <c r="K946" i="1" s="1"/>
  <c r="R946" i="1" s="1"/>
  <c r="I947" i="1" a="1"/>
  <c r="I947" i="1" s="1"/>
  <c r="P947" i="1" s="1"/>
  <c r="J947" i="1" a="1"/>
  <c r="J947" i="1" s="1"/>
  <c r="K947" i="1" a="1"/>
  <c r="K947" i="1" s="1"/>
  <c r="R947" i="1" s="1"/>
  <c r="I948" i="1" a="1"/>
  <c r="I948" i="1" s="1"/>
  <c r="P948" i="1" s="1"/>
  <c r="J948" i="1" a="1"/>
  <c r="J948" i="1" s="1"/>
  <c r="K948" i="1" a="1"/>
  <c r="K948" i="1" s="1"/>
  <c r="R948" i="1" s="1"/>
  <c r="I949" i="1" a="1"/>
  <c r="I949" i="1" s="1"/>
  <c r="P949" i="1" s="1"/>
  <c r="U949" i="1" s="1"/>
  <c r="J949" i="1" a="1"/>
  <c r="J949" i="1" s="1"/>
  <c r="K949" i="1" a="1"/>
  <c r="K949" i="1" s="1"/>
  <c r="R949" i="1" s="1"/>
  <c r="I950" i="1" a="1"/>
  <c r="I950" i="1" s="1"/>
  <c r="P950" i="1" s="1"/>
  <c r="J950" i="1" a="1"/>
  <c r="J950" i="1" s="1"/>
  <c r="K950" i="1" a="1"/>
  <c r="K950" i="1" s="1"/>
  <c r="R950" i="1" s="1"/>
  <c r="I951" i="1" a="1"/>
  <c r="I951" i="1" s="1"/>
  <c r="P951" i="1" s="1"/>
  <c r="J951" i="1" a="1"/>
  <c r="J951" i="1" s="1"/>
  <c r="K951" i="1" a="1"/>
  <c r="K951" i="1" s="1"/>
  <c r="R951" i="1" s="1"/>
  <c r="I952" i="1" a="1"/>
  <c r="I952" i="1" s="1"/>
  <c r="P952" i="1" s="1"/>
  <c r="J952" i="1" a="1"/>
  <c r="J952" i="1" s="1"/>
  <c r="K952" i="1" a="1"/>
  <c r="K952" i="1" s="1"/>
  <c r="R952" i="1" s="1"/>
  <c r="I953" i="1" a="1"/>
  <c r="I953" i="1" s="1"/>
  <c r="P953" i="1" s="1"/>
  <c r="U953" i="1" s="1"/>
  <c r="J953" i="1" a="1"/>
  <c r="J953" i="1" s="1"/>
  <c r="K953" i="1" a="1"/>
  <c r="K953" i="1" s="1"/>
  <c r="R953" i="1" s="1"/>
  <c r="I954" i="1" a="1"/>
  <c r="I954" i="1" s="1"/>
  <c r="P954" i="1" s="1"/>
  <c r="J954" i="1" a="1"/>
  <c r="J954" i="1" s="1"/>
  <c r="K954" i="1" a="1"/>
  <c r="K954" i="1" s="1"/>
  <c r="R954" i="1" s="1"/>
  <c r="I955" i="1" a="1"/>
  <c r="I955" i="1" s="1"/>
  <c r="P955" i="1" s="1"/>
  <c r="J955" i="1" a="1"/>
  <c r="J955" i="1" s="1"/>
  <c r="K955" i="1" a="1"/>
  <c r="K955" i="1" s="1"/>
  <c r="R955" i="1" s="1"/>
  <c r="I956" i="1" a="1"/>
  <c r="I956" i="1" s="1"/>
  <c r="P956" i="1" s="1"/>
  <c r="U956" i="1" s="1"/>
  <c r="J956" i="1" a="1"/>
  <c r="J956" i="1" s="1"/>
  <c r="K956" i="1" a="1"/>
  <c r="K956" i="1" s="1"/>
  <c r="R956" i="1" s="1"/>
  <c r="I957" i="1" a="1"/>
  <c r="I957" i="1" s="1"/>
  <c r="P957" i="1" s="1"/>
  <c r="U957" i="1" s="1"/>
  <c r="J957" i="1" a="1"/>
  <c r="J957" i="1" s="1"/>
  <c r="K957" i="1" a="1"/>
  <c r="K957" i="1" s="1"/>
  <c r="R957" i="1" s="1"/>
  <c r="I958" i="1" a="1"/>
  <c r="I958" i="1" s="1"/>
  <c r="P958" i="1" s="1"/>
  <c r="J958" i="1" a="1"/>
  <c r="J958" i="1" s="1"/>
  <c r="K958" i="1" a="1"/>
  <c r="K958" i="1" s="1"/>
  <c r="R958" i="1" s="1"/>
  <c r="I959" i="1" a="1"/>
  <c r="I959" i="1" s="1"/>
  <c r="P959" i="1" s="1"/>
  <c r="J959" i="1" a="1"/>
  <c r="J959" i="1" s="1"/>
  <c r="K959" i="1" a="1"/>
  <c r="K959" i="1" s="1"/>
  <c r="R959" i="1" s="1"/>
  <c r="I768" i="1" a="1"/>
  <c r="I768" i="1" s="1"/>
  <c r="P768" i="1" s="1"/>
  <c r="J768" i="1" a="1"/>
  <c r="J768" i="1" s="1"/>
  <c r="K768" i="1" a="1"/>
  <c r="K768" i="1" s="1"/>
  <c r="R768" i="1" s="1"/>
  <c r="I769" i="1" a="1"/>
  <c r="I769" i="1" s="1"/>
  <c r="P769" i="1" s="1"/>
  <c r="J769" i="1" a="1"/>
  <c r="J769" i="1" s="1"/>
  <c r="K769" i="1" a="1"/>
  <c r="K769" i="1" s="1"/>
  <c r="R769" i="1" s="1"/>
  <c r="I770" i="1" a="1"/>
  <c r="I770" i="1" s="1"/>
  <c r="P770" i="1" s="1"/>
  <c r="J770" i="1" a="1"/>
  <c r="J770" i="1" s="1"/>
  <c r="K770" i="1" a="1"/>
  <c r="K770" i="1" s="1"/>
  <c r="R770" i="1" s="1"/>
  <c r="I771" i="1" a="1"/>
  <c r="I771" i="1" s="1"/>
  <c r="P771" i="1" s="1"/>
  <c r="J771" i="1" a="1"/>
  <c r="J771" i="1" s="1"/>
  <c r="K771" i="1" a="1"/>
  <c r="K771" i="1" s="1"/>
  <c r="R771" i="1" s="1"/>
  <c r="I772" i="1" a="1"/>
  <c r="I772" i="1" s="1"/>
  <c r="P772" i="1" s="1"/>
  <c r="U772" i="1" s="1"/>
  <c r="J772" i="1" a="1"/>
  <c r="J772" i="1" s="1"/>
  <c r="K772" i="1" a="1"/>
  <c r="K772" i="1" s="1"/>
  <c r="R772" i="1" s="1"/>
  <c r="I773" i="1" a="1"/>
  <c r="I773" i="1" s="1"/>
  <c r="P773" i="1" s="1"/>
  <c r="U773" i="1" s="1"/>
  <c r="J773" i="1" a="1"/>
  <c r="J773" i="1" s="1"/>
  <c r="K773" i="1" a="1"/>
  <c r="K773" i="1" s="1"/>
  <c r="R773" i="1" s="1"/>
  <c r="I774" i="1" a="1"/>
  <c r="I774" i="1" s="1"/>
  <c r="P774" i="1" s="1"/>
  <c r="J774" i="1" a="1"/>
  <c r="J774" i="1" s="1"/>
  <c r="K774" i="1" a="1"/>
  <c r="K774" i="1" s="1"/>
  <c r="R774" i="1" s="1"/>
  <c r="I775" i="1" a="1"/>
  <c r="I775" i="1" s="1"/>
  <c r="P775" i="1" s="1"/>
  <c r="J775" i="1" a="1"/>
  <c r="J775" i="1" s="1"/>
  <c r="K775" i="1" a="1"/>
  <c r="K775" i="1" s="1"/>
  <c r="R775" i="1" s="1"/>
  <c r="I776" i="1" a="1"/>
  <c r="I776" i="1" s="1"/>
  <c r="P776" i="1" s="1"/>
  <c r="J776" i="1" a="1"/>
  <c r="J776" i="1" s="1"/>
  <c r="K776" i="1" a="1"/>
  <c r="K776" i="1" s="1"/>
  <c r="R776" i="1" s="1"/>
  <c r="I777" i="1" a="1"/>
  <c r="I777" i="1" s="1"/>
  <c r="P777" i="1" s="1"/>
  <c r="J777" i="1" a="1"/>
  <c r="J777" i="1" s="1"/>
  <c r="K777" i="1" a="1"/>
  <c r="K777" i="1" s="1"/>
  <c r="R777" i="1" s="1"/>
  <c r="I778" i="1" a="1"/>
  <c r="I778" i="1" s="1"/>
  <c r="P778" i="1" s="1"/>
  <c r="J778" i="1" a="1"/>
  <c r="J778" i="1" s="1"/>
  <c r="K778" i="1" a="1"/>
  <c r="K778" i="1" s="1"/>
  <c r="R778" i="1" s="1"/>
  <c r="I779" i="1" a="1"/>
  <c r="I779" i="1" s="1"/>
  <c r="P779" i="1" s="1"/>
  <c r="J779" i="1" a="1"/>
  <c r="J779" i="1" s="1"/>
  <c r="K779" i="1" a="1"/>
  <c r="K779" i="1" s="1"/>
  <c r="R779" i="1" s="1"/>
  <c r="I780" i="1" a="1"/>
  <c r="I780" i="1" s="1"/>
  <c r="P780" i="1" s="1"/>
  <c r="U780" i="1" s="1"/>
  <c r="J780" i="1" a="1"/>
  <c r="J780" i="1" s="1"/>
  <c r="K780" i="1" a="1"/>
  <c r="K780" i="1" s="1"/>
  <c r="R780" i="1" s="1"/>
  <c r="I781" i="1" a="1"/>
  <c r="I781" i="1" s="1"/>
  <c r="P781" i="1" s="1"/>
  <c r="J781" i="1" a="1"/>
  <c r="J781" i="1" s="1"/>
  <c r="K781" i="1" a="1"/>
  <c r="K781" i="1" s="1"/>
  <c r="R781" i="1" s="1"/>
  <c r="I782" i="1" a="1"/>
  <c r="I782" i="1" s="1"/>
  <c r="P782" i="1" s="1"/>
  <c r="J782" i="1" a="1"/>
  <c r="J782" i="1" s="1"/>
  <c r="K782" i="1" a="1"/>
  <c r="K782" i="1" s="1"/>
  <c r="R782" i="1" s="1"/>
  <c r="I783" i="1" a="1"/>
  <c r="I783" i="1" s="1"/>
  <c r="P783" i="1" s="1"/>
  <c r="J783" i="1" a="1"/>
  <c r="J783" i="1" s="1"/>
  <c r="K783" i="1" a="1"/>
  <c r="K783" i="1" s="1"/>
  <c r="R783" i="1" s="1"/>
  <c r="I784" i="1" a="1"/>
  <c r="I784" i="1" s="1"/>
  <c r="P784" i="1" s="1"/>
  <c r="J784" i="1" a="1"/>
  <c r="J784" i="1" s="1"/>
  <c r="V784" i="1" s="1"/>
  <c r="K784" i="1" a="1"/>
  <c r="K784" i="1" s="1"/>
  <c r="R784" i="1" s="1"/>
  <c r="I576" i="1" a="1"/>
  <c r="I576" i="1" s="1"/>
  <c r="P576" i="1" s="1"/>
  <c r="U576" i="1" s="1"/>
  <c r="J576" i="1" a="1"/>
  <c r="J576" i="1" s="1"/>
  <c r="K576" i="1" a="1"/>
  <c r="K576" i="1" s="1"/>
  <c r="R576" i="1" s="1"/>
  <c r="I577" i="1" a="1"/>
  <c r="I577" i="1" s="1"/>
  <c r="P577" i="1" s="1"/>
  <c r="J577" i="1" a="1"/>
  <c r="J577" i="1" s="1"/>
  <c r="K577" i="1" a="1"/>
  <c r="K577" i="1" s="1"/>
  <c r="R577" i="1" s="1"/>
  <c r="I578" i="1" a="1"/>
  <c r="I578" i="1"/>
  <c r="P578" i="1" s="1"/>
  <c r="J578" i="1" a="1"/>
  <c r="J578" i="1" s="1"/>
  <c r="K578" i="1" a="1"/>
  <c r="K578" i="1" s="1"/>
  <c r="R578" i="1" s="1"/>
  <c r="I579" i="1" a="1"/>
  <c r="I579" i="1" s="1"/>
  <c r="P579" i="1" s="1"/>
  <c r="J579" i="1" a="1"/>
  <c r="J579" i="1" s="1"/>
  <c r="K579" i="1" a="1"/>
  <c r="K579" i="1" s="1"/>
  <c r="R579" i="1" s="1"/>
  <c r="I580" i="1" a="1"/>
  <c r="I580" i="1" s="1"/>
  <c r="P580" i="1" s="1"/>
  <c r="J580" i="1" a="1"/>
  <c r="J580" i="1" s="1"/>
  <c r="K580" i="1" a="1"/>
  <c r="K580" i="1" s="1"/>
  <c r="R580" i="1" s="1"/>
  <c r="I581" i="1" a="1"/>
  <c r="I581" i="1" s="1"/>
  <c r="P581" i="1" s="1"/>
  <c r="U581" i="1" s="1"/>
  <c r="J581" i="1" a="1"/>
  <c r="J581" i="1" s="1"/>
  <c r="K581" i="1" a="1"/>
  <c r="K581" i="1" s="1"/>
  <c r="R581" i="1" s="1"/>
  <c r="I582" i="1" a="1"/>
  <c r="I582" i="1" s="1"/>
  <c r="P582" i="1" s="1"/>
  <c r="J582" i="1" a="1"/>
  <c r="J582" i="1" s="1"/>
  <c r="K582" i="1" a="1"/>
  <c r="K582" i="1" s="1"/>
  <c r="R582" i="1" s="1"/>
  <c r="I583" i="1" a="1"/>
  <c r="I583" i="1" s="1"/>
  <c r="P583" i="1" s="1"/>
  <c r="J583" i="1" a="1"/>
  <c r="J583" i="1" s="1"/>
  <c r="K583" i="1" a="1"/>
  <c r="K583" i="1" s="1"/>
  <c r="R583" i="1" s="1"/>
  <c r="I584" i="1" a="1"/>
  <c r="I584" i="1" s="1"/>
  <c r="P584" i="1" s="1"/>
  <c r="J584" i="1" a="1"/>
  <c r="J584" i="1" s="1"/>
  <c r="K584" i="1" a="1"/>
  <c r="K584" i="1" s="1"/>
  <c r="R584" i="1" s="1"/>
  <c r="I585" i="1" a="1"/>
  <c r="I585" i="1" s="1"/>
  <c r="P585" i="1" s="1"/>
  <c r="J585" i="1" a="1"/>
  <c r="J585" i="1" s="1"/>
  <c r="V585" i="1" s="1"/>
  <c r="K585" i="1" a="1"/>
  <c r="K585" i="1" s="1"/>
  <c r="R585" i="1" s="1"/>
  <c r="I586" i="1" a="1"/>
  <c r="I586" i="1" s="1"/>
  <c r="P586" i="1" s="1"/>
  <c r="J586" i="1" a="1"/>
  <c r="J586" i="1" s="1"/>
  <c r="V586" i="1" s="1"/>
  <c r="K586" i="1" a="1"/>
  <c r="K586" i="1" s="1"/>
  <c r="R586" i="1" s="1"/>
  <c r="I587" i="1" a="1"/>
  <c r="I587" i="1" s="1"/>
  <c r="P587" i="1" s="1"/>
  <c r="J587" i="1" a="1"/>
  <c r="J587" i="1" s="1"/>
  <c r="K587" i="1" a="1"/>
  <c r="K587" i="1" s="1"/>
  <c r="R587" i="1" s="1"/>
  <c r="I588" i="1" a="1"/>
  <c r="I588" i="1" s="1"/>
  <c r="P588" i="1" s="1"/>
  <c r="J588" i="1" a="1"/>
  <c r="J588" i="1" s="1"/>
  <c r="K588" i="1" a="1"/>
  <c r="K588" i="1" s="1"/>
  <c r="R588" i="1" s="1"/>
  <c r="I589" i="1" a="1"/>
  <c r="I589" i="1" s="1"/>
  <c r="P589" i="1" s="1"/>
  <c r="J589" i="1" a="1"/>
  <c r="J589" i="1" s="1"/>
  <c r="K589" i="1" a="1"/>
  <c r="K589" i="1" s="1"/>
  <c r="R589" i="1" s="1"/>
  <c r="I590" i="1" a="1"/>
  <c r="I590" i="1" s="1"/>
  <c r="P590" i="1" s="1"/>
  <c r="J590" i="1" a="1"/>
  <c r="J590" i="1" s="1"/>
  <c r="V590" i="1" s="1"/>
  <c r="K590" i="1" a="1"/>
  <c r="K590" i="1" s="1"/>
  <c r="R590" i="1" s="1"/>
  <c r="I591" i="1" a="1"/>
  <c r="I591" i="1" s="1"/>
  <c r="P591" i="1" s="1"/>
  <c r="J591" i="1" a="1"/>
  <c r="J591" i="1" s="1"/>
  <c r="K591" i="1" a="1"/>
  <c r="K591" i="1" s="1"/>
  <c r="R591" i="1" s="1"/>
  <c r="I592" i="1" a="1"/>
  <c r="I592" i="1" s="1"/>
  <c r="P592" i="1" s="1"/>
  <c r="J592" i="1" a="1"/>
  <c r="J592" i="1" s="1"/>
  <c r="K592" i="1" a="1"/>
  <c r="K592" i="1" s="1"/>
  <c r="R592" i="1" s="1"/>
  <c r="I593" i="1" a="1"/>
  <c r="I593" i="1" s="1"/>
  <c r="P593" i="1" s="1"/>
  <c r="J593" i="1" a="1"/>
  <c r="J593" i="1" s="1"/>
  <c r="K593" i="1" a="1"/>
  <c r="K593" i="1" s="1"/>
  <c r="R593" i="1" s="1"/>
  <c r="I594" i="1" a="1"/>
  <c r="I594" i="1" s="1"/>
  <c r="P594" i="1" s="1"/>
  <c r="J594" i="1" a="1"/>
  <c r="J594" i="1" s="1"/>
  <c r="V594" i="1" s="1"/>
  <c r="K594" i="1" a="1"/>
  <c r="K594" i="1" s="1"/>
  <c r="R594" i="1" s="1"/>
  <c r="I595" i="1" a="1"/>
  <c r="I595" i="1" s="1"/>
  <c r="P595" i="1" s="1"/>
  <c r="J595" i="1" a="1"/>
  <c r="J595" i="1" s="1"/>
  <c r="K595" i="1" a="1"/>
  <c r="K595" i="1" s="1"/>
  <c r="R595" i="1" s="1"/>
  <c r="I596" i="1" a="1"/>
  <c r="I596" i="1" s="1"/>
  <c r="P596" i="1" s="1"/>
  <c r="J596" i="1" a="1"/>
  <c r="J596" i="1" s="1"/>
  <c r="K596" i="1" a="1"/>
  <c r="K596" i="1" s="1"/>
  <c r="R596" i="1" s="1"/>
  <c r="I597" i="1" a="1"/>
  <c r="I597" i="1" s="1"/>
  <c r="P597" i="1" s="1"/>
  <c r="J597" i="1" a="1"/>
  <c r="J597" i="1" s="1"/>
  <c r="K597" i="1" a="1"/>
  <c r="K597" i="1" s="1"/>
  <c r="R597" i="1" s="1"/>
  <c r="I598" i="1" a="1"/>
  <c r="I598" i="1" s="1"/>
  <c r="P598" i="1" s="1"/>
  <c r="J598" i="1" a="1"/>
  <c r="J598" i="1" s="1"/>
  <c r="V598" i="1" s="1"/>
  <c r="K598" i="1" a="1"/>
  <c r="K598" i="1" s="1"/>
  <c r="R598" i="1" s="1"/>
  <c r="I599" i="1" a="1"/>
  <c r="I599" i="1" s="1"/>
  <c r="P599" i="1" s="1"/>
  <c r="J599" i="1" a="1"/>
  <c r="J599" i="1" s="1"/>
  <c r="K599" i="1" a="1"/>
  <c r="K599" i="1" s="1"/>
  <c r="R599" i="1" s="1"/>
  <c r="I600" i="1" a="1"/>
  <c r="I600" i="1" s="1"/>
  <c r="P600" i="1" s="1"/>
  <c r="J600" i="1" a="1"/>
  <c r="J600" i="1" s="1"/>
  <c r="K600" i="1" a="1"/>
  <c r="K600" i="1" s="1"/>
  <c r="R600" i="1" s="1"/>
  <c r="I601" i="1" a="1"/>
  <c r="I601" i="1" s="1"/>
  <c r="P601" i="1" s="1"/>
  <c r="J601" i="1" a="1"/>
  <c r="J601" i="1" s="1"/>
  <c r="K601" i="1" a="1"/>
  <c r="K601" i="1" s="1"/>
  <c r="R601" i="1" s="1"/>
  <c r="I602" i="1" a="1"/>
  <c r="I602" i="1" s="1"/>
  <c r="P602" i="1" s="1"/>
  <c r="J602" i="1" a="1"/>
  <c r="J602" i="1" s="1"/>
  <c r="K602" i="1" a="1"/>
  <c r="K602" i="1" s="1"/>
  <c r="R602" i="1" s="1"/>
  <c r="I603" i="1" a="1"/>
  <c r="I603" i="1" s="1"/>
  <c r="P603" i="1" s="1"/>
  <c r="J603" i="1" a="1"/>
  <c r="J603" i="1" s="1"/>
  <c r="K603" i="1" a="1"/>
  <c r="K603" i="1" s="1"/>
  <c r="R603" i="1" s="1"/>
  <c r="I604" i="1" a="1"/>
  <c r="I604" i="1" s="1"/>
  <c r="P604" i="1" s="1"/>
  <c r="J604" i="1" a="1"/>
  <c r="J604" i="1" s="1"/>
  <c r="K604" i="1" a="1"/>
  <c r="K604" i="1" s="1"/>
  <c r="R604" i="1" s="1"/>
  <c r="I605" i="1" a="1"/>
  <c r="I605" i="1" s="1"/>
  <c r="P605" i="1" s="1"/>
  <c r="J605" i="1" a="1"/>
  <c r="J605" i="1" s="1"/>
  <c r="K605" i="1" a="1"/>
  <c r="K605" i="1" s="1"/>
  <c r="R605" i="1" s="1"/>
  <c r="I606" i="1" a="1"/>
  <c r="I606" i="1" s="1"/>
  <c r="P606" i="1" s="1"/>
  <c r="J606" i="1" a="1"/>
  <c r="J606" i="1" s="1"/>
  <c r="K606" i="1" a="1"/>
  <c r="K606" i="1" s="1"/>
  <c r="R606" i="1" s="1"/>
  <c r="I607" i="1" a="1"/>
  <c r="I607" i="1" s="1"/>
  <c r="P607" i="1" s="1"/>
  <c r="J607" i="1" a="1"/>
  <c r="J607" i="1" s="1"/>
  <c r="K607" i="1" a="1"/>
  <c r="K607" i="1" s="1"/>
  <c r="R607" i="1" s="1"/>
  <c r="I608" i="1" a="1"/>
  <c r="I608" i="1" s="1"/>
  <c r="P608" i="1" s="1"/>
  <c r="J608" i="1" a="1"/>
  <c r="J608" i="1" s="1"/>
  <c r="K608" i="1" a="1"/>
  <c r="K608" i="1" s="1"/>
  <c r="R608" i="1" s="1"/>
  <c r="I609" i="1" a="1"/>
  <c r="I609" i="1" s="1"/>
  <c r="P609" i="1" s="1"/>
  <c r="J609" i="1" a="1"/>
  <c r="J609" i="1" s="1"/>
  <c r="K609" i="1" a="1"/>
  <c r="K609" i="1" s="1"/>
  <c r="R609" i="1" s="1"/>
  <c r="I610" i="1" a="1"/>
  <c r="I610" i="1" s="1"/>
  <c r="P610" i="1" s="1"/>
  <c r="J610" i="1" a="1"/>
  <c r="J610" i="1" s="1"/>
  <c r="K610" i="1" a="1"/>
  <c r="K610" i="1" s="1"/>
  <c r="R610" i="1" s="1"/>
  <c r="I611" i="1" a="1"/>
  <c r="I611" i="1" s="1"/>
  <c r="P611" i="1" s="1"/>
  <c r="J611" i="1" a="1"/>
  <c r="J611" i="1" s="1"/>
  <c r="K611" i="1" a="1"/>
  <c r="K611" i="1" s="1"/>
  <c r="R611" i="1" s="1"/>
  <c r="I612" i="1" a="1"/>
  <c r="I612" i="1" s="1"/>
  <c r="P612" i="1" s="1"/>
  <c r="J612" i="1" a="1"/>
  <c r="J612" i="1" s="1"/>
  <c r="K612" i="1" a="1"/>
  <c r="K612" i="1" s="1"/>
  <c r="R612" i="1" s="1"/>
  <c r="I613" i="1" a="1"/>
  <c r="I613" i="1" s="1"/>
  <c r="P613" i="1" s="1"/>
  <c r="J613" i="1" a="1"/>
  <c r="J613" i="1" s="1"/>
  <c r="K613" i="1" a="1"/>
  <c r="K613" i="1" s="1"/>
  <c r="R613" i="1" s="1"/>
  <c r="I614" i="1" a="1"/>
  <c r="I614" i="1" s="1"/>
  <c r="P614" i="1" s="1"/>
  <c r="J614" i="1" a="1"/>
  <c r="J614" i="1" s="1"/>
  <c r="K614" i="1" a="1"/>
  <c r="K614" i="1" s="1"/>
  <c r="R614" i="1" s="1"/>
  <c r="I615" i="1" a="1"/>
  <c r="I615" i="1" s="1"/>
  <c r="P615" i="1" s="1"/>
  <c r="J615" i="1" a="1"/>
  <c r="J615" i="1" s="1"/>
  <c r="K615" i="1" a="1"/>
  <c r="K615" i="1" s="1"/>
  <c r="R615" i="1" s="1"/>
  <c r="I616" i="1" a="1"/>
  <c r="I616" i="1" s="1"/>
  <c r="P616" i="1" s="1"/>
  <c r="J616" i="1" a="1"/>
  <c r="J616" i="1" s="1"/>
  <c r="K616" i="1" a="1"/>
  <c r="K616" i="1" s="1"/>
  <c r="R616" i="1" s="1"/>
  <c r="I617" i="1" a="1"/>
  <c r="I617" i="1" s="1"/>
  <c r="P617" i="1" s="1"/>
  <c r="J617" i="1" a="1"/>
  <c r="J617" i="1" s="1"/>
  <c r="K617" i="1" a="1"/>
  <c r="K617" i="1" s="1"/>
  <c r="R617" i="1" s="1"/>
  <c r="I618" i="1" a="1"/>
  <c r="I618" i="1" s="1"/>
  <c r="P618" i="1" s="1"/>
  <c r="J618" i="1" a="1"/>
  <c r="J618" i="1" s="1"/>
  <c r="K618" i="1" a="1"/>
  <c r="K618" i="1" s="1"/>
  <c r="R618" i="1" s="1"/>
  <c r="I619" i="1" a="1"/>
  <c r="I619" i="1" s="1"/>
  <c r="P619" i="1" s="1"/>
  <c r="J619" i="1" a="1"/>
  <c r="J619" i="1" s="1"/>
  <c r="K619" i="1" a="1"/>
  <c r="K619" i="1" s="1"/>
  <c r="R619" i="1" s="1"/>
  <c r="I620" i="1" a="1"/>
  <c r="I620" i="1" s="1"/>
  <c r="P620" i="1" s="1"/>
  <c r="J620" i="1" a="1"/>
  <c r="J620" i="1" s="1"/>
  <c r="K620" i="1" a="1"/>
  <c r="K620" i="1" s="1"/>
  <c r="R620" i="1" s="1"/>
  <c r="I621" i="1" a="1"/>
  <c r="I621" i="1" s="1"/>
  <c r="P621" i="1" s="1"/>
  <c r="J621" i="1" a="1"/>
  <c r="J621" i="1" s="1"/>
  <c r="K621" i="1" a="1"/>
  <c r="K621" i="1" s="1"/>
  <c r="R621" i="1" s="1"/>
  <c r="I622" i="1" a="1"/>
  <c r="I622" i="1" s="1"/>
  <c r="P622" i="1" s="1"/>
  <c r="J622" i="1" a="1"/>
  <c r="J622" i="1" s="1"/>
  <c r="K622" i="1" a="1"/>
  <c r="K622" i="1" s="1"/>
  <c r="R622" i="1" s="1"/>
  <c r="I623" i="1" a="1"/>
  <c r="I623" i="1" s="1"/>
  <c r="P623" i="1" s="1"/>
  <c r="J623" i="1" a="1"/>
  <c r="J623" i="1" s="1"/>
  <c r="K623" i="1" a="1"/>
  <c r="K623" i="1" s="1"/>
  <c r="R623" i="1" s="1"/>
  <c r="I624" i="1" a="1"/>
  <c r="I624" i="1" s="1"/>
  <c r="P624" i="1" s="1"/>
  <c r="J624" i="1" a="1"/>
  <c r="J624" i="1" s="1"/>
  <c r="K624" i="1" a="1"/>
  <c r="K624" i="1" s="1"/>
  <c r="R624" i="1" s="1"/>
  <c r="I625" i="1" a="1"/>
  <c r="I625" i="1" s="1"/>
  <c r="P625" i="1" s="1"/>
  <c r="J625" i="1" a="1"/>
  <c r="J625" i="1" s="1"/>
  <c r="K625" i="1" a="1"/>
  <c r="K625" i="1" s="1"/>
  <c r="R625" i="1" s="1"/>
  <c r="I626" i="1" a="1"/>
  <c r="I626" i="1" s="1"/>
  <c r="P626" i="1" s="1"/>
  <c r="J626" i="1" a="1"/>
  <c r="J626" i="1" s="1"/>
  <c r="K626" i="1" a="1"/>
  <c r="K626" i="1" s="1"/>
  <c r="R626" i="1" s="1"/>
  <c r="I627" i="1" a="1"/>
  <c r="I627" i="1" s="1"/>
  <c r="P627" i="1" s="1"/>
  <c r="J627" i="1" a="1"/>
  <c r="J627" i="1" s="1"/>
  <c r="K627" i="1" a="1"/>
  <c r="K627" i="1" s="1"/>
  <c r="R627" i="1" s="1"/>
  <c r="I628" i="1" a="1"/>
  <c r="I628" i="1" s="1"/>
  <c r="P628" i="1" s="1"/>
  <c r="J628" i="1" a="1"/>
  <c r="J628" i="1" s="1"/>
  <c r="K628" i="1" a="1"/>
  <c r="K628" i="1" s="1"/>
  <c r="R628" i="1" s="1"/>
  <c r="I629" i="1" a="1"/>
  <c r="I629" i="1" s="1"/>
  <c r="P629" i="1" s="1"/>
  <c r="J629" i="1" a="1"/>
  <c r="J629" i="1" s="1"/>
  <c r="K629" i="1" a="1"/>
  <c r="K629" i="1" s="1"/>
  <c r="R629" i="1" s="1"/>
  <c r="I630" i="1" a="1"/>
  <c r="I630" i="1" s="1"/>
  <c r="P630" i="1" s="1"/>
  <c r="J630" i="1" a="1"/>
  <c r="J630" i="1" s="1"/>
  <c r="K630" i="1" a="1"/>
  <c r="K630" i="1" s="1"/>
  <c r="R630" i="1" s="1"/>
  <c r="I631" i="1" a="1"/>
  <c r="I631" i="1" s="1"/>
  <c r="P631" i="1" s="1"/>
  <c r="J631" i="1" a="1"/>
  <c r="J631" i="1" s="1"/>
  <c r="K631" i="1" a="1"/>
  <c r="K631" i="1" s="1"/>
  <c r="R631" i="1" s="1"/>
  <c r="I632" i="1" a="1"/>
  <c r="I632" i="1" s="1"/>
  <c r="P632" i="1" s="1"/>
  <c r="J632" i="1" a="1"/>
  <c r="J632" i="1" s="1"/>
  <c r="K632" i="1" a="1"/>
  <c r="K632" i="1" s="1"/>
  <c r="R632" i="1" s="1"/>
  <c r="I633" i="1" a="1"/>
  <c r="I633" i="1" s="1"/>
  <c r="P633" i="1" s="1"/>
  <c r="J633" i="1" a="1"/>
  <c r="J633" i="1" s="1"/>
  <c r="K633" i="1" a="1"/>
  <c r="K633" i="1" s="1"/>
  <c r="R633" i="1" s="1"/>
  <c r="I634" i="1" a="1"/>
  <c r="I634" i="1" s="1"/>
  <c r="P634" i="1" s="1"/>
  <c r="J634" i="1" a="1"/>
  <c r="J634" i="1" s="1"/>
  <c r="K634" i="1" a="1"/>
  <c r="K634" i="1" s="1"/>
  <c r="R634" i="1" s="1"/>
  <c r="I635" i="1" a="1"/>
  <c r="I635" i="1" s="1"/>
  <c r="P635" i="1" s="1"/>
  <c r="J635" i="1" a="1"/>
  <c r="J635" i="1" s="1"/>
  <c r="K635" i="1" a="1"/>
  <c r="K635" i="1" s="1"/>
  <c r="R635" i="1" s="1"/>
  <c r="I636" i="1" a="1"/>
  <c r="I636" i="1" s="1"/>
  <c r="P636" i="1" s="1"/>
  <c r="J636" i="1" a="1"/>
  <c r="J636" i="1" s="1"/>
  <c r="K636" i="1" a="1"/>
  <c r="K636" i="1" s="1"/>
  <c r="R636" i="1" s="1"/>
  <c r="I637" i="1" a="1"/>
  <c r="I637" i="1" s="1"/>
  <c r="P637" i="1" s="1"/>
  <c r="J637" i="1" a="1"/>
  <c r="J637" i="1" s="1"/>
  <c r="K637" i="1" a="1"/>
  <c r="K637" i="1" s="1"/>
  <c r="R637" i="1" s="1"/>
  <c r="I638" i="1" a="1"/>
  <c r="I638" i="1" s="1"/>
  <c r="P638" i="1" s="1"/>
  <c r="J638" i="1" a="1"/>
  <c r="J638" i="1" s="1"/>
  <c r="K638" i="1" a="1"/>
  <c r="K638" i="1" s="1"/>
  <c r="R638" i="1" s="1"/>
  <c r="I639" i="1" a="1"/>
  <c r="I639" i="1" s="1"/>
  <c r="P639" i="1" s="1"/>
  <c r="J639" i="1" a="1"/>
  <c r="J639" i="1" s="1"/>
  <c r="K639" i="1" a="1"/>
  <c r="K639" i="1" s="1"/>
  <c r="R639" i="1" s="1"/>
  <c r="I640" i="1" a="1"/>
  <c r="I640" i="1" s="1"/>
  <c r="P640" i="1" s="1"/>
  <c r="J640" i="1" a="1"/>
  <c r="J640" i="1" s="1"/>
  <c r="K640" i="1" a="1"/>
  <c r="K640" i="1" s="1"/>
  <c r="R640" i="1" s="1"/>
  <c r="I641" i="1" a="1"/>
  <c r="I641" i="1" s="1"/>
  <c r="P641" i="1" s="1"/>
  <c r="J641" i="1" a="1"/>
  <c r="J641" i="1" s="1"/>
  <c r="K641" i="1" a="1"/>
  <c r="K641" i="1" s="1"/>
  <c r="R641" i="1" s="1"/>
  <c r="I642" i="1" a="1"/>
  <c r="I642" i="1" s="1"/>
  <c r="P642" i="1" s="1"/>
  <c r="J642" i="1" a="1"/>
  <c r="J642" i="1" s="1"/>
  <c r="K642" i="1" a="1"/>
  <c r="K642" i="1" s="1"/>
  <c r="R642" i="1" s="1"/>
  <c r="I643" i="1" a="1"/>
  <c r="I643" i="1" s="1"/>
  <c r="P643" i="1" s="1"/>
  <c r="J643" i="1" a="1"/>
  <c r="J643" i="1" s="1"/>
  <c r="K643" i="1" a="1"/>
  <c r="K643" i="1" s="1"/>
  <c r="R643" i="1" s="1"/>
  <c r="I644" i="1" a="1"/>
  <c r="I644" i="1" s="1"/>
  <c r="P644" i="1" s="1"/>
  <c r="J644" i="1" a="1"/>
  <c r="J644" i="1" s="1"/>
  <c r="K644" i="1" a="1"/>
  <c r="K644" i="1" s="1"/>
  <c r="R644" i="1" s="1"/>
  <c r="I645" i="1" a="1"/>
  <c r="I645" i="1" s="1"/>
  <c r="P645" i="1" s="1"/>
  <c r="J645" i="1" a="1"/>
  <c r="J645" i="1" s="1"/>
  <c r="K645" i="1" a="1"/>
  <c r="K645" i="1" s="1"/>
  <c r="R645" i="1" s="1"/>
  <c r="I646" i="1" a="1"/>
  <c r="I646" i="1" s="1"/>
  <c r="P646" i="1" s="1"/>
  <c r="J646" i="1" a="1"/>
  <c r="J646" i="1" s="1"/>
  <c r="K646" i="1" a="1"/>
  <c r="K646" i="1" s="1"/>
  <c r="R646" i="1" s="1"/>
  <c r="I647" i="1" a="1"/>
  <c r="I647" i="1" s="1"/>
  <c r="P647" i="1" s="1"/>
  <c r="J647" i="1" a="1"/>
  <c r="J647" i="1" s="1"/>
  <c r="K647" i="1" a="1"/>
  <c r="K647" i="1" s="1"/>
  <c r="R647" i="1" s="1"/>
  <c r="I648" i="1" a="1"/>
  <c r="I648" i="1" s="1"/>
  <c r="P648" i="1" s="1"/>
  <c r="J648" i="1" a="1"/>
  <c r="J648" i="1" s="1"/>
  <c r="K648" i="1" a="1"/>
  <c r="K648" i="1" s="1"/>
  <c r="R648" i="1" s="1"/>
  <c r="I649" i="1" a="1"/>
  <c r="I649" i="1" s="1"/>
  <c r="P649" i="1" s="1"/>
  <c r="J649" i="1" a="1"/>
  <c r="J649" i="1" s="1"/>
  <c r="K649" i="1" a="1"/>
  <c r="K649" i="1" s="1"/>
  <c r="R649" i="1" s="1"/>
  <c r="I650" i="1" a="1"/>
  <c r="I650" i="1" s="1"/>
  <c r="P650" i="1" s="1"/>
  <c r="J650" i="1" a="1"/>
  <c r="J650" i="1" s="1"/>
  <c r="K650" i="1" a="1"/>
  <c r="K650" i="1" s="1"/>
  <c r="R650" i="1" s="1"/>
  <c r="I651" i="1" a="1"/>
  <c r="I651" i="1" s="1"/>
  <c r="P651" i="1" s="1"/>
  <c r="J651" i="1" a="1"/>
  <c r="J651" i="1" s="1"/>
  <c r="K651" i="1" a="1"/>
  <c r="K651" i="1" s="1"/>
  <c r="R651" i="1" s="1"/>
  <c r="I652" i="1" a="1"/>
  <c r="I652" i="1" s="1"/>
  <c r="P652" i="1" s="1"/>
  <c r="J652" i="1" a="1"/>
  <c r="J652" i="1" s="1"/>
  <c r="K652" i="1" a="1"/>
  <c r="K652" i="1" s="1"/>
  <c r="R652" i="1" s="1"/>
  <c r="I653" i="1" a="1"/>
  <c r="I653" i="1" s="1"/>
  <c r="P653" i="1" s="1"/>
  <c r="J653" i="1" a="1"/>
  <c r="J653" i="1" s="1"/>
  <c r="K653" i="1" a="1"/>
  <c r="K653" i="1" s="1"/>
  <c r="R653" i="1" s="1"/>
  <c r="I654" i="1" a="1"/>
  <c r="I654" i="1" s="1"/>
  <c r="P654" i="1" s="1"/>
  <c r="J654" i="1" a="1"/>
  <c r="J654" i="1" s="1"/>
  <c r="K654" i="1" a="1"/>
  <c r="K654" i="1" s="1"/>
  <c r="R654" i="1" s="1"/>
  <c r="I655" i="1" a="1"/>
  <c r="I655" i="1" s="1"/>
  <c r="P655" i="1" s="1"/>
  <c r="J655" i="1" a="1"/>
  <c r="J655" i="1" s="1"/>
  <c r="K655" i="1" a="1"/>
  <c r="K655" i="1" s="1"/>
  <c r="R655" i="1" s="1"/>
  <c r="I656" i="1" a="1"/>
  <c r="I656" i="1" s="1"/>
  <c r="P656" i="1" s="1"/>
  <c r="J656" i="1" a="1"/>
  <c r="J656" i="1" s="1"/>
  <c r="K656" i="1" a="1"/>
  <c r="K656" i="1" s="1"/>
  <c r="R656" i="1" s="1"/>
  <c r="I657" i="1" a="1"/>
  <c r="I657" i="1" s="1"/>
  <c r="P657" i="1" s="1"/>
  <c r="J657" i="1" a="1"/>
  <c r="J657" i="1" s="1"/>
  <c r="K657" i="1" a="1"/>
  <c r="K657" i="1" s="1"/>
  <c r="R657" i="1" s="1"/>
  <c r="I658" i="1" a="1"/>
  <c r="I658" i="1" s="1"/>
  <c r="P658" i="1" s="1"/>
  <c r="J658" i="1" a="1"/>
  <c r="J658" i="1" s="1"/>
  <c r="K658" i="1" a="1"/>
  <c r="K658" i="1" s="1"/>
  <c r="R658" i="1" s="1"/>
  <c r="I659" i="1" a="1"/>
  <c r="I659" i="1" s="1"/>
  <c r="P659" i="1" s="1"/>
  <c r="J659" i="1" a="1"/>
  <c r="J659" i="1" s="1"/>
  <c r="K659" i="1" a="1"/>
  <c r="K659" i="1" s="1"/>
  <c r="R659" i="1" s="1"/>
  <c r="I660" i="1" a="1"/>
  <c r="I660" i="1" s="1"/>
  <c r="P660" i="1" s="1"/>
  <c r="J660" i="1" a="1"/>
  <c r="J660" i="1" s="1"/>
  <c r="K660" i="1" a="1"/>
  <c r="K660" i="1" s="1"/>
  <c r="R660" i="1" s="1"/>
  <c r="I661" i="1" a="1"/>
  <c r="I661" i="1" s="1"/>
  <c r="P661" i="1" s="1"/>
  <c r="J661" i="1" a="1"/>
  <c r="J661" i="1" s="1"/>
  <c r="K661" i="1" a="1"/>
  <c r="K661" i="1" s="1"/>
  <c r="R661" i="1" s="1"/>
  <c r="I662" i="1" a="1"/>
  <c r="I662" i="1" s="1"/>
  <c r="P662" i="1" s="1"/>
  <c r="J662" i="1" a="1"/>
  <c r="J662" i="1" s="1"/>
  <c r="K662" i="1" a="1"/>
  <c r="K662" i="1" s="1"/>
  <c r="R662" i="1" s="1"/>
  <c r="I663" i="1" a="1"/>
  <c r="I663" i="1" s="1"/>
  <c r="P663" i="1" s="1"/>
  <c r="J663" i="1" a="1"/>
  <c r="J663" i="1" s="1"/>
  <c r="K663" i="1" a="1"/>
  <c r="K663" i="1" s="1"/>
  <c r="R663" i="1" s="1"/>
  <c r="I664" i="1" a="1"/>
  <c r="I664" i="1" s="1"/>
  <c r="P664" i="1" s="1"/>
  <c r="J664" i="1" a="1"/>
  <c r="J664" i="1" s="1"/>
  <c r="K664" i="1" a="1"/>
  <c r="K664" i="1" s="1"/>
  <c r="R664" i="1" s="1"/>
  <c r="I665" i="1" a="1"/>
  <c r="I665" i="1" s="1"/>
  <c r="P665" i="1" s="1"/>
  <c r="J665" i="1" a="1"/>
  <c r="J665" i="1" s="1"/>
  <c r="K665" i="1" a="1"/>
  <c r="K665" i="1" s="1"/>
  <c r="R665" i="1" s="1"/>
  <c r="I666" i="1" a="1"/>
  <c r="I666" i="1" s="1"/>
  <c r="P666" i="1" s="1"/>
  <c r="J666" i="1" a="1"/>
  <c r="J666" i="1" s="1"/>
  <c r="K666" i="1" a="1"/>
  <c r="K666" i="1" s="1"/>
  <c r="R666" i="1" s="1"/>
  <c r="I667" i="1" a="1"/>
  <c r="I667" i="1" s="1"/>
  <c r="P667" i="1" s="1"/>
  <c r="J667" i="1" a="1"/>
  <c r="J667" i="1" s="1"/>
  <c r="K667" i="1" a="1"/>
  <c r="K667" i="1" s="1"/>
  <c r="R667" i="1" s="1"/>
  <c r="I668" i="1" a="1"/>
  <c r="I668" i="1" s="1"/>
  <c r="P668" i="1" s="1"/>
  <c r="J668" i="1" a="1"/>
  <c r="J668" i="1" s="1"/>
  <c r="K668" i="1" a="1"/>
  <c r="K668" i="1" s="1"/>
  <c r="R668" i="1" s="1"/>
  <c r="I669" i="1" a="1"/>
  <c r="I669" i="1" s="1"/>
  <c r="P669" i="1" s="1"/>
  <c r="J669" i="1" a="1"/>
  <c r="J669" i="1" s="1"/>
  <c r="K669" i="1" a="1"/>
  <c r="K669" i="1" s="1"/>
  <c r="R669" i="1" s="1"/>
  <c r="I670" i="1" a="1"/>
  <c r="I670" i="1" s="1"/>
  <c r="P670" i="1" s="1"/>
  <c r="J670" i="1" a="1"/>
  <c r="J670" i="1" s="1"/>
  <c r="K670" i="1" a="1"/>
  <c r="K670" i="1" s="1"/>
  <c r="R670" i="1" s="1"/>
  <c r="I671" i="1" a="1"/>
  <c r="I671" i="1" s="1"/>
  <c r="P671" i="1" s="1"/>
  <c r="J671" i="1" a="1"/>
  <c r="J671" i="1" s="1"/>
  <c r="K671" i="1" a="1"/>
  <c r="K671" i="1" s="1"/>
  <c r="R671" i="1" s="1"/>
  <c r="I672" i="1" a="1"/>
  <c r="I672" i="1" s="1"/>
  <c r="P672" i="1" s="1"/>
  <c r="J672" i="1" a="1"/>
  <c r="J672" i="1" s="1"/>
  <c r="K672" i="1" a="1"/>
  <c r="K672" i="1" s="1"/>
  <c r="R672" i="1" s="1"/>
  <c r="I673" i="1" a="1"/>
  <c r="I673" i="1" s="1"/>
  <c r="P673" i="1" s="1"/>
  <c r="J673" i="1" a="1"/>
  <c r="J673" i="1" s="1"/>
  <c r="K673" i="1" a="1"/>
  <c r="K673" i="1" s="1"/>
  <c r="R673" i="1" s="1"/>
  <c r="I674" i="1" a="1"/>
  <c r="I674" i="1" s="1"/>
  <c r="P674" i="1" s="1"/>
  <c r="J674" i="1" a="1"/>
  <c r="J674" i="1" s="1"/>
  <c r="K674" i="1" a="1"/>
  <c r="K674" i="1" s="1"/>
  <c r="R674" i="1" s="1"/>
  <c r="I675" i="1" a="1"/>
  <c r="I675" i="1" s="1"/>
  <c r="P675" i="1" s="1"/>
  <c r="J675" i="1" a="1"/>
  <c r="J675" i="1" s="1"/>
  <c r="K675" i="1" a="1"/>
  <c r="K675" i="1" s="1"/>
  <c r="R675" i="1" s="1"/>
  <c r="I676" i="1" a="1"/>
  <c r="I676" i="1" s="1"/>
  <c r="P676" i="1" s="1"/>
  <c r="J676" i="1" a="1"/>
  <c r="J676" i="1" s="1"/>
  <c r="K676" i="1" a="1"/>
  <c r="K676" i="1" s="1"/>
  <c r="R676" i="1" s="1"/>
  <c r="I677" i="1" a="1"/>
  <c r="I677" i="1" s="1"/>
  <c r="P677" i="1" s="1"/>
  <c r="J677" i="1" a="1"/>
  <c r="J677" i="1" s="1"/>
  <c r="K677" i="1" a="1"/>
  <c r="K677" i="1" s="1"/>
  <c r="R677" i="1" s="1"/>
  <c r="I678" i="1" a="1"/>
  <c r="I678" i="1" s="1"/>
  <c r="P678" i="1" s="1"/>
  <c r="J678" i="1" a="1"/>
  <c r="J678" i="1" s="1"/>
  <c r="K678" i="1" a="1"/>
  <c r="K678" i="1" s="1"/>
  <c r="R678" i="1" s="1"/>
  <c r="I679" i="1" a="1"/>
  <c r="I679" i="1" s="1"/>
  <c r="P679" i="1" s="1"/>
  <c r="J679" i="1" a="1"/>
  <c r="J679" i="1" s="1"/>
  <c r="K679" i="1" a="1"/>
  <c r="K679" i="1" s="1"/>
  <c r="R679" i="1" s="1"/>
  <c r="I680" i="1" a="1"/>
  <c r="I680" i="1" s="1"/>
  <c r="P680" i="1" s="1"/>
  <c r="J680" i="1" a="1"/>
  <c r="J680" i="1" s="1"/>
  <c r="K680" i="1" a="1"/>
  <c r="K680" i="1" s="1"/>
  <c r="R680" i="1" s="1"/>
  <c r="I681" i="1" a="1"/>
  <c r="I681" i="1" s="1"/>
  <c r="P681" i="1" s="1"/>
  <c r="J681" i="1" a="1"/>
  <c r="J681" i="1" s="1"/>
  <c r="K681" i="1" a="1"/>
  <c r="K681" i="1" s="1"/>
  <c r="R681" i="1" s="1"/>
  <c r="I682" i="1" a="1"/>
  <c r="I682" i="1" s="1"/>
  <c r="P682" i="1" s="1"/>
  <c r="J682" i="1" a="1"/>
  <c r="J682" i="1" s="1"/>
  <c r="K682" i="1" a="1"/>
  <c r="K682" i="1" s="1"/>
  <c r="R682" i="1" s="1"/>
  <c r="I683" i="1" a="1"/>
  <c r="I683" i="1" s="1"/>
  <c r="P683" i="1" s="1"/>
  <c r="J683" i="1" a="1"/>
  <c r="J683" i="1" s="1"/>
  <c r="K683" i="1" a="1"/>
  <c r="K683" i="1" s="1"/>
  <c r="R683" i="1" s="1"/>
  <c r="I684" i="1" a="1"/>
  <c r="I684" i="1" s="1"/>
  <c r="P684" i="1" s="1"/>
  <c r="J684" i="1" a="1"/>
  <c r="J684" i="1" s="1"/>
  <c r="K684" i="1" a="1"/>
  <c r="K684" i="1" s="1"/>
  <c r="R684" i="1" s="1"/>
  <c r="I685" i="1" a="1"/>
  <c r="I685" i="1" s="1"/>
  <c r="P685" i="1" s="1"/>
  <c r="J685" i="1" a="1"/>
  <c r="J685" i="1" s="1"/>
  <c r="K685" i="1" a="1"/>
  <c r="K685" i="1" s="1"/>
  <c r="R685" i="1" s="1"/>
  <c r="I686" i="1" a="1"/>
  <c r="I686" i="1" s="1"/>
  <c r="P686" i="1" s="1"/>
  <c r="J686" i="1" a="1"/>
  <c r="J686" i="1" s="1"/>
  <c r="K686" i="1" a="1"/>
  <c r="K686" i="1" s="1"/>
  <c r="R686" i="1" s="1"/>
  <c r="I687" i="1" a="1"/>
  <c r="I687" i="1" s="1"/>
  <c r="P687" i="1" s="1"/>
  <c r="J687" i="1" a="1"/>
  <c r="J687" i="1" s="1"/>
  <c r="K687" i="1" a="1"/>
  <c r="K687" i="1" s="1"/>
  <c r="R687" i="1" s="1"/>
  <c r="I688" i="1" a="1"/>
  <c r="I688" i="1" s="1"/>
  <c r="P688" i="1" s="1"/>
  <c r="J688" i="1" a="1"/>
  <c r="J688" i="1" s="1"/>
  <c r="K688" i="1" a="1"/>
  <c r="K688" i="1" s="1"/>
  <c r="R688" i="1" s="1"/>
  <c r="I689" i="1" a="1"/>
  <c r="I689" i="1" s="1"/>
  <c r="P689" i="1" s="1"/>
  <c r="J689" i="1" a="1"/>
  <c r="J689" i="1" s="1"/>
  <c r="K689" i="1" a="1"/>
  <c r="K689" i="1" s="1"/>
  <c r="R689" i="1" s="1"/>
  <c r="I690" i="1" a="1"/>
  <c r="I690" i="1" s="1"/>
  <c r="P690" i="1" s="1"/>
  <c r="J690" i="1" a="1"/>
  <c r="J690" i="1" s="1"/>
  <c r="K690" i="1" a="1"/>
  <c r="K690" i="1" s="1"/>
  <c r="R690" i="1" s="1"/>
  <c r="I691" i="1" a="1"/>
  <c r="I691" i="1" s="1"/>
  <c r="P691" i="1" s="1"/>
  <c r="J691" i="1" a="1"/>
  <c r="J691" i="1" s="1"/>
  <c r="K691" i="1" a="1"/>
  <c r="K691" i="1" s="1"/>
  <c r="R691" i="1" s="1"/>
  <c r="I692" i="1" a="1"/>
  <c r="I692" i="1" s="1"/>
  <c r="P692" i="1" s="1"/>
  <c r="J692" i="1" a="1"/>
  <c r="J692" i="1" s="1"/>
  <c r="K692" i="1" a="1"/>
  <c r="K692" i="1" s="1"/>
  <c r="R692" i="1" s="1"/>
  <c r="I693" i="1" a="1"/>
  <c r="I693" i="1" s="1"/>
  <c r="P693" i="1" s="1"/>
  <c r="J693" i="1" a="1"/>
  <c r="J693" i="1" s="1"/>
  <c r="K693" i="1" a="1"/>
  <c r="K693" i="1" s="1"/>
  <c r="R693" i="1" s="1"/>
  <c r="I694" i="1" a="1"/>
  <c r="I694" i="1" s="1"/>
  <c r="P694" i="1" s="1"/>
  <c r="J694" i="1" a="1"/>
  <c r="J694" i="1" s="1"/>
  <c r="K694" i="1" a="1"/>
  <c r="K694" i="1" s="1"/>
  <c r="R694" i="1" s="1"/>
  <c r="I695" i="1" a="1"/>
  <c r="I695" i="1" s="1"/>
  <c r="P695" i="1" s="1"/>
  <c r="J695" i="1" a="1"/>
  <c r="J695" i="1" s="1"/>
  <c r="K695" i="1" a="1"/>
  <c r="K695" i="1" s="1"/>
  <c r="R695" i="1" s="1"/>
  <c r="I696" i="1" a="1"/>
  <c r="I696" i="1" s="1"/>
  <c r="P696" i="1" s="1"/>
  <c r="J696" i="1" a="1"/>
  <c r="J696" i="1" s="1"/>
  <c r="K696" i="1" a="1"/>
  <c r="K696" i="1" s="1"/>
  <c r="R696" i="1" s="1"/>
  <c r="I697" i="1" a="1"/>
  <c r="I697" i="1" s="1"/>
  <c r="P697" i="1" s="1"/>
  <c r="J697" i="1" a="1"/>
  <c r="J697" i="1" s="1"/>
  <c r="K697" i="1" a="1"/>
  <c r="K697" i="1" s="1"/>
  <c r="R697" i="1" s="1"/>
  <c r="I698" i="1" a="1"/>
  <c r="I698" i="1" s="1"/>
  <c r="P698" i="1" s="1"/>
  <c r="J698" i="1" a="1"/>
  <c r="J698" i="1" s="1"/>
  <c r="K698" i="1" a="1"/>
  <c r="K698" i="1" s="1"/>
  <c r="R698" i="1" s="1"/>
  <c r="I699" i="1" a="1"/>
  <c r="I699" i="1" s="1"/>
  <c r="P699" i="1" s="1"/>
  <c r="J699" i="1" a="1"/>
  <c r="J699" i="1" s="1"/>
  <c r="K699" i="1" a="1"/>
  <c r="K699" i="1" s="1"/>
  <c r="R699" i="1" s="1"/>
  <c r="I700" i="1" a="1"/>
  <c r="I700" i="1" s="1"/>
  <c r="P700" i="1" s="1"/>
  <c r="J700" i="1" a="1"/>
  <c r="J700" i="1" s="1"/>
  <c r="K700" i="1" a="1"/>
  <c r="K700" i="1" s="1"/>
  <c r="R700" i="1" s="1"/>
  <c r="I701" i="1" a="1"/>
  <c r="I701" i="1" s="1"/>
  <c r="P701" i="1" s="1"/>
  <c r="J701" i="1" a="1"/>
  <c r="J701" i="1" s="1"/>
  <c r="K701" i="1" a="1"/>
  <c r="K701" i="1" s="1"/>
  <c r="R701" i="1" s="1"/>
  <c r="I702" i="1" a="1"/>
  <c r="I702" i="1" s="1"/>
  <c r="P702" i="1" s="1"/>
  <c r="J702" i="1" a="1"/>
  <c r="J702" i="1" s="1"/>
  <c r="K702" i="1" a="1"/>
  <c r="K702" i="1" s="1"/>
  <c r="R702" i="1" s="1"/>
  <c r="I703" i="1" a="1"/>
  <c r="I703" i="1" s="1"/>
  <c r="P703" i="1" s="1"/>
  <c r="J703" i="1" a="1"/>
  <c r="J703" i="1" s="1"/>
  <c r="K703" i="1" a="1"/>
  <c r="K703" i="1" s="1"/>
  <c r="R703" i="1" s="1"/>
  <c r="I704" i="1" a="1"/>
  <c r="I704" i="1" s="1"/>
  <c r="P704" i="1" s="1"/>
  <c r="J704" i="1" a="1"/>
  <c r="J704" i="1" s="1"/>
  <c r="K704" i="1" a="1"/>
  <c r="K704" i="1" s="1"/>
  <c r="R704" i="1" s="1"/>
  <c r="I705" i="1" a="1"/>
  <c r="I705" i="1" s="1"/>
  <c r="P705" i="1" s="1"/>
  <c r="J705" i="1" a="1"/>
  <c r="J705" i="1" s="1"/>
  <c r="K705" i="1" a="1"/>
  <c r="K705" i="1" s="1"/>
  <c r="R705" i="1" s="1"/>
  <c r="I706" i="1" a="1"/>
  <c r="I706" i="1" s="1"/>
  <c r="P706" i="1" s="1"/>
  <c r="J706" i="1" a="1"/>
  <c r="J706" i="1" s="1"/>
  <c r="K706" i="1" a="1"/>
  <c r="K706" i="1" s="1"/>
  <c r="R706" i="1" s="1"/>
  <c r="I707" i="1" a="1"/>
  <c r="I707" i="1" s="1"/>
  <c r="P707" i="1" s="1"/>
  <c r="J707" i="1" a="1"/>
  <c r="J707" i="1" s="1"/>
  <c r="K707" i="1" a="1"/>
  <c r="K707" i="1" s="1"/>
  <c r="R707" i="1" s="1"/>
  <c r="I708" i="1" a="1"/>
  <c r="I708" i="1" s="1"/>
  <c r="P708" i="1" s="1"/>
  <c r="J708" i="1" a="1"/>
  <c r="J708" i="1" s="1"/>
  <c r="K708" i="1" a="1"/>
  <c r="K708" i="1" s="1"/>
  <c r="R708" i="1" s="1"/>
  <c r="I709" i="1" a="1"/>
  <c r="I709" i="1" s="1"/>
  <c r="P709" i="1" s="1"/>
  <c r="J709" i="1" a="1"/>
  <c r="J709" i="1" s="1"/>
  <c r="K709" i="1" a="1"/>
  <c r="K709" i="1" s="1"/>
  <c r="R709" i="1" s="1"/>
  <c r="I710" i="1" a="1"/>
  <c r="I710" i="1" s="1"/>
  <c r="P710" i="1" s="1"/>
  <c r="J710" i="1" a="1"/>
  <c r="J710" i="1" s="1"/>
  <c r="K710" i="1" a="1"/>
  <c r="K710" i="1" s="1"/>
  <c r="R710" i="1" s="1"/>
  <c r="I711" i="1" a="1"/>
  <c r="I711" i="1" s="1"/>
  <c r="P711" i="1" s="1"/>
  <c r="J711" i="1" a="1"/>
  <c r="J711" i="1" s="1"/>
  <c r="K711" i="1" a="1"/>
  <c r="K711" i="1" s="1"/>
  <c r="R711" i="1" s="1"/>
  <c r="I712" i="1" a="1"/>
  <c r="I712" i="1" s="1"/>
  <c r="P712" i="1" s="1"/>
  <c r="J712" i="1" a="1"/>
  <c r="J712" i="1" s="1"/>
  <c r="K712" i="1" a="1"/>
  <c r="K712" i="1" s="1"/>
  <c r="R712" i="1" s="1"/>
  <c r="I713" i="1" a="1"/>
  <c r="I713" i="1" s="1"/>
  <c r="P713" i="1" s="1"/>
  <c r="J713" i="1" a="1"/>
  <c r="J713" i="1" s="1"/>
  <c r="K713" i="1" a="1"/>
  <c r="K713" i="1" s="1"/>
  <c r="R713" i="1" s="1"/>
  <c r="I714" i="1" a="1"/>
  <c r="I714" i="1" s="1"/>
  <c r="P714" i="1" s="1"/>
  <c r="J714" i="1" a="1"/>
  <c r="J714" i="1" s="1"/>
  <c r="K714" i="1" a="1"/>
  <c r="K714" i="1" s="1"/>
  <c r="R714" i="1" s="1"/>
  <c r="I715" i="1" a="1"/>
  <c r="I715" i="1" s="1"/>
  <c r="P715" i="1" s="1"/>
  <c r="J715" i="1" a="1"/>
  <c r="J715" i="1" s="1"/>
  <c r="K715" i="1" a="1"/>
  <c r="K715" i="1" s="1"/>
  <c r="R715" i="1" s="1"/>
  <c r="I716" i="1" a="1"/>
  <c r="I716" i="1" s="1"/>
  <c r="P716" i="1" s="1"/>
  <c r="J716" i="1" a="1"/>
  <c r="J716" i="1" s="1"/>
  <c r="K716" i="1" a="1"/>
  <c r="K716" i="1" s="1"/>
  <c r="R716" i="1" s="1"/>
  <c r="I717" i="1" a="1"/>
  <c r="I717" i="1" s="1"/>
  <c r="P717" i="1" s="1"/>
  <c r="J717" i="1" a="1"/>
  <c r="J717" i="1" s="1"/>
  <c r="K717" i="1" a="1"/>
  <c r="K717" i="1" s="1"/>
  <c r="R717" i="1" s="1"/>
  <c r="I718" i="1" a="1"/>
  <c r="I718" i="1" s="1"/>
  <c r="P718" i="1" s="1"/>
  <c r="J718" i="1" a="1"/>
  <c r="J718" i="1" s="1"/>
  <c r="K718" i="1" a="1"/>
  <c r="K718" i="1" s="1"/>
  <c r="R718" i="1" s="1"/>
  <c r="I719" i="1" a="1"/>
  <c r="I719" i="1" s="1"/>
  <c r="P719" i="1" s="1"/>
  <c r="J719" i="1" a="1"/>
  <c r="J719" i="1" s="1"/>
  <c r="K719" i="1" a="1"/>
  <c r="K719" i="1" s="1"/>
  <c r="R719" i="1" s="1"/>
  <c r="I720" i="1" a="1"/>
  <c r="I720" i="1" s="1"/>
  <c r="P720" i="1" s="1"/>
  <c r="J720" i="1" a="1"/>
  <c r="J720" i="1" s="1"/>
  <c r="K720" i="1" a="1"/>
  <c r="K720" i="1" s="1"/>
  <c r="R720" i="1" s="1"/>
  <c r="I721" i="1" a="1"/>
  <c r="I721" i="1" s="1"/>
  <c r="P721" i="1" s="1"/>
  <c r="J721" i="1" a="1"/>
  <c r="J721" i="1" s="1"/>
  <c r="K721" i="1" a="1"/>
  <c r="K721" i="1" s="1"/>
  <c r="R721" i="1" s="1"/>
  <c r="I722" i="1" a="1"/>
  <c r="I722" i="1" s="1"/>
  <c r="P722" i="1" s="1"/>
  <c r="J722" i="1" a="1"/>
  <c r="J722" i="1" s="1"/>
  <c r="K722" i="1" a="1"/>
  <c r="K722" i="1" s="1"/>
  <c r="R722" i="1" s="1"/>
  <c r="I723" i="1" a="1"/>
  <c r="I723" i="1" s="1"/>
  <c r="P723" i="1" s="1"/>
  <c r="J723" i="1" a="1"/>
  <c r="J723" i="1" s="1"/>
  <c r="K723" i="1" a="1"/>
  <c r="K723" i="1" s="1"/>
  <c r="R723" i="1" s="1"/>
  <c r="I724" i="1" a="1"/>
  <c r="I724" i="1" s="1"/>
  <c r="P724" i="1" s="1"/>
  <c r="J724" i="1" a="1"/>
  <c r="J724" i="1" s="1"/>
  <c r="K724" i="1" a="1"/>
  <c r="K724" i="1" s="1"/>
  <c r="R724" i="1" s="1"/>
  <c r="I725" i="1" a="1"/>
  <c r="I725" i="1" s="1"/>
  <c r="P725" i="1" s="1"/>
  <c r="J725" i="1" a="1"/>
  <c r="J725" i="1" s="1"/>
  <c r="K725" i="1" a="1"/>
  <c r="K725" i="1" s="1"/>
  <c r="R725" i="1" s="1"/>
  <c r="I726" i="1" a="1"/>
  <c r="I726" i="1" s="1"/>
  <c r="P726" i="1" s="1"/>
  <c r="J726" i="1" a="1"/>
  <c r="J726" i="1" s="1"/>
  <c r="K726" i="1" a="1"/>
  <c r="K726" i="1" s="1"/>
  <c r="R726" i="1" s="1"/>
  <c r="I727" i="1" a="1"/>
  <c r="I727" i="1" s="1"/>
  <c r="P727" i="1" s="1"/>
  <c r="J727" i="1" a="1"/>
  <c r="J727" i="1" s="1"/>
  <c r="K727" i="1" a="1"/>
  <c r="K727" i="1" s="1"/>
  <c r="R727" i="1" s="1"/>
  <c r="I728" i="1" a="1"/>
  <c r="I728" i="1" s="1"/>
  <c r="P728" i="1" s="1"/>
  <c r="J728" i="1" a="1"/>
  <c r="J728" i="1" s="1"/>
  <c r="K728" i="1" a="1"/>
  <c r="K728" i="1" s="1"/>
  <c r="R728" i="1" s="1"/>
  <c r="I729" i="1" a="1"/>
  <c r="I729" i="1" s="1"/>
  <c r="P729" i="1" s="1"/>
  <c r="J729" i="1" a="1"/>
  <c r="J729" i="1" s="1"/>
  <c r="K729" i="1" a="1"/>
  <c r="K729" i="1" s="1"/>
  <c r="R729" i="1" s="1"/>
  <c r="I730" i="1" a="1"/>
  <c r="I730" i="1" s="1"/>
  <c r="P730" i="1" s="1"/>
  <c r="J730" i="1" a="1"/>
  <c r="J730" i="1" s="1"/>
  <c r="K730" i="1" a="1"/>
  <c r="K730" i="1" s="1"/>
  <c r="R730" i="1" s="1"/>
  <c r="I731" i="1" a="1"/>
  <c r="I731" i="1" s="1"/>
  <c r="P731" i="1" s="1"/>
  <c r="J731" i="1" a="1"/>
  <c r="J731" i="1" s="1"/>
  <c r="K731" i="1" a="1"/>
  <c r="K731" i="1" s="1"/>
  <c r="R731" i="1" s="1"/>
  <c r="I732" i="1" a="1"/>
  <c r="I732" i="1" s="1"/>
  <c r="P732" i="1" s="1"/>
  <c r="J732" i="1" a="1"/>
  <c r="J732" i="1" s="1"/>
  <c r="K732" i="1" a="1"/>
  <c r="K732" i="1" s="1"/>
  <c r="R732" i="1" s="1"/>
  <c r="I733" i="1" a="1"/>
  <c r="I733" i="1" s="1"/>
  <c r="P733" i="1" s="1"/>
  <c r="J733" i="1" a="1"/>
  <c r="J733" i="1" s="1"/>
  <c r="K733" i="1" a="1"/>
  <c r="K733" i="1" s="1"/>
  <c r="R733" i="1" s="1"/>
  <c r="I734" i="1" a="1"/>
  <c r="I734" i="1" s="1"/>
  <c r="P734" i="1" s="1"/>
  <c r="J734" i="1" a="1"/>
  <c r="J734" i="1" s="1"/>
  <c r="K734" i="1" a="1"/>
  <c r="K734" i="1" s="1"/>
  <c r="R734" i="1" s="1"/>
  <c r="I735" i="1" a="1"/>
  <c r="I735" i="1" s="1"/>
  <c r="P735" i="1" s="1"/>
  <c r="J735" i="1" a="1"/>
  <c r="J735" i="1" s="1"/>
  <c r="K735" i="1" a="1"/>
  <c r="K735" i="1" s="1"/>
  <c r="R735" i="1" s="1"/>
  <c r="I736" i="1" a="1"/>
  <c r="I736" i="1" s="1"/>
  <c r="P736" i="1" s="1"/>
  <c r="J736" i="1" a="1"/>
  <c r="J736" i="1" s="1"/>
  <c r="K736" i="1" a="1"/>
  <c r="K736" i="1" s="1"/>
  <c r="R736" i="1" s="1"/>
  <c r="I737" i="1" a="1"/>
  <c r="I737" i="1" s="1"/>
  <c r="P737" i="1" s="1"/>
  <c r="J737" i="1" a="1"/>
  <c r="J737" i="1" s="1"/>
  <c r="K737" i="1" a="1"/>
  <c r="K737" i="1" s="1"/>
  <c r="R737" i="1" s="1"/>
  <c r="I738" i="1" a="1"/>
  <c r="I738" i="1" s="1"/>
  <c r="P738" i="1" s="1"/>
  <c r="J738" i="1" a="1"/>
  <c r="J738" i="1" s="1"/>
  <c r="K738" i="1" a="1"/>
  <c r="K738" i="1" s="1"/>
  <c r="R738" i="1" s="1"/>
  <c r="I739" i="1" a="1"/>
  <c r="I739" i="1" s="1"/>
  <c r="P739" i="1" s="1"/>
  <c r="J739" i="1" a="1"/>
  <c r="J739" i="1" s="1"/>
  <c r="K739" i="1" a="1"/>
  <c r="K739" i="1" s="1"/>
  <c r="R739" i="1" s="1"/>
  <c r="I740" i="1" a="1"/>
  <c r="I740" i="1" s="1"/>
  <c r="P740" i="1" s="1"/>
  <c r="J740" i="1" a="1"/>
  <c r="J740" i="1" s="1"/>
  <c r="K740" i="1" a="1"/>
  <c r="K740" i="1" s="1"/>
  <c r="R740" i="1" s="1"/>
  <c r="I741" i="1" a="1"/>
  <c r="I741" i="1" s="1"/>
  <c r="P741" i="1" s="1"/>
  <c r="J741" i="1" a="1"/>
  <c r="J741" i="1" s="1"/>
  <c r="K741" i="1" a="1"/>
  <c r="K741" i="1" s="1"/>
  <c r="R741" i="1" s="1"/>
  <c r="I742" i="1" a="1"/>
  <c r="I742" i="1" s="1"/>
  <c r="P742" i="1" s="1"/>
  <c r="J742" i="1" a="1"/>
  <c r="J742" i="1" s="1"/>
  <c r="K742" i="1" a="1"/>
  <c r="K742" i="1" s="1"/>
  <c r="R742" i="1" s="1"/>
  <c r="I743" i="1" a="1"/>
  <c r="I743" i="1" s="1"/>
  <c r="P743" i="1" s="1"/>
  <c r="J743" i="1" a="1"/>
  <c r="J743" i="1" s="1"/>
  <c r="K743" i="1" a="1"/>
  <c r="K743" i="1" s="1"/>
  <c r="R743" i="1" s="1"/>
  <c r="I744" i="1" a="1"/>
  <c r="I744" i="1" s="1"/>
  <c r="P744" i="1" s="1"/>
  <c r="J744" i="1" a="1"/>
  <c r="J744" i="1" s="1"/>
  <c r="K744" i="1" a="1"/>
  <c r="K744" i="1" s="1"/>
  <c r="R744" i="1" s="1"/>
  <c r="I745" i="1" a="1"/>
  <c r="I745" i="1" s="1"/>
  <c r="P745" i="1" s="1"/>
  <c r="J745" i="1" a="1"/>
  <c r="J745" i="1" s="1"/>
  <c r="K745" i="1" a="1"/>
  <c r="K745" i="1" s="1"/>
  <c r="R745" i="1" s="1"/>
  <c r="I746" i="1" a="1"/>
  <c r="I746" i="1" s="1"/>
  <c r="P746" i="1" s="1"/>
  <c r="J746" i="1" a="1"/>
  <c r="J746" i="1" s="1"/>
  <c r="K746" i="1" a="1"/>
  <c r="K746" i="1" s="1"/>
  <c r="R746" i="1" s="1"/>
  <c r="I747" i="1" a="1"/>
  <c r="I747" i="1" s="1"/>
  <c r="P747" i="1" s="1"/>
  <c r="J747" i="1" a="1"/>
  <c r="J747" i="1" s="1"/>
  <c r="K747" i="1" a="1"/>
  <c r="K747" i="1" s="1"/>
  <c r="R747" i="1" s="1"/>
  <c r="I748" i="1" a="1"/>
  <c r="I748" i="1" s="1"/>
  <c r="P748" i="1" s="1"/>
  <c r="J748" i="1" a="1"/>
  <c r="J748" i="1" s="1"/>
  <c r="K748" i="1" a="1"/>
  <c r="K748" i="1" s="1"/>
  <c r="R748" i="1" s="1"/>
  <c r="I749" i="1" a="1"/>
  <c r="I749" i="1" s="1"/>
  <c r="P749" i="1" s="1"/>
  <c r="J749" i="1" a="1"/>
  <c r="J749" i="1" s="1"/>
  <c r="K749" i="1" a="1"/>
  <c r="K749" i="1" s="1"/>
  <c r="R749" i="1" s="1"/>
  <c r="I750" i="1" a="1"/>
  <c r="I750" i="1" s="1"/>
  <c r="P750" i="1" s="1"/>
  <c r="J750" i="1" a="1"/>
  <c r="J750" i="1" s="1"/>
  <c r="K750" i="1" a="1"/>
  <c r="K750" i="1" s="1"/>
  <c r="R750" i="1" s="1"/>
  <c r="I751" i="1" a="1"/>
  <c r="I751" i="1" s="1"/>
  <c r="P751" i="1" s="1"/>
  <c r="J751" i="1" a="1"/>
  <c r="J751" i="1" s="1"/>
  <c r="K751" i="1" a="1"/>
  <c r="K751" i="1" s="1"/>
  <c r="R751" i="1" s="1"/>
  <c r="I752" i="1" a="1"/>
  <c r="I752" i="1" s="1"/>
  <c r="P752" i="1" s="1"/>
  <c r="J752" i="1" a="1"/>
  <c r="J752" i="1" s="1"/>
  <c r="K752" i="1" a="1"/>
  <c r="K752" i="1" s="1"/>
  <c r="R752" i="1" s="1"/>
  <c r="I753" i="1" a="1"/>
  <c r="I753" i="1" s="1"/>
  <c r="P753" i="1" s="1"/>
  <c r="J753" i="1" a="1"/>
  <c r="J753" i="1" s="1"/>
  <c r="K753" i="1" a="1"/>
  <c r="K753" i="1" s="1"/>
  <c r="R753" i="1" s="1"/>
  <c r="I754" i="1" a="1"/>
  <c r="I754" i="1" s="1"/>
  <c r="P754" i="1" s="1"/>
  <c r="J754" i="1" a="1"/>
  <c r="J754" i="1" s="1"/>
  <c r="K754" i="1" a="1"/>
  <c r="K754" i="1" s="1"/>
  <c r="R754" i="1" s="1"/>
  <c r="I755" i="1" a="1"/>
  <c r="I755" i="1" s="1"/>
  <c r="P755" i="1" s="1"/>
  <c r="J755" i="1" a="1"/>
  <c r="J755" i="1" s="1"/>
  <c r="K755" i="1" a="1"/>
  <c r="K755" i="1" s="1"/>
  <c r="R755" i="1" s="1"/>
  <c r="I756" i="1" a="1"/>
  <c r="I756" i="1" s="1"/>
  <c r="P756" i="1" s="1"/>
  <c r="J756" i="1" a="1"/>
  <c r="J756" i="1" s="1"/>
  <c r="K756" i="1" a="1"/>
  <c r="K756" i="1" s="1"/>
  <c r="R756" i="1" s="1"/>
  <c r="I757" i="1" a="1"/>
  <c r="I757" i="1" s="1"/>
  <c r="P757" i="1" s="1"/>
  <c r="J757" i="1" a="1"/>
  <c r="J757" i="1" s="1"/>
  <c r="K757" i="1" a="1"/>
  <c r="K757" i="1" s="1"/>
  <c r="R757" i="1" s="1"/>
  <c r="I758" i="1" a="1"/>
  <c r="I758" i="1" s="1"/>
  <c r="P758" i="1" s="1"/>
  <c r="J758" i="1" a="1"/>
  <c r="J758" i="1" s="1"/>
  <c r="K758" i="1" a="1"/>
  <c r="K758" i="1" s="1"/>
  <c r="R758" i="1" s="1"/>
  <c r="I759" i="1" a="1"/>
  <c r="I759" i="1" s="1"/>
  <c r="P759" i="1" s="1"/>
  <c r="J759" i="1" a="1"/>
  <c r="J759" i="1" s="1"/>
  <c r="K759" i="1" a="1"/>
  <c r="K759" i="1" s="1"/>
  <c r="R759" i="1" s="1"/>
  <c r="I760" i="1" a="1"/>
  <c r="I760" i="1" s="1"/>
  <c r="P760" i="1" s="1"/>
  <c r="J760" i="1" a="1"/>
  <c r="J760" i="1" s="1"/>
  <c r="K760" i="1" a="1"/>
  <c r="K760" i="1" s="1"/>
  <c r="R760" i="1" s="1"/>
  <c r="I761" i="1" a="1"/>
  <c r="I761" i="1" s="1"/>
  <c r="P761" i="1" s="1"/>
  <c r="J761" i="1" a="1"/>
  <c r="J761" i="1" s="1"/>
  <c r="K761" i="1" a="1"/>
  <c r="K761" i="1" s="1"/>
  <c r="R761" i="1" s="1"/>
  <c r="I762" i="1" a="1"/>
  <c r="I762" i="1" s="1"/>
  <c r="P762" i="1" s="1"/>
  <c r="J762" i="1" a="1"/>
  <c r="J762" i="1" s="1"/>
  <c r="K762" i="1" a="1"/>
  <c r="K762" i="1" s="1"/>
  <c r="R762" i="1" s="1"/>
  <c r="I763" i="1" a="1"/>
  <c r="I763" i="1" s="1"/>
  <c r="P763" i="1" s="1"/>
  <c r="J763" i="1" a="1"/>
  <c r="J763" i="1" s="1"/>
  <c r="K763" i="1" a="1"/>
  <c r="K763" i="1" s="1"/>
  <c r="R763" i="1" s="1"/>
  <c r="I764" i="1" a="1"/>
  <c r="I764" i="1" s="1"/>
  <c r="P764" i="1" s="1"/>
  <c r="J764" i="1" a="1"/>
  <c r="J764" i="1" s="1"/>
  <c r="K764" i="1" a="1"/>
  <c r="K764" i="1" s="1"/>
  <c r="R764" i="1" s="1"/>
  <c r="I765" i="1" a="1"/>
  <c r="I765" i="1" s="1"/>
  <c r="P765" i="1" s="1"/>
  <c r="J765" i="1" a="1"/>
  <c r="J765" i="1" s="1"/>
  <c r="K765" i="1" a="1"/>
  <c r="K765" i="1" s="1"/>
  <c r="R765" i="1" s="1"/>
  <c r="I766" i="1" a="1"/>
  <c r="I766" i="1" s="1"/>
  <c r="P766" i="1" s="1"/>
  <c r="J766" i="1" a="1"/>
  <c r="J766" i="1" s="1"/>
  <c r="K766" i="1" a="1"/>
  <c r="K766" i="1" s="1"/>
  <c r="R766" i="1" s="1"/>
  <c r="I767" i="1" a="1"/>
  <c r="I767" i="1" s="1"/>
  <c r="P767" i="1" s="1"/>
  <c r="J767" i="1" a="1"/>
  <c r="J767" i="1" s="1"/>
  <c r="K767" i="1" a="1"/>
  <c r="K767" i="1" s="1"/>
  <c r="R767" i="1" s="1"/>
  <c r="I575" i="1" a="1"/>
  <c r="I575" i="1" s="1"/>
  <c r="P575" i="1" s="1"/>
  <c r="J575" i="1" a="1"/>
  <c r="J575" i="1" s="1"/>
  <c r="K575" i="1" a="1"/>
  <c r="K575" i="1" s="1"/>
  <c r="R575" i="1" s="1"/>
  <c r="I570" i="1" a="1"/>
  <c r="I570" i="1" s="1"/>
  <c r="P570" i="1" s="1"/>
  <c r="J570" i="1" a="1"/>
  <c r="J570" i="1" s="1"/>
  <c r="K570" i="1" a="1"/>
  <c r="K570" i="1" s="1"/>
  <c r="R570" i="1" s="1"/>
  <c r="I571" i="1" a="1"/>
  <c r="I571" i="1" s="1"/>
  <c r="P571" i="1" s="1"/>
  <c r="J571" i="1" a="1"/>
  <c r="J571" i="1" s="1"/>
  <c r="K571" i="1" a="1"/>
  <c r="K571" i="1" s="1"/>
  <c r="R571" i="1" s="1"/>
  <c r="I572" i="1" a="1"/>
  <c r="I572" i="1" s="1"/>
  <c r="P572" i="1" s="1"/>
  <c r="U572" i="1" s="1"/>
  <c r="J572" i="1" a="1"/>
  <c r="J572" i="1" s="1"/>
  <c r="V572" i="1" s="1"/>
  <c r="K572" i="1" a="1"/>
  <c r="K572" i="1" s="1"/>
  <c r="R572" i="1" s="1"/>
  <c r="I573" i="1" a="1"/>
  <c r="I573" i="1" s="1"/>
  <c r="P573" i="1" s="1"/>
  <c r="J573" i="1" a="1"/>
  <c r="J573" i="1" s="1"/>
  <c r="K573" i="1" a="1"/>
  <c r="K573" i="1" s="1"/>
  <c r="R573" i="1" s="1"/>
  <c r="I574" i="1" a="1"/>
  <c r="I574" i="1" s="1"/>
  <c r="P574" i="1" s="1"/>
  <c r="J574" i="1" a="1"/>
  <c r="J574" i="1" s="1"/>
  <c r="K574" i="1" a="1"/>
  <c r="K574" i="1" s="1"/>
  <c r="R574" i="1" s="1"/>
  <c r="I569" i="1" a="1"/>
  <c r="I569" i="1" s="1"/>
  <c r="P569" i="1" s="1"/>
  <c r="J569" i="1" a="1"/>
  <c r="J569" i="1" s="1"/>
  <c r="K569" i="1" a="1"/>
  <c r="K569" i="1" s="1"/>
  <c r="R569" i="1" s="1"/>
  <c r="I560" i="1" a="1"/>
  <c r="I560" i="1" s="1"/>
  <c r="P560" i="1" s="1"/>
  <c r="J560" i="1" a="1"/>
  <c r="J560" i="1" s="1"/>
  <c r="K560" i="1" a="1"/>
  <c r="K560" i="1" s="1"/>
  <c r="R560" i="1" s="1"/>
  <c r="I561" i="1" a="1"/>
  <c r="I561" i="1" s="1"/>
  <c r="P561" i="1" s="1"/>
  <c r="J561" i="1" a="1"/>
  <c r="J561" i="1" s="1"/>
  <c r="K561" i="1" a="1"/>
  <c r="K561" i="1"/>
  <c r="R561" i="1" s="1"/>
  <c r="I562" i="1" a="1"/>
  <c r="I562" i="1" s="1"/>
  <c r="P562" i="1" s="1"/>
  <c r="J562" i="1" a="1"/>
  <c r="J562" i="1" s="1"/>
  <c r="K562" i="1" a="1"/>
  <c r="K562" i="1" s="1"/>
  <c r="R562" i="1" s="1"/>
  <c r="I563" i="1" a="1"/>
  <c r="I563" i="1" s="1"/>
  <c r="P563" i="1" s="1"/>
  <c r="J563" i="1" a="1"/>
  <c r="J563" i="1" s="1"/>
  <c r="K563" i="1" a="1"/>
  <c r="K563" i="1" s="1"/>
  <c r="R563" i="1" s="1"/>
  <c r="I564" i="1" a="1"/>
  <c r="I564" i="1" s="1"/>
  <c r="P564" i="1" s="1"/>
  <c r="J564" i="1" a="1"/>
  <c r="J564" i="1" s="1"/>
  <c r="K564" i="1" a="1"/>
  <c r="K564" i="1" s="1"/>
  <c r="R564" i="1" s="1"/>
  <c r="I565" i="1" a="1"/>
  <c r="I565" i="1" s="1"/>
  <c r="P565" i="1" s="1"/>
  <c r="J565" i="1" a="1"/>
  <c r="J565" i="1"/>
  <c r="K565" i="1" a="1"/>
  <c r="K565" i="1" s="1"/>
  <c r="R565" i="1" s="1"/>
  <c r="I566" i="1" a="1"/>
  <c r="I566" i="1" s="1"/>
  <c r="P566" i="1" s="1"/>
  <c r="J566" i="1" a="1"/>
  <c r="J566" i="1" s="1"/>
  <c r="K566" i="1" a="1"/>
  <c r="K566" i="1" s="1"/>
  <c r="R566" i="1" s="1"/>
  <c r="I567" i="1" a="1"/>
  <c r="I567" i="1" s="1"/>
  <c r="P567" i="1" s="1"/>
  <c r="J567" i="1" a="1"/>
  <c r="J567" i="1" s="1"/>
  <c r="K567" i="1" a="1"/>
  <c r="K567" i="1" s="1"/>
  <c r="R567" i="1" s="1"/>
  <c r="I568" i="1" a="1"/>
  <c r="I568" i="1" s="1"/>
  <c r="P568" i="1" s="1"/>
  <c r="J568" i="1" a="1"/>
  <c r="J568" i="1" s="1"/>
  <c r="K568" i="1" a="1"/>
  <c r="K568" i="1" s="1"/>
  <c r="R568" i="1" s="1"/>
  <c r="I4" i="1" a="1"/>
  <c r="I4" i="1" s="1"/>
  <c r="J4" i="1" a="1"/>
  <c r="J4" i="1" s="1"/>
  <c r="K4" i="1" a="1"/>
  <c r="K4" i="1" s="1"/>
  <c r="R4" i="1" s="1"/>
  <c r="I5" i="1" a="1"/>
  <c r="I5" i="1" s="1"/>
  <c r="J5" i="1" a="1"/>
  <c r="J5" i="1" s="1"/>
  <c r="K5" i="1" a="1"/>
  <c r="K5" i="1" s="1"/>
  <c r="R5" i="1" s="1"/>
  <c r="I6" i="1" a="1"/>
  <c r="I6" i="1" s="1"/>
  <c r="J6" i="1" a="1"/>
  <c r="J6" i="1" s="1"/>
  <c r="K6" i="1" a="1"/>
  <c r="K6" i="1" s="1"/>
  <c r="R6" i="1" s="1"/>
  <c r="I7" i="1" a="1"/>
  <c r="I7" i="1" s="1"/>
  <c r="J7" i="1" a="1"/>
  <c r="J7" i="1" s="1"/>
  <c r="K7" i="1" a="1"/>
  <c r="K7" i="1" s="1"/>
  <c r="R7" i="1" s="1"/>
  <c r="I8" i="1" a="1"/>
  <c r="I8" i="1" s="1"/>
  <c r="J8" i="1" a="1"/>
  <c r="J8" i="1" s="1"/>
  <c r="K8" i="1" a="1"/>
  <c r="K8" i="1" s="1"/>
  <c r="R8" i="1" s="1"/>
  <c r="I9" i="1" a="1"/>
  <c r="I9" i="1" s="1"/>
  <c r="J9" i="1" a="1"/>
  <c r="J9" i="1" s="1"/>
  <c r="K9" i="1" a="1"/>
  <c r="K9" i="1" s="1"/>
  <c r="R9" i="1" s="1"/>
  <c r="I10" i="1" a="1"/>
  <c r="I10" i="1" s="1"/>
  <c r="J10" i="1" a="1"/>
  <c r="J10" i="1" s="1"/>
  <c r="K10" i="1" a="1"/>
  <c r="K10" i="1" s="1"/>
  <c r="R10" i="1" s="1"/>
  <c r="I11" i="1" a="1"/>
  <c r="I11" i="1" s="1"/>
  <c r="J11" i="1" a="1"/>
  <c r="J11" i="1" s="1"/>
  <c r="K11" i="1" a="1"/>
  <c r="K11" i="1" s="1"/>
  <c r="R11" i="1" s="1"/>
  <c r="I12" i="1" a="1"/>
  <c r="I12" i="1" s="1"/>
  <c r="P12" i="1" s="1"/>
  <c r="J12" i="1" a="1"/>
  <c r="J12" i="1" s="1"/>
  <c r="K12" i="1" a="1"/>
  <c r="K12" i="1" s="1"/>
  <c r="R12" i="1" s="1"/>
  <c r="I13" i="1" a="1"/>
  <c r="I13" i="1" s="1"/>
  <c r="P13" i="1" s="1"/>
  <c r="J13" i="1" a="1"/>
  <c r="J13" i="1" s="1"/>
  <c r="V13" i="1" s="1"/>
  <c r="K13" i="1" a="1"/>
  <c r="K13" i="1" s="1"/>
  <c r="R13" i="1" s="1"/>
  <c r="I14" i="1" a="1"/>
  <c r="I14" i="1" s="1"/>
  <c r="P14" i="1" s="1"/>
  <c r="J14" i="1" a="1"/>
  <c r="J14" i="1" s="1"/>
  <c r="K14" i="1" a="1"/>
  <c r="K14" i="1" s="1"/>
  <c r="R14" i="1" s="1"/>
  <c r="I15" i="1" a="1"/>
  <c r="I15" i="1" s="1"/>
  <c r="P15" i="1" s="1"/>
  <c r="J15" i="1" a="1"/>
  <c r="J15" i="1" s="1"/>
  <c r="K15" i="1" a="1"/>
  <c r="K15" i="1" s="1"/>
  <c r="R15" i="1" s="1"/>
  <c r="I16" i="1" a="1"/>
  <c r="I16" i="1" s="1"/>
  <c r="P16" i="1" s="1"/>
  <c r="J16" i="1" a="1"/>
  <c r="J16" i="1" s="1"/>
  <c r="K16" i="1" a="1"/>
  <c r="K16" i="1" s="1"/>
  <c r="R16" i="1" s="1"/>
  <c r="I17" i="1" a="1"/>
  <c r="I17" i="1" s="1"/>
  <c r="P17" i="1" s="1"/>
  <c r="J17" i="1" a="1"/>
  <c r="J17" i="1" s="1"/>
  <c r="V17" i="1" s="1"/>
  <c r="K17" i="1" a="1"/>
  <c r="K17" i="1" s="1"/>
  <c r="R17" i="1" s="1"/>
  <c r="I18" i="1" a="1"/>
  <c r="I18" i="1" s="1"/>
  <c r="P18" i="1" s="1"/>
  <c r="J18" i="1" a="1"/>
  <c r="J18" i="1" s="1"/>
  <c r="K18" i="1" a="1"/>
  <c r="K18" i="1" s="1"/>
  <c r="R18" i="1" s="1"/>
  <c r="I19" i="1" a="1"/>
  <c r="I19" i="1" s="1"/>
  <c r="P19" i="1" s="1"/>
  <c r="J19" i="1" a="1"/>
  <c r="J19" i="1" s="1"/>
  <c r="K19" i="1" a="1"/>
  <c r="K19" i="1"/>
  <c r="R19" i="1" s="1"/>
  <c r="I20" i="1" a="1"/>
  <c r="I20" i="1" s="1"/>
  <c r="P20" i="1" s="1"/>
  <c r="U20" i="1" s="1"/>
  <c r="J20" i="1" a="1"/>
  <c r="J20" i="1" s="1"/>
  <c r="K20" i="1" a="1"/>
  <c r="K20" i="1" s="1"/>
  <c r="R20" i="1" s="1"/>
  <c r="I21" i="1" a="1"/>
  <c r="I21" i="1" s="1"/>
  <c r="P21" i="1" s="1"/>
  <c r="J21" i="1" a="1"/>
  <c r="J21" i="1" s="1"/>
  <c r="K21" i="1" a="1"/>
  <c r="K21" i="1" s="1"/>
  <c r="R21" i="1" s="1"/>
  <c r="I22" i="1" a="1"/>
  <c r="I22" i="1" s="1"/>
  <c r="P22" i="1" s="1"/>
  <c r="J22" i="1" a="1"/>
  <c r="J22" i="1" s="1"/>
  <c r="V22" i="1" s="1"/>
  <c r="K22" i="1" a="1"/>
  <c r="K22" i="1" s="1"/>
  <c r="R22" i="1" s="1"/>
  <c r="I23" i="1" a="1"/>
  <c r="I23" i="1" s="1"/>
  <c r="P23" i="1" s="1"/>
  <c r="J23" i="1" a="1"/>
  <c r="J23" i="1" s="1"/>
  <c r="K23" i="1" a="1"/>
  <c r="K23" i="1" s="1"/>
  <c r="R23" i="1" s="1"/>
  <c r="I24" i="1" a="1"/>
  <c r="I24" i="1" s="1"/>
  <c r="P24" i="1" s="1"/>
  <c r="J24" i="1" a="1"/>
  <c r="J24" i="1" s="1"/>
  <c r="K24" i="1" a="1"/>
  <c r="K24" i="1" s="1"/>
  <c r="R24" i="1" s="1"/>
  <c r="I25" i="1" a="1"/>
  <c r="I25" i="1" s="1"/>
  <c r="P25" i="1" s="1"/>
  <c r="J25" i="1" a="1"/>
  <c r="J25" i="1" s="1"/>
  <c r="K25" i="1" a="1"/>
  <c r="K25" i="1"/>
  <c r="R25" i="1" s="1"/>
  <c r="I26" i="1" a="1"/>
  <c r="I26" i="1" s="1"/>
  <c r="P26" i="1" s="1"/>
  <c r="J26" i="1" a="1"/>
  <c r="J26" i="1" s="1"/>
  <c r="K26" i="1" a="1"/>
  <c r="K26" i="1" s="1"/>
  <c r="R26" i="1" s="1"/>
  <c r="I27" i="1" a="1"/>
  <c r="I27" i="1" s="1"/>
  <c r="P27" i="1" s="1"/>
  <c r="J27" i="1" a="1"/>
  <c r="J27" i="1" s="1"/>
  <c r="K27" i="1" a="1"/>
  <c r="K27" i="1" s="1"/>
  <c r="R27" i="1" s="1"/>
  <c r="I28" i="1" a="1"/>
  <c r="I28" i="1" s="1"/>
  <c r="P28" i="1" s="1"/>
  <c r="J28" i="1" a="1"/>
  <c r="J28" i="1" s="1"/>
  <c r="K28" i="1" a="1"/>
  <c r="K28" i="1" s="1"/>
  <c r="R28" i="1" s="1"/>
  <c r="I29" i="1" a="1"/>
  <c r="I29" i="1" s="1"/>
  <c r="P29" i="1" s="1"/>
  <c r="J29" i="1" a="1"/>
  <c r="J29" i="1" s="1"/>
  <c r="K29" i="1" a="1"/>
  <c r="K29" i="1" s="1"/>
  <c r="R29" i="1" s="1"/>
  <c r="I30" i="1" a="1"/>
  <c r="I30" i="1" s="1"/>
  <c r="P30" i="1" s="1"/>
  <c r="U30" i="1" s="1"/>
  <c r="J30" i="1" a="1"/>
  <c r="J30" i="1" s="1"/>
  <c r="K30" i="1" a="1"/>
  <c r="K30" i="1" s="1"/>
  <c r="R30" i="1" s="1"/>
  <c r="I31" i="1" a="1"/>
  <c r="I31" i="1" s="1"/>
  <c r="P31" i="1" s="1"/>
  <c r="J31" i="1" a="1"/>
  <c r="J31" i="1" s="1"/>
  <c r="K31" i="1" a="1"/>
  <c r="K31" i="1" s="1"/>
  <c r="R31" i="1" s="1"/>
  <c r="I32" i="1" a="1"/>
  <c r="I32" i="1" s="1"/>
  <c r="P32" i="1" s="1"/>
  <c r="J32" i="1" a="1"/>
  <c r="J32" i="1" s="1"/>
  <c r="K32" i="1" a="1"/>
  <c r="K32" i="1" s="1"/>
  <c r="R32" i="1" s="1"/>
  <c r="I33" i="1" a="1"/>
  <c r="I33" i="1" s="1"/>
  <c r="P33" i="1" s="1"/>
  <c r="J33" i="1" a="1"/>
  <c r="J33" i="1" s="1"/>
  <c r="K33" i="1" a="1"/>
  <c r="K33" i="1" s="1"/>
  <c r="R33" i="1" s="1"/>
  <c r="I34" i="1" a="1"/>
  <c r="I34" i="1" s="1"/>
  <c r="P34" i="1" s="1"/>
  <c r="U34" i="1" s="1"/>
  <c r="J34" i="1" a="1"/>
  <c r="J34" i="1" s="1"/>
  <c r="K34" i="1" a="1"/>
  <c r="K34" i="1" s="1"/>
  <c r="R34" i="1" s="1"/>
  <c r="I35" i="1" a="1"/>
  <c r="I35" i="1" s="1"/>
  <c r="P35" i="1" s="1"/>
  <c r="J35" i="1" a="1"/>
  <c r="J35" i="1" s="1"/>
  <c r="K35" i="1" a="1"/>
  <c r="K35" i="1" s="1"/>
  <c r="R35" i="1" s="1"/>
  <c r="I36" i="1" a="1"/>
  <c r="I36" i="1" s="1"/>
  <c r="P36" i="1" s="1"/>
  <c r="J36" i="1" a="1"/>
  <c r="J36" i="1" s="1"/>
  <c r="K36" i="1" a="1"/>
  <c r="K36" i="1" s="1"/>
  <c r="R36" i="1" s="1"/>
  <c r="I37" i="1" a="1"/>
  <c r="I37" i="1" s="1"/>
  <c r="P37" i="1" s="1"/>
  <c r="J37" i="1" a="1"/>
  <c r="J37" i="1" s="1"/>
  <c r="K37" i="1" a="1"/>
  <c r="K37" i="1" s="1"/>
  <c r="R37" i="1" s="1"/>
  <c r="I38" i="1" a="1"/>
  <c r="I38" i="1" s="1"/>
  <c r="P38" i="1" s="1"/>
  <c r="U38" i="1" s="1"/>
  <c r="J38" i="1" a="1"/>
  <c r="J38" i="1" s="1"/>
  <c r="K38" i="1" a="1"/>
  <c r="K38" i="1" s="1"/>
  <c r="R38" i="1" s="1"/>
  <c r="I39" i="1" a="1"/>
  <c r="I39" i="1" s="1"/>
  <c r="P39" i="1" s="1"/>
  <c r="J39" i="1" a="1"/>
  <c r="J39" i="1" s="1"/>
  <c r="K39" i="1" a="1"/>
  <c r="K39" i="1" s="1"/>
  <c r="R39" i="1" s="1"/>
  <c r="I40" i="1" a="1"/>
  <c r="I40" i="1" s="1"/>
  <c r="P40" i="1" s="1"/>
  <c r="J40" i="1" a="1"/>
  <c r="J40" i="1" s="1"/>
  <c r="K40" i="1" a="1"/>
  <c r="K40" i="1" s="1"/>
  <c r="R40" i="1" s="1"/>
  <c r="I41" i="1" a="1"/>
  <c r="I41" i="1" s="1"/>
  <c r="P41" i="1" s="1"/>
  <c r="J41" i="1" a="1"/>
  <c r="J41" i="1" s="1"/>
  <c r="K41" i="1" a="1"/>
  <c r="K41" i="1" s="1"/>
  <c r="R41" i="1" s="1"/>
  <c r="I42" i="1" a="1"/>
  <c r="I42" i="1" s="1"/>
  <c r="P42" i="1" s="1"/>
  <c r="U42" i="1" s="1"/>
  <c r="J42" i="1" a="1"/>
  <c r="J42" i="1" s="1"/>
  <c r="K42" i="1" a="1"/>
  <c r="K42" i="1" s="1"/>
  <c r="R42" i="1" s="1"/>
  <c r="I43" i="1" a="1"/>
  <c r="I43" i="1" s="1"/>
  <c r="P43" i="1" s="1"/>
  <c r="J43" i="1" a="1"/>
  <c r="J43" i="1" s="1"/>
  <c r="K43" i="1" a="1"/>
  <c r="K43" i="1" s="1"/>
  <c r="R43" i="1" s="1"/>
  <c r="I44" i="1" a="1"/>
  <c r="I44" i="1" s="1"/>
  <c r="P44" i="1" s="1"/>
  <c r="J44" i="1" a="1"/>
  <c r="J44" i="1" s="1"/>
  <c r="K44" i="1" a="1"/>
  <c r="K44" i="1" s="1"/>
  <c r="R44" i="1" s="1"/>
  <c r="I45" i="1" a="1"/>
  <c r="I45" i="1" s="1"/>
  <c r="P45" i="1" s="1"/>
  <c r="J45" i="1" a="1"/>
  <c r="J45" i="1" s="1"/>
  <c r="K45" i="1" a="1"/>
  <c r="K45" i="1" s="1"/>
  <c r="R45" i="1" s="1"/>
  <c r="I46" i="1" a="1"/>
  <c r="I46" i="1" s="1"/>
  <c r="P46" i="1" s="1"/>
  <c r="U46" i="1" s="1"/>
  <c r="J46" i="1" a="1"/>
  <c r="J46" i="1" s="1"/>
  <c r="K46" i="1" a="1"/>
  <c r="K46" i="1" s="1"/>
  <c r="R46" i="1" s="1"/>
  <c r="I47" i="1" a="1"/>
  <c r="I47" i="1" s="1"/>
  <c r="P47" i="1" s="1"/>
  <c r="J47" i="1" a="1"/>
  <c r="J47" i="1" s="1"/>
  <c r="V47" i="1" s="1"/>
  <c r="K47" i="1" a="1"/>
  <c r="K47" i="1" s="1"/>
  <c r="R47" i="1" s="1"/>
  <c r="I48" i="1" a="1"/>
  <c r="I48" i="1" s="1"/>
  <c r="P48" i="1" s="1"/>
  <c r="J48" i="1" a="1"/>
  <c r="J48" i="1" s="1"/>
  <c r="K48" i="1" a="1"/>
  <c r="K48" i="1" s="1"/>
  <c r="R48" i="1" s="1"/>
  <c r="I49" i="1" a="1"/>
  <c r="I49" i="1" s="1"/>
  <c r="P49" i="1" s="1"/>
  <c r="J49" i="1" a="1"/>
  <c r="J49" i="1" s="1"/>
  <c r="K49" i="1" a="1"/>
  <c r="K49" i="1" s="1"/>
  <c r="R49" i="1" s="1"/>
  <c r="I50" i="1" a="1"/>
  <c r="I50" i="1" s="1"/>
  <c r="P50" i="1" s="1"/>
  <c r="U50" i="1" s="1"/>
  <c r="J50" i="1" a="1"/>
  <c r="J50" i="1" s="1"/>
  <c r="K50" i="1" a="1"/>
  <c r="K50" i="1" s="1"/>
  <c r="R50" i="1" s="1"/>
  <c r="I51" i="1" a="1"/>
  <c r="I51" i="1" s="1"/>
  <c r="P51" i="1" s="1"/>
  <c r="J51" i="1" a="1"/>
  <c r="J51" i="1" s="1"/>
  <c r="V51" i="1" s="1"/>
  <c r="K51" i="1" a="1"/>
  <c r="K51" i="1" s="1"/>
  <c r="R51" i="1" s="1"/>
  <c r="I52" i="1" a="1"/>
  <c r="I52" i="1" s="1"/>
  <c r="P52" i="1" s="1"/>
  <c r="J52" i="1" a="1"/>
  <c r="J52" i="1" s="1"/>
  <c r="K52" i="1" a="1"/>
  <c r="K52" i="1" s="1"/>
  <c r="R52" i="1" s="1"/>
  <c r="I53" i="1" a="1"/>
  <c r="I53" i="1" s="1"/>
  <c r="P53" i="1" s="1"/>
  <c r="J53" i="1" a="1"/>
  <c r="J53" i="1" s="1"/>
  <c r="K53" i="1" a="1"/>
  <c r="K53" i="1" s="1"/>
  <c r="R53" i="1" s="1"/>
  <c r="I54" i="1" a="1"/>
  <c r="I54" i="1" s="1"/>
  <c r="P54" i="1" s="1"/>
  <c r="U54" i="1" s="1"/>
  <c r="J54" i="1" a="1"/>
  <c r="J54" i="1" s="1"/>
  <c r="K54" i="1" a="1"/>
  <c r="K54" i="1" s="1"/>
  <c r="R54" i="1" s="1"/>
  <c r="I55" i="1" a="1"/>
  <c r="I55" i="1" s="1"/>
  <c r="P55" i="1" s="1"/>
  <c r="J55" i="1" a="1"/>
  <c r="J55" i="1" s="1"/>
  <c r="V55" i="1" s="1"/>
  <c r="K55" i="1" a="1"/>
  <c r="K55" i="1" s="1"/>
  <c r="R55" i="1" s="1"/>
  <c r="I56" i="1" a="1"/>
  <c r="I56" i="1" s="1"/>
  <c r="P56" i="1" s="1"/>
  <c r="J56" i="1" a="1"/>
  <c r="J56" i="1" s="1"/>
  <c r="K56" i="1" a="1"/>
  <c r="K56" i="1" s="1"/>
  <c r="R56" i="1" s="1"/>
  <c r="I57" i="1" a="1"/>
  <c r="I57" i="1" s="1"/>
  <c r="P57" i="1" s="1"/>
  <c r="J57" i="1" a="1"/>
  <c r="J57" i="1" s="1"/>
  <c r="K57" i="1" a="1"/>
  <c r="K57" i="1" s="1"/>
  <c r="R57" i="1" s="1"/>
  <c r="I58" i="1" a="1"/>
  <c r="I58" i="1" s="1"/>
  <c r="P58" i="1" s="1"/>
  <c r="U58" i="1" s="1"/>
  <c r="J58" i="1" a="1"/>
  <c r="J58" i="1" s="1"/>
  <c r="K58" i="1" a="1"/>
  <c r="K58" i="1" s="1"/>
  <c r="R58" i="1" s="1"/>
  <c r="I59" i="1" a="1"/>
  <c r="I59" i="1" s="1"/>
  <c r="P59" i="1" s="1"/>
  <c r="J59" i="1" a="1"/>
  <c r="J59" i="1" s="1"/>
  <c r="V59" i="1" s="1"/>
  <c r="K59" i="1" a="1"/>
  <c r="K59" i="1" s="1"/>
  <c r="R59" i="1" s="1"/>
  <c r="I60" i="1" a="1"/>
  <c r="I60" i="1" s="1"/>
  <c r="P60" i="1" s="1"/>
  <c r="J60" i="1" a="1"/>
  <c r="J60" i="1" s="1"/>
  <c r="K60" i="1" a="1"/>
  <c r="K60" i="1" s="1"/>
  <c r="R60" i="1" s="1"/>
  <c r="I61" i="1" a="1"/>
  <c r="I61" i="1" s="1"/>
  <c r="P61" i="1" s="1"/>
  <c r="J61" i="1" a="1"/>
  <c r="J61" i="1" s="1"/>
  <c r="K61" i="1" a="1"/>
  <c r="K61" i="1" s="1"/>
  <c r="R61" i="1" s="1"/>
  <c r="I62" i="1" a="1"/>
  <c r="I62" i="1" s="1"/>
  <c r="P62" i="1" s="1"/>
  <c r="U62" i="1" s="1"/>
  <c r="J62" i="1" a="1"/>
  <c r="J62" i="1" s="1"/>
  <c r="K62" i="1" a="1"/>
  <c r="K62" i="1" s="1"/>
  <c r="R62" i="1" s="1"/>
  <c r="I63" i="1" a="1"/>
  <c r="I63" i="1" s="1"/>
  <c r="P63" i="1" s="1"/>
  <c r="J63" i="1" a="1"/>
  <c r="J63" i="1" s="1"/>
  <c r="V63" i="1" s="1"/>
  <c r="K63" i="1" a="1"/>
  <c r="K63" i="1" s="1"/>
  <c r="R63" i="1" s="1"/>
  <c r="I64" i="1" a="1"/>
  <c r="I64" i="1" s="1"/>
  <c r="P64" i="1" s="1"/>
  <c r="J64" i="1" a="1"/>
  <c r="J64" i="1" s="1"/>
  <c r="K64" i="1" a="1"/>
  <c r="K64" i="1" s="1"/>
  <c r="R64" i="1" s="1"/>
  <c r="I65" i="1" a="1"/>
  <c r="I65" i="1" s="1"/>
  <c r="P65" i="1" s="1"/>
  <c r="J65" i="1" a="1"/>
  <c r="J65" i="1" s="1"/>
  <c r="K65" i="1" a="1"/>
  <c r="K65" i="1" s="1"/>
  <c r="R65" i="1" s="1"/>
  <c r="I66" i="1" a="1"/>
  <c r="I66" i="1" s="1"/>
  <c r="P66" i="1" s="1"/>
  <c r="U66" i="1" s="1"/>
  <c r="J66" i="1" a="1"/>
  <c r="J66" i="1" s="1"/>
  <c r="K66" i="1" a="1"/>
  <c r="K66" i="1" s="1"/>
  <c r="R66" i="1" s="1"/>
  <c r="I67" i="1" a="1"/>
  <c r="I67" i="1" s="1"/>
  <c r="P67" i="1" s="1"/>
  <c r="J67" i="1" a="1"/>
  <c r="J67" i="1" s="1"/>
  <c r="V67" i="1" s="1"/>
  <c r="K67" i="1" a="1"/>
  <c r="K67" i="1" s="1"/>
  <c r="R67" i="1" s="1"/>
  <c r="I68" i="1" a="1"/>
  <c r="I68" i="1" s="1"/>
  <c r="P68" i="1" s="1"/>
  <c r="J68" i="1" a="1"/>
  <c r="J68" i="1" s="1"/>
  <c r="K68" i="1" a="1"/>
  <c r="K68" i="1" s="1"/>
  <c r="R68" i="1" s="1"/>
  <c r="I69" i="1" a="1"/>
  <c r="I69" i="1" s="1"/>
  <c r="P69" i="1" s="1"/>
  <c r="J69" i="1" a="1"/>
  <c r="J69" i="1" s="1"/>
  <c r="K69" i="1" a="1"/>
  <c r="K69" i="1" s="1"/>
  <c r="R69" i="1" s="1"/>
  <c r="I70" i="1" a="1"/>
  <c r="I70" i="1" s="1"/>
  <c r="P70" i="1" s="1"/>
  <c r="U70" i="1" s="1"/>
  <c r="J70" i="1" a="1"/>
  <c r="J70" i="1" s="1"/>
  <c r="K70" i="1" a="1"/>
  <c r="K70" i="1" s="1"/>
  <c r="R70" i="1" s="1"/>
  <c r="I71" i="1" a="1"/>
  <c r="I71" i="1" s="1"/>
  <c r="P71" i="1" s="1"/>
  <c r="J71" i="1" a="1"/>
  <c r="J71" i="1" s="1"/>
  <c r="V71" i="1" s="1"/>
  <c r="K71" i="1" a="1"/>
  <c r="K71" i="1" s="1"/>
  <c r="R71" i="1" s="1"/>
  <c r="I72" i="1" a="1"/>
  <c r="I72" i="1" s="1"/>
  <c r="P72" i="1" s="1"/>
  <c r="J72" i="1" a="1"/>
  <c r="J72" i="1" s="1"/>
  <c r="K72" i="1" a="1"/>
  <c r="K72" i="1" s="1"/>
  <c r="R72" i="1" s="1"/>
  <c r="I73" i="1" a="1"/>
  <c r="I73" i="1" s="1"/>
  <c r="P73" i="1" s="1"/>
  <c r="J73" i="1" a="1"/>
  <c r="J73" i="1" s="1"/>
  <c r="K73" i="1" a="1"/>
  <c r="K73" i="1" s="1"/>
  <c r="R73" i="1" s="1"/>
  <c r="I74" i="1" a="1"/>
  <c r="I74" i="1" s="1"/>
  <c r="P74" i="1" s="1"/>
  <c r="U74" i="1" s="1"/>
  <c r="J74" i="1" a="1"/>
  <c r="J74" i="1" s="1"/>
  <c r="K74" i="1" a="1"/>
  <c r="K74" i="1" s="1"/>
  <c r="R74" i="1" s="1"/>
  <c r="I75" i="1" a="1"/>
  <c r="I75" i="1" s="1"/>
  <c r="P75" i="1" s="1"/>
  <c r="J75" i="1" a="1"/>
  <c r="J75" i="1" s="1"/>
  <c r="V75" i="1" s="1"/>
  <c r="K75" i="1" a="1"/>
  <c r="K75" i="1" s="1"/>
  <c r="R75" i="1" s="1"/>
  <c r="I76" i="1" a="1"/>
  <c r="I76" i="1" s="1"/>
  <c r="P76" i="1" s="1"/>
  <c r="J76" i="1" a="1"/>
  <c r="J76" i="1" s="1"/>
  <c r="K76" i="1" a="1"/>
  <c r="K76" i="1" s="1"/>
  <c r="R76" i="1" s="1"/>
  <c r="I77" i="1" a="1"/>
  <c r="I77" i="1" s="1"/>
  <c r="P77" i="1" s="1"/>
  <c r="J77" i="1" a="1"/>
  <c r="J77" i="1" s="1"/>
  <c r="K77" i="1" a="1"/>
  <c r="K77" i="1" s="1"/>
  <c r="R77" i="1" s="1"/>
  <c r="I78" i="1" a="1"/>
  <c r="I78" i="1" s="1"/>
  <c r="P78" i="1" s="1"/>
  <c r="U78" i="1" s="1"/>
  <c r="J78" i="1" a="1"/>
  <c r="J78" i="1" s="1"/>
  <c r="K78" i="1" a="1"/>
  <c r="K78" i="1" s="1"/>
  <c r="R78" i="1" s="1"/>
  <c r="I79" i="1" a="1"/>
  <c r="I79" i="1" s="1"/>
  <c r="P79" i="1" s="1"/>
  <c r="J79" i="1" a="1"/>
  <c r="J79" i="1" s="1"/>
  <c r="V79" i="1" s="1"/>
  <c r="K79" i="1" a="1"/>
  <c r="K79" i="1" s="1"/>
  <c r="R79" i="1" s="1"/>
  <c r="I80" i="1" a="1"/>
  <c r="I80" i="1" s="1"/>
  <c r="P80" i="1" s="1"/>
  <c r="J80" i="1" a="1"/>
  <c r="J80" i="1" s="1"/>
  <c r="K80" i="1" a="1"/>
  <c r="K80" i="1" s="1"/>
  <c r="R80" i="1" s="1"/>
  <c r="I81" i="1" a="1"/>
  <c r="I81" i="1" s="1"/>
  <c r="P81" i="1" s="1"/>
  <c r="J81" i="1" a="1"/>
  <c r="J81" i="1" s="1"/>
  <c r="K81" i="1" a="1"/>
  <c r="K81" i="1" s="1"/>
  <c r="R81" i="1" s="1"/>
  <c r="I82" i="1" a="1"/>
  <c r="I82" i="1" s="1"/>
  <c r="P82" i="1" s="1"/>
  <c r="U82" i="1" s="1"/>
  <c r="J82" i="1" a="1"/>
  <c r="J82" i="1" s="1"/>
  <c r="K82" i="1" a="1"/>
  <c r="K82" i="1" s="1"/>
  <c r="R82" i="1" s="1"/>
  <c r="I83" i="1" a="1"/>
  <c r="I83" i="1" s="1"/>
  <c r="P83" i="1" s="1"/>
  <c r="J83" i="1" a="1"/>
  <c r="J83" i="1" s="1"/>
  <c r="V83" i="1" s="1"/>
  <c r="K83" i="1" a="1"/>
  <c r="K83" i="1" s="1"/>
  <c r="R83" i="1" s="1"/>
  <c r="I84" i="1" a="1"/>
  <c r="I84" i="1" s="1"/>
  <c r="P84" i="1" s="1"/>
  <c r="J84" i="1" a="1"/>
  <c r="J84" i="1" s="1"/>
  <c r="K84" i="1" a="1"/>
  <c r="K84" i="1" s="1"/>
  <c r="R84" i="1" s="1"/>
  <c r="I85" i="1" a="1"/>
  <c r="I85" i="1" s="1"/>
  <c r="P85" i="1" s="1"/>
  <c r="J85" i="1" a="1"/>
  <c r="J85" i="1" s="1"/>
  <c r="K85" i="1" a="1"/>
  <c r="K85" i="1" s="1"/>
  <c r="R85" i="1" s="1"/>
  <c r="I86" i="1" a="1"/>
  <c r="I86" i="1" s="1"/>
  <c r="P86" i="1" s="1"/>
  <c r="U86" i="1" s="1"/>
  <c r="J86" i="1" a="1"/>
  <c r="J86" i="1" s="1"/>
  <c r="K86" i="1" a="1"/>
  <c r="K86" i="1" s="1"/>
  <c r="R86" i="1" s="1"/>
  <c r="I87" i="1" a="1"/>
  <c r="I87" i="1" s="1"/>
  <c r="P87" i="1" s="1"/>
  <c r="J87" i="1" a="1"/>
  <c r="J87" i="1" s="1"/>
  <c r="V87" i="1" s="1"/>
  <c r="K87" i="1" a="1"/>
  <c r="K87" i="1" s="1"/>
  <c r="R87" i="1" s="1"/>
  <c r="I88" i="1" a="1"/>
  <c r="I88" i="1" s="1"/>
  <c r="P88" i="1" s="1"/>
  <c r="J88" i="1" a="1"/>
  <c r="J88" i="1" s="1"/>
  <c r="K88" i="1" a="1"/>
  <c r="K88" i="1" s="1"/>
  <c r="R88" i="1" s="1"/>
  <c r="I89" i="1" a="1"/>
  <c r="I89" i="1" s="1"/>
  <c r="P89" i="1" s="1"/>
  <c r="J89" i="1" a="1"/>
  <c r="J89" i="1" s="1"/>
  <c r="K89" i="1" a="1"/>
  <c r="K89" i="1" s="1"/>
  <c r="R89" i="1" s="1"/>
  <c r="I90" i="1" a="1"/>
  <c r="I90" i="1" s="1"/>
  <c r="P90" i="1" s="1"/>
  <c r="U90" i="1" s="1"/>
  <c r="J90" i="1" a="1"/>
  <c r="J90" i="1" s="1"/>
  <c r="K90" i="1" a="1"/>
  <c r="K90" i="1" s="1"/>
  <c r="R90" i="1" s="1"/>
  <c r="I91" i="1" a="1"/>
  <c r="I91" i="1" s="1"/>
  <c r="P91" i="1" s="1"/>
  <c r="J91" i="1" a="1"/>
  <c r="J91" i="1" s="1"/>
  <c r="V91" i="1" s="1"/>
  <c r="K91" i="1" a="1"/>
  <c r="K91" i="1" s="1"/>
  <c r="R91" i="1" s="1"/>
  <c r="I92" i="1" a="1"/>
  <c r="I92" i="1" s="1"/>
  <c r="P92" i="1" s="1"/>
  <c r="J92" i="1" a="1"/>
  <c r="J92" i="1" s="1"/>
  <c r="K92" i="1" a="1"/>
  <c r="K92" i="1" s="1"/>
  <c r="R92" i="1" s="1"/>
  <c r="I93" i="1" a="1"/>
  <c r="I93" i="1" s="1"/>
  <c r="P93" i="1" s="1"/>
  <c r="J93" i="1" a="1"/>
  <c r="J93" i="1" s="1"/>
  <c r="K93" i="1" a="1"/>
  <c r="K93" i="1" s="1"/>
  <c r="R93" i="1" s="1"/>
  <c r="I94" i="1" a="1"/>
  <c r="I94" i="1" s="1"/>
  <c r="P94" i="1" s="1"/>
  <c r="U94" i="1" s="1"/>
  <c r="J94" i="1" a="1"/>
  <c r="J94" i="1" s="1"/>
  <c r="K94" i="1" a="1"/>
  <c r="K94" i="1" s="1"/>
  <c r="R94" i="1" s="1"/>
  <c r="I95" i="1" a="1"/>
  <c r="I95" i="1" s="1"/>
  <c r="P95" i="1" s="1"/>
  <c r="J95" i="1" a="1"/>
  <c r="J95" i="1" s="1"/>
  <c r="V95" i="1" s="1"/>
  <c r="K95" i="1" a="1"/>
  <c r="K95" i="1" s="1"/>
  <c r="R95" i="1" s="1"/>
  <c r="I96" i="1" a="1"/>
  <c r="I96" i="1" s="1"/>
  <c r="P96" i="1" s="1"/>
  <c r="J96" i="1" a="1"/>
  <c r="J96" i="1" s="1"/>
  <c r="K96" i="1" a="1"/>
  <c r="K96" i="1" s="1"/>
  <c r="R96" i="1" s="1"/>
  <c r="I97" i="1" a="1"/>
  <c r="I97" i="1" s="1"/>
  <c r="P97" i="1" s="1"/>
  <c r="J97" i="1" a="1"/>
  <c r="J97" i="1" s="1"/>
  <c r="K97" i="1" a="1"/>
  <c r="K97" i="1" s="1"/>
  <c r="R97" i="1" s="1"/>
  <c r="I98" i="1" a="1"/>
  <c r="I98" i="1" s="1"/>
  <c r="P98" i="1" s="1"/>
  <c r="J98" i="1" a="1"/>
  <c r="J98" i="1" s="1"/>
  <c r="K98" i="1" a="1"/>
  <c r="K98" i="1" s="1"/>
  <c r="R98" i="1" s="1"/>
  <c r="I99" i="1" a="1"/>
  <c r="I99" i="1" s="1"/>
  <c r="P99" i="1" s="1"/>
  <c r="J99" i="1" a="1"/>
  <c r="J99" i="1" s="1"/>
  <c r="K99" i="1" a="1"/>
  <c r="K99" i="1" s="1"/>
  <c r="R99" i="1" s="1"/>
  <c r="I100" i="1" a="1"/>
  <c r="I100" i="1" s="1"/>
  <c r="P100" i="1" s="1"/>
  <c r="J100" i="1" a="1"/>
  <c r="J100" i="1" s="1"/>
  <c r="V100" i="1" s="1"/>
  <c r="K100" i="1" a="1"/>
  <c r="K100" i="1" s="1"/>
  <c r="R100" i="1" s="1"/>
  <c r="I101" i="1" a="1"/>
  <c r="I101" i="1" s="1"/>
  <c r="P101" i="1" s="1"/>
  <c r="J101" i="1" a="1"/>
  <c r="J101" i="1" s="1"/>
  <c r="K101" i="1" a="1"/>
  <c r="K101" i="1" s="1"/>
  <c r="R101" i="1" s="1"/>
  <c r="I102" i="1" a="1"/>
  <c r="I102" i="1" s="1"/>
  <c r="P102" i="1" s="1"/>
  <c r="J102" i="1" a="1"/>
  <c r="J102" i="1" s="1"/>
  <c r="K102" i="1" a="1"/>
  <c r="K102" i="1"/>
  <c r="R102" i="1" s="1"/>
  <c r="I103" i="1" a="1"/>
  <c r="I103" i="1" s="1"/>
  <c r="P103" i="1" s="1"/>
  <c r="J103" i="1" a="1"/>
  <c r="J103" i="1" s="1"/>
  <c r="K103" i="1" a="1"/>
  <c r="K103" i="1" s="1"/>
  <c r="R103" i="1" s="1"/>
  <c r="I104" i="1" a="1"/>
  <c r="I104" i="1" s="1"/>
  <c r="P104" i="1" s="1"/>
  <c r="J104" i="1" a="1"/>
  <c r="J104" i="1" s="1"/>
  <c r="K104" i="1" a="1"/>
  <c r="K104" i="1" s="1"/>
  <c r="R104" i="1" s="1"/>
  <c r="I105" i="1" a="1"/>
  <c r="I105" i="1" s="1"/>
  <c r="P105" i="1" s="1"/>
  <c r="U105" i="1" s="1"/>
  <c r="J105" i="1" a="1"/>
  <c r="J105" i="1" s="1"/>
  <c r="K105" i="1" a="1"/>
  <c r="K105" i="1" s="1"/>
  <c r="R105" i="1" s="1"/>
  <c r="I106" i="1" a="1"/>
  <c r="I106" i="1" s="1"/>
  <c r="P106" i="1" s="1"/>
  <c r="J106" i="1" a="1"/>
  <c r="J106" i="1" s="1"/>
  <c r="K106" i="1" a="1"/>
  <c r="K106" i="1" s="1"/>
  <c r="R106" i="1" s="1"/>
  <c r="I107" i="1" a="1"/>
  <c r="I107" i="1" s="1"/>
  <c r="P107" i="1" s="1"/>
  <c r="J107" i="1" a="1"/>
  <c r="J107" i="1" s="1"/>
  <c r="K107" i="1" a="1"/>
  <c r="K107" i="1" s="1"/>
  <c r="R107" i="1" s="1"/>
  <c r="I108" i="1" a="1"/>
  <c r="I108" i="1" s="1"/>
  <c r="P108" i="1" s="1"/>
  <c r="J108" i="1" a="1"/>
  <c r="J108" i="1" s="1"/>
  <c r="K108" i="1" a="1"/>
  <c r="K108" i="1" s="1"/>
  <c r="R108" i="1" s="1"/>
  <c r="I109" i="1" a="1"/>
  <c r="I109" i="1" s="1"/>
  <c r="P109" i="1" s="1"/>
  <c r="J109" i="1" a="1"/>
  <c r="J109" i="1" s="1"/>
  <c r="V109" i="1" s="1"/>
  <c r="K109" i="1" a="1"/>
  <c r="K109" i="1" s="1"/>
  <c r="R109" i="1" s="1"/>
  <c r="I110" i="1" a="1"/>
  <c r="I110" i="1" s="1"/>
  <c r="P110" i="1" s="1"/>
  <c r="J110" i="1" a="1"/>
  <c r="J110" i="1" s="1"/>
  <c r="K110" i="1" a="1"/>
  <c r="K110" i="1" s="1"/>
  <c r="R110" i="1" s="1"/>
  <c r="I111" i="1" a="1"/>
  <c r="I111" i="1" s="1"/>
  <c r="P111" i="1" s="1"/>
  <c r="U111" i="1" s="1"/>
  <c r="J111" i="1" a="1"/>
  <c r="J111" i="1" s="1"/>
  <c r="K111" i="1" a="1"/>
  <c r="K111" i="1" s="1"/>
  <c r="R111" i="1" s="1"/>
  <c r="I112" i="1" a="1"/>
  <c r="I112" i="1" s="1"/>
  <c r="P112" i="1" s="1"/>
  <c r="J112" i="1" a="1"/>
  <c r="J112" i="1" s="1"/>
  <c r="K112" i="1" a="1"/>
  <c r="K112" i="1" s="1"/>
  <c r="R112" i="1" s="1"/>
  <c r="I113" i="1" a="1"/>
  <c r="I113" i="1" s="1"/>
  <c r="P113" i="1" s="1"/>
  <c r="U113" i="1" s="1"/>
  <c r="J113" i="1" a="1"/>
  <c r="J113" i="1" s="1"/>
  <c r="V113" i="1" s="1"/>
  <c r="K113" i="1" a="1"/>
  <c r="K113" i="1" s="1"/>
  <c r="R113" i="1" s="1"/>
  <c r="I114" i="1" a="1"/>
  <c r="I114" i="1" s="1"/>
  <c r="P114" i="1" s="1"/>
  <c r="J114" i="1" a="1"/>
  <c r="J114" i="1" s="1"/>
  <c r="K114" i="1" a="1"/>
  <c r="K114" i="1" s="1"/>
  <c r="R114" i="1" s="1"/>
  <c r="I115" i="1" a="1"/>
  <c r="I115" i="1" s="1"/>
  <c r="P115" i="1" s="1"/>
  <c r="J115" i="1" a="1"/>
  <c r="J115" i="1" s="1"/>
  <c r="K115" i="1" a="1"/>
  <c r="K115" i="1"/>
  <c r="R115" i="1" s="1"/>
  <c r="I116" i="1" a="1"/>
  <c r="I116" i="1" s="1"/>
  <c r="P116" i="1" s="1"/>
  <c r="J116" i="1" a="1"/>
  <c r="J116" i="1" s="1"/>
  <c r="K116" i="1" a="1"/>
  <c r="K116" i="1"/>
  <c r="R116" i="1" s="1"/>
  <c r="I117" i="1" a="1"/>
  <c r="I117" i="1" s="1"/>
  <c r="P117" i="1" s="1"/>
  <c r="J117" i="1" a="1"/>
  <c r="J117" i="1" s="1"/>
  <c r="K117" i="1" a="1"/>
  <c r="K117" i="1" s="1"/>
  <c r="R117" i="1" s="1"/>
  <c r="I118" i="1" a="1"/>
  <c r="I118" i="1" s="1"/>
  <c r="P118" i="1" s="1"/>
  <c r="J118" i="1" a="1"/>
  <c r="J118" i="1" s="1"/>
  <c r="K118" i="1" a="1"/>
  <c r="K118" i="1" s="1"/>
  <c r="R118" i="1" s="1"/>
  <c r="I119" i="1" a="1"/>
  <c r="I119" i="1" s="1"/>
  <c r="P119" i="1" s="1"/>
  <c r="J119" i="1" a="1"/>
  <c r="J119" i="1" s="1"/>
  <c r="K119" i="1" a="1"/>
  <c r="K119" i="1" s="1"/>
  <c r="R119" i="1" s="1"/>
  <c r="I120" i="1" a="1"/>
  <c r="I120" i="1" s="1"/>
  <c r="P120" i="1" s="1"/>
  <c r="J120" i="1" a="1"/>
  <c r="J120" i="1" s="1"/>
  <c r="K120" i="1" a="1"/>
  <c r="K120" i="1" s="1"/>
  <c r="R120" i="1" s="1"/>
  <c r="I121" i="1" a="1"/>
  <c r="I121" i="1" s="1"/>
  <c r="P121" i="1" s="1"/>
  <c r="J121" i="1" a="1"/>
  <c r="J121" i="1" s="1"/>
  <c r="K121" i="1" a="1"/>
  <c r="K121" i="1" s="1"/>
  <c r="R121" i="1" s="1"/>
  <c r="I122" i="1" a="1"/>
  <c r="I122" i="1" s="1"/>
  <c r="P122" i="1" s="1"/>
  <c r="J122" i="1" a="1"/>
  <c r="J122" i="1" s="1"/>
  <c r="K122" i="1" a="1"/>
  <c r="K122" i="1" s="1"/>
  <c r="R122" i="1" s="1"/>
  <c r="I123" i="1" a="1"/>
  <c r="I123" i="1" s="1"/>
  <c r="P123" i="1" s="1"/>
  <c r="J123" i="1" a="1"/>
  <c r="J123" i="1" s="1"/>
  <c r="K123" i="1" a="1"/>
  <c r="K123" i="1" s="1"/>
  <c r="R123" i="1" s="1"/>
  <c r="I124" i="1" a="1"/>
  <c r="I124" i="1" s="1"/>
  <c r="P124" i="1" s="1"/>
  <c r="J124" i="1" a="1"/>
  <c r="J124" i="1" s="1"/>
  <c r="K124" i="1" a="1"/>
  <c r="K124" i="1" s="1"/>
  <c r="R124" i="1" s="1"/>
  <c r="I125" i="1" a="1"/>
  <c r="I125" i="1" s="1"/>
  <c r="P125" i="1" s="1"/>
  <c r="J125" i="1" a="1"/>
  <c r="J125" i="1" s="1"/>
  <c r="K125" i="1" a="1"/>
  <c r="K125" i="1" s="1"/>
  <c r="R125" i="1" s="1"/>
  <c r="I126" i="1" a="1"/>
  <c r="I126" i="1" s="1"/>
  <c r="P126" i="1" s="1"/>
  <c r="J126" i="1" a="1"/>
  <c r="J126" i="1" s="1"/>
  <c r="K126" i="1" a="1"/>
  <c r="K126" i="1"/>
  <c r="R126" i="1" s="1"/>
  <c r="I127" i="1" a="1"/>
  <c r="I127" i="1" s="1"/>
  <c r="P127" i="1" s="1"/>
  <c r="J127" i="1" a="1"/>
  <c r="J127" i="1" s="1"/>
  <c r="K127" i="1" a="1"/>
  <c r="K127" i="1" s="1"/>
  <c r="R127" i="1" s="1"/>
  <c r="I128" i="1" a="1"/>
  <c r="I128" i="1" s="1"/>
  <c r="P128" i="1" s="1"/>
  <c r="U128" i="1" s="1"/>
  <c r="J128" i="1" a="1"/>
  <c r="J128" i="1" s="1"/>
  <c r="V128" i="1" s="1"/>
  <c r="K128" i="1" a="1"/>
  <c r="K128" i="1" s="1"/>
  <c r="R128" i="1" s="1"/>
  <c r="I129" i="1" a="1"/>
  <c r="I129" i="1" s="1"/>
  <c r="P129" i="1" s="1"/>
  <c r="J129" i="1" a="1"/>
  <c r="J129" i="1" s="1"/>
  <c r="K129" i="1" a="1"/>
  <c r="K129" i="1" s="1"/>
  <c r="R129" i="1" s="1"/>
  <c r="I130" i="1" a="1"/>
  <c r="I130" i="1" s="1"/>
  <c r="P130" i="1" s="1"/>
  <c r="J130" i="1" a="1"/>
  <c r="J130" i="1" s="1"/>
  <c r="K130" i="1" a="1"/>
  <c r="K130" i="1" s="1"/>
  <c r="R130" i="1" s="1"/>
  <c r="I131" i="1" a="1"/>
  <c r="I131" i="1" s="1"/>
  <c r="P131" i="1" s="1"/>
  <c r="J131" i="1" a="1"/>
  <c r="J131" i="1" s="1"/>
  <c r="K131" i="1" a="1"/>
  <c r="K131" i="1" s="1"/>
  <c r="R131" i="1" s="1"/>
  <c r="I132" i="1" a="1"/>
  <c r="I132" i="1" s="1"/>
  <c r="P132" i="1" s="1"/>
  <c r="J132" i="1" a="1"/>
  <c r="J132" i="1" s="1"/>
  <c r="K132" i="1" a="1"/>
  <c r="K132" i="1" s="1"/>
  <c r="R132" i="1" s="1"/>
  <c r="I133" i="1" a="1"/>
  <c r="I133" i="1" s="1"/>
  <c r="P133" i="1" s="1"/>
  <c r="J133" i="1" a="1"/>
  <c r="J133" i="1" s="1"/>
  <c r="K133" i="1" a="1"/>
  <c r="K133" i="1" s="1"/>
  <c r="R133" i="1" s="1"/>
  <c r="I134" i="1" a="1"/>
  <c r="I134" i="1" s="1"/>
  <c r="P134" i="1" s="1"/>
  <c r="J134" i="1" a="1"/>
  <c r="J134" i="1" s="1"/>
  <c r="K134" i="1" a="1"/>
  <c r="K134" i="1" s="1"/>
  <c r="R134" i="1" s="1"/>
  <c r="I135" i="1" a="1"/>
  <c r="I135" i="1" s="1"/>
  <c r="P135" i="1" s="1"/>
  <c r="U135" i="1" s="1"/>
  <c r="J135" i="1" a="1"/>
  <c r="J135" i="1" s="1"/>
  <c r="K135" i="1" a="1"/>
  <c r="K135" i="1" s="1"/>
  <c r="R135" i="1" s="1"/>
  <c r="I136" i="1" a="1"/>
  <c r="I136" i="1" s="1"/>
  <c r="P136" i="1" s="1"/>
  <c r="J136" i="1" a="1"/>
  <c r="J136" i="1" s="1"/>
  <c r="V136" i="1" s="1"/>
  <c r="K136" i="1" a="1"/>
  <c r="K136" i="1" s="1"/>
  <c r="R136" i="1" s="1"/>
  <c r="I137" i="1" a="1"/>
  <c r="I137" i="1" s="1"/>
  <c r="P137" i="1" s="1"/>
  <c r="J137" i="1" a="1"/>
  <c r="J137" i="1" s="1"/>
  <c r="K137" i="1" a="1"/>
  <c r="K137" i="1" s="1"/>
  <c r="R137" i="1" s="1"/>
  <c r="I138" i="1" a="1"/>
  <c r="I138" i="1" s="1"/>
  <c r="P138" i="1" s="1"/>
  <c r="J138" i="1" a="1"/>
  <c r="J138" i="1" s="1"/>
  <c r="K138" i="1" a="1"/>
  <c r="K138" i="1" s="1"/>
  <c r="R138" i="1" s="1"/>
  <c r="I139" i="1" a="1"/>
  <c r="I139" i="1" s="1"/>
  <c r="P139" i="1" s="1"/>
  <c r="J139" i="1" a="1"/>
  <c r="J139" i="1" s="1"/>
  <c r="K139" i="1" a="1"/>
  <c r="K139" i="1" s="1"/>
  <c r="R139" i="1" s="1"/>
  <c r="I140" i="1" a="1"/>
  <c r="I140" i="1" s="1"/>
  <c r="P140" i="1" s="1"/>
  <c r="J140" i="1" a="1"/>
  <c r="J140" i="1" s="1"/>
  <c r="K140" i="1" a="1"/>
  <c r="K140" i="1" s="1"/>
  <c r="R140" i="1" s="1"/>
  <c r="I141" i="1" a="1"/>
  <c r="I141" i="1" s="1"/>
  <c r="P141" i="1" s="1"/>
  <c r="J141" i="1" a="1"/>
  <c r="J141" i="1" s="1"/>
  <c r="K141" i="1" a="1"/>
  <c r="K141" i="1" s="1"/>
  <c r="R141" i="1" s="1"/>
  <c r="I142" i="1" a="1"/>
  <c r="I142" i="1" s="1"/>
  <c r="P142" i="1" s="1"/>
  <c r="J142" i="1" a="1"/>
  <c r="J142" i="1" s="1"/>
  <c r="K142" i="1" a="1"/>
  <c r="K142" i="1" s="1"/>
  <c r="R142" i="1" s="1"/>
  <c r="I143" i="1" a="1"/>
  <c r="I143" i="1"/>
  <c r="P143" i="1" s="1"/>
  <c r="U143" i="1" s="1"/>
  <c r="J143" i="1" a="1"/>
  <c r="J143" i="1" s="1"/>
  <c r="K143" i="1" a="1"/>
  <c r="K143" i="1" s="1"/>
  <c r="R143" i="1" s="1"/>
  <c r="I144" i="1" a="1"/>
  <c r="I144" i="1" s="1"/>
  <c r="P144" i="1" s="1"/>
  <c r="J144" i="1" a="1"/>
  <c r="J144" i="1" s="1"/>
  <c r="K144" i="1" a="1"/>
  <c r="K144" i="1" s="1"/>
  <c r="R144" i="1" s="1"/>
  <c r="I145" i="1" a="1"/>
  <c r="I145" i="1" s="1"/>
  <c r="P145" i="1" s="1"/>
  <c r="J145" i="1" a="1"/>
  <c r="J145" i="1" s="1"/>
  <c r="K145" i="1" a="1"/>
  <c r="K145" i="1"/>
  <c r="R145" i="1" s="1"/>
  <c r="I146" i="1" a="1"/>
  <c r="I146" i="1" s="1"/>
  <c r="P146" i="1" s="1"/>
  <c r="J146" i="1" a="1"/>
  <c r="J146" i="1" s="1"/>
  <c r="K146" i="1" a="1"/>
  <c r="K146" i="1" s="1"/>
  <c r="R146" i="1" s="1"/>
  <c r="I147" i="1" a="1"/>
  <c r="I147" i="1" s="1"/>
  <c r="P147" i="1" s="1"/>
  <c r="J147" i="1" a="1"/>
  <c r="J147" i="1" s="1"/>
  <c r="K147" i="1" a="1"/>
  <c r="K147" i="1" s="1"/>
  <c r="R147" i="1" s="1"/>
  <c r="I148" i="1" a="1"/>
  <c r="I148" i="1" s="1"/>
  <c r="P148" i="1" s="1"/>
  <c r="J148" i="1" a="1"/>
  <c r="J148" i="1" s="1"/>
  <c r="K148" i="1" a="1"/>
  <c r="K148" i="1" s="1"/>
  <c r="R148" i="1" s="1"/>
  <c r="I149" i="1" a="1"/>
  <c r="I149" i="1" s="1"/>
  <c r="P149" i="1" s="1"/>
  <c r="J149" i="1" a="1"/>
  <c r="J149" i="1" s="1"/>
  <c r="K149" i="1" a="1"/>
  <c r="K149" i="1" s="1"/>
  <c r="R149" i="1" s="1"/>
  <c r="I150" i="1" a="1"/>
  <c r="I150" i="1" s="1"/>
  <c r="P150" i="1" s="1"/>
  <c r="J150" i="1" a="1"/>
  <c r="J150" i="1" s="1"/>
  <c r="K150" i="1" a="1"/>
  <c r="K150" i="1" s="1"/>
  <c r="R150" i="1" s="1"/>
  <c r="I151" i="1" a="1"/>
  <c r="I151" i="1" s="1"/>
  <c r="P151" i="1" s="1"/>
  <c r="J151" i="1" a="1"/>
  <c r="J151" i="1" s="1"/>
  <c r="K151" i="1" a="1"/>
  <c r="K151" i="1" s="1"/>
  <c r="R151" i="1" s="1"/>
  <c r="I152" i="1" a="1"/>
  <c r="I152" i="1" s="1"/>
  <c r="P152" i="1" s="1"/>
  <c r="J152" i="1" a="1"/>
  <c r="J152" i="1" s="1"/>
  <c r="V152" i="1" s="1"/>
  <c r="K152" i="1" a="1"/>
  <c r="K152" i="1" s="1"/>
  <c r="R152" i="1" s="1"/>
  <c r="I153" i="1" a="1"/>
  <c r="I153" i="1" s="1"/>
  <c r="P153" i="1" s="1"/>
  <c r="J153" i="1" a="1"/>
  <c r="J153" i="1" s="1"/>
  <c r="K153" i="1" a="1"/>
  <c r="K153" i="1" s="1"/>
  <c r="R153" i="1" s="1"/>
  <c r="I154" i="1" a="1"/>
  <c r="I154" i="1" s="1"/>
  <c r="P154" i="1" s="1"/>
  <c r="J154" i="1" a="1"/>
  <c r="J154" i="1" s="1"/>
  <c r="K154" i="1" a="1"/>
  <c r="K154" i="1" s="1"/>
  <c r="R154" i="1" s="1"/>
  <c r="I155" i="1" a="1"/>
  <c r="I155" i="1" s="1"/>
  <c r="P155" i="1" s="1"/>
  <c r="J155" i="1" a="1"/>
  <c r="J155" i="1" s="1"/>
  <c r="K155" i="1" a="1"/>
  <c r="K155" i="1" s="1"/>
  <c r="R155" i="1" s="1"/>
  <c r="I156" i="1" a="1"/>
  <c r="I156" i="1" s="1"/>
  <c r="P156" i="1" s="1"/>
  <c r="J156" i="1" a="1"/>
  <c r="J156" i="1" s="1"/>
  <c r="K156" i="1" a="1"/>
  <c r="K156" i="1" s="1"/>
  <c r="R156" i="1" s="1"/>
  <c r="I157" i="1" a="1"/>
  <c r="I157" i="1" s="1"/>
  <c r="P157" i="1" s="1"/>
  <c r="J157" i="1" a="1"/>
  <c r="J157" i="1" s="1"/>
  <c r="K157" i="1" a="1"/>
  <c r="K157" i="1" s="1"/>
  <c r="R157" i="1" s="1"/>
  <c r="I158" i="1" a="1"/>
  <c r="I158" i="1" s="1"/>
  <c r="P158" i="1" s="1"/>
  <c r="J158" i="1" a="1"/>
  <c r="J158" i="1" s="1"/>
  <c r="K158" i="1" a="1"/>
  <c r="K158" i="1" s="1"/>
  <c r="R158" i="1" s="1"/>
  <c r="I159" i="1" a="1"/>
  <c r="I159" i="1" s="1"/>
  <c r="P159" i="1" s="1"/>
  <c r="J159" i="1" a="1"/>
  <c r="J159" i="1" s="1"/>
  <c r="K159" i="1" a="1"/>
  <c r="K159" i="1" s="1"/>
  <c r="R159" i="1" s="1"/>
  <c r="I160" i="1" a="1"/>
  <c r="I160" i="1" s="1"/>
  <c r="P160" i="1" s="1"/>
  <c r="J160" i="1" a="1"/>
  <c r="J160" i="1" s="1"/>
  <c r="K160" i="1" a="1"/>
  <c r="K160" i="1" s="1"/>
  <c r="R160" i="1" s="1"/>
  <c r="I161" i="1" a="1"/>
  <c r="I161" i="1" s="1"/>
  <c r="P161" i="1" s="1"/>
  <c r="J161" i="1" a="1"/>
  <c r="J161" i="1" s="1"/>
  <c r="K161" i="1" a="1"/>
  <c r="K161" i="1" s="1"/>
  <c r="R161" i="1" s="1"/>
  <c r="I162" i="1" a="1"/>
  <c r="I162" i="1" s="1"/>
  <c r="P162" i="1" s="1"/>
  <c r="J162" i="1" a="1"/>
  <c r="J162" i="1" s="1"/>
  <c r="K162" i="1" a="1"/>
  <c r="K162" i="1" s="1"/>
  <c r="R162" i="1" s="1"/>
  <c r="I163" i="1" a="1"/>
  <c r="I163" i="1" s="1"/>
  <c r="P163" i="1" s="1"/>
  <c r="J163" i="1" a="1"/>
  <c r="J163" i="1" s="1"/>
  <c r="K163" i="1" a="1"/>
  <c r="K163" i="1" s="1"/>
  <c r="R163" i="1" s="1"/>
  <c r="I164" i="1" a="1"/>
  <c r="I164" i="1" s="1"/>
  <c r="P164" i="1" s="1"/>
  <c r="J164" i="1" a="1"/>
  <c r="J164" i="1" s="1"/>
  <c r="K164" i="1" a="1"/>
  <c r="K164" i="1" s="1"/>
  <c r="R164" i="1" s="1"/>
  <c r="I165" i="1" a="1"/>
  <c r="I165" i="1" s="1"/>
  <c r="P165" i="1" s="1"/>
  <c r="J165" i="1" a="1"/>
  <c r="J165" i="1" s="1"/>
  <c r="K165" i="1" a="1"/>
  <c r="K165" i="1" s="1"/>
  <c r="R165" i="1" s="1"/>
  <c r="I166" i="1" a="1"/>
  <c r="I166" i="1" s="1"/>
  <c r="P166" i="1" s="1"/>
  <c r="J166" i="1" a="1"/>
  <c r="J166" i="1" s="1"/>
  <c r="K166" i="1" a="1"/>
  <c r="K166" i="1" s="1"/>
  <c r="R166" i="1" s="1"/>
  <c r="I167" i="1" a="1"/>
  <c r="I167" i="1" s="1"/>
  <c r="P167" i="1" s="1"/>
  <c r="J167" i="1" a="1"/>
  <c r="J167" i="1" s="1"/>
  <c r="K167" i="1" a="1"/>
  <c r="K167" i="1" s="1"/>
  <c r="R167" i="1" s="1"/>
  <c r="I168" i="1" a="1"/>
  <c r="I168" i="1" s="1"/>
  <c r="P168" i="1" s="1"/>
  <c r="J168" i="1" a="1"/>
  <c r="J168" i="1" s="1"/>
  <c r="K168" i="1" a="1"/>
  <c r="K168" i="1" s="1"/>
  <c r="R168" i="1" s="1"/>
  <c r="I169" i="1" a="1"/>
  <c r="I169" i="1" s="1"/>
  <c r="P169" i="1" s="1"/>
  <c r="J169" i="1" a="1"/>
  <c r="J169" i="1" s="1"/>
  <c r="K169" i="1" a="1"/>
  <c r="K169" i="1" s="1"/>
  <c r="R169" i="1" s="1"/>
  <c r="I170" i="1" a="1"/>
  <c r="I170" i="1" s="1"/>
  <c r="P170" i="1" s="1"/>
  <c r="J170" i="1" a="1"/>
  <c r="J170" i="1" s="1"/>
  <c r="K170" i="1" a="1"/>
  <c r="K170" i="1" s="1"/>
  <c r="R170" i="1" s="1"/>
  <c r="I171" i="1" a="1"/>
  <c r="I171" i="1" s="1"/>
  <c r="P171" i="1" s="1"/>
  <c r="J171" i="1" a="1"/>
  <c r="J171" i="1" s="1"/>
  <c r="K171" i="1" a="1"/>
  <c r="K171" i="1" s="1"/>
  <c r="R171" i="1" s="1"/>
  <c r="I172" i="1" a="1"/>
  <c r="I172" i="1" s="1"/>
  <c r="P172" i="1" s="1"/>
  <c r="J172" i="1" a="1"/>
  <c r="J172" i="1" s="1"/>
  <c r="K172" i="1" a="1"/>
  <c r="K172" i="1" s="1"/>
  <c r="R172" i="1" s="1"/>
  <c r="I173" i="1" a="1"/>
  <c r="I173" i="1" s="1"/>
  <c r="P173" i="1" s="1"/>
  <c r="J173" i="1" a="1"/>
  <c r="J173" i="1" s="1"/>
  <c r="K173" i="1" a="1"/>
  <c r="K173" i="1" s="1"/>
  <c r="R173" i="1" s="1"/>
  <c r="I174" i="1" a="1"/>
  <c r="I174" i="1" s="1"/>
  <c r="P174" i="1" s="1"/>
  <c r="J174" i="1" a="1"/>
  <c r="J174" i="1" s="1"/>
  <c r="K174" i="1" a="1"/>
  <c r="K174" i="1" s="1"/>
  <c r="R174" i="1" s="1"/>
  <c r="I175" i="1" a="1"/>
  <c r="I175" i="1" s="1"/>
  <c r="P175" i="1" s="1"/>
  <c r="J175" i="1" a="1"/>
  <c r="J175" i="1" s="1"/>
  <c r="K175" i="1" a="1"/>
  <c r="K175" i="1" s="1"/>
  <c r="R175" i="1" s="1"/>
  <c r="I176" i="1" a="1"/>
  <c r="I176" i="1" s="1"/>
  <c r="P176" i="1" s="1"/>
  <c r="J176" i="1" a="1"/>
  <c r="J176" i="1" s="1"/>
  <c r="K176" i="1" a="1"/>
  <c r="K176" i="1" s="1"/>
  <c r="R176" i="1" s="1"/>
  <c r="I177" i="1" a="1"/>
  <c r="I177" i="1" s="1"/>
  <c r="P177" i="1" s="1"/>
  <c r="J177" i="1" a="1"/>
  <c r="J177" i="1" s="1"/>
  <c r="K177" i="1" a="1"/>
  <c r="K177" i="1" s="1"/>
  <c r="R177" i="1" s="1"/>
  <c r="I178" i="1" a="1"/>
  <c r="I178" i="1" s="1"/>
  <c r="P178" i="1" s="1"/>
  <c r="J178" i="1" a="1"/>
  <c r="J178" i="1" s="1"/>
  <c r="K178" i="1" a="1"/>
  <c r="K178" i="1" s="1"/>
  <c r="R178" i="1" s="1"/>
  <c r="I179" i="1" a="1"/>
  <c r="I179" i="1"/>
  <c r="P179" i="1" s="1"/>
  <c r="J179" i="1" a="1"/>
  <c r="J179" i="1" s="1"/>
  <c r="K179" i="1" a="1"/>
  <c r="K179" i="1" s="1"/>
  <c r="R179" i="1" s="1"/>
  <c r="I180" i="1" a="1"/>
  <c r="I180" i="1" s="1"/>
  <c r="P180" i="1" s="1"/>
  <c r="J180" i="1" a="1"/>
  <c r="J180" i="1" s="1"/>
  <c r="K180" i="1" a="1"/>
  <c r="K180" i="1" s="1"/>
  <c r="R180" i="1" s="1"/>
  <c r="I181" i="1" a="1"/>
  <c r="I181" i="1" s="1"/>
  <c r="P181" i="1" s="1"/>
  <c r="J181" i="1" a="1"/>
  <c r="J181" i="1" s="1"/>
  <c r="K181" i="1" a="1"/>
  <c r="K181" i="1" s="1"/>
  <c r="R181" i="1" s="1"/>
  <c r="I182" i="1" a="1"/>
  <c r="I182" i="1" s="1"/>
  <c r="P182" i="1" s="1"/>
  <c r="J182" i="1" a="1"/>
  <c r="J182" i="1"/>
  <c r="K182" i="1" a="1"/>
  <c r="K182" i="1" s="1"/>
  <c r="R182" i="1" s="1"/>
  <c r="I183" i="1" a="1"/>
  <c r="I183" i="1" s="1"/>
  <c r="P183" i="1" s="1"/>
  <c r="J183" i="1" a="1"/>
  <c r="J183" i="1" s="1"/>
  <c r="K183" i="1" a="1"/>
  <c r="K183" i="1" s="1"/>
  <c r="R183" i="1" s="1"/>
  <c r="I184" i="1" a="1"/>
  <c r="I184" i="1" s="1"/>
  <c r="P184" i="1" s="1"/>
  <c r="J184" i="1" a="1"/>
  <c r="J184" i="1" s="1"/>
  <c r="K184" i="1" a="1"/>
  <c r="K184" i="1" s="1"/>
  <c r="R184" i="1" s="1"/>
  <c r="I185" i="1" a="1"/>
  <c r="I185" i="1" s="1"/>
  <c r="P185" i="1" s="1"/>
  <c r="J185" i="1" a="1"/>
  <c r="J185" i="1" s="1"/>
  <c r="K185" i="1" a="1"/>
  <c r="K185" i="1" s="1"/>
  <c r="R185" i="1" s="1"/>
  <c r="I186" i="1" a="1"/>
  <c r="I186" i="1" s="1"/>
  <c r="P186" i="1" s="1"/>
  <c r="J186" i="1" a="1"/>
  <c r="J186" i="1"/>
  <c r="K186" i="1" a="1"/>
  <c r="K186" i="1" s="1"/>
  <c r="R186" i="1" s="1"/>
  <c r="I187" i="1" a="1"/>
  <c r="I187" i="1" s="1"/>
  <c r="P187" i="1" s="1"/>
  <c r="J187" i="1" a="1"/>
  <c r="J187" i="1" s="1"/>
  <c r="V187" i="1" s="1"/>
  <c r="K187" i="1" a="1"/>
  <c r="K187" i="1" s="1"/>
  <c r="R187" i="1" s="1"/>
  <c r="I188" i="1" a="1"/>
  <c r="I188" i="1" s="1"/>
  <c r="P188" i="1" s="1"/>
  <c r="J188" i="1" a="1"/>
  <c r="J188" i="1" s="1"/>
  <c r="V188" i="1" s="1"/>
  <c r="K188" i="1" a="1"/>
  <c r="K188" i="1" s="1"/>
  <c r="R188" i="1" s="1"/>
  <c r="I189" i="1" a="1"/>
  <c r="I189" i="1" s="1"/>
  <c r="P189" i="1" s="1"/>
  <c r="J189" i="1" a="1"/>
  <c r="J189" i="1" s="1"/>
  <c r="K189" i="1" a="1"/>
  <c r="K189" i="1" s="1"/>
  <c r="R189" i="1" s="1"/>
  <c r="I190" i="1" a="1"/>
  <c r="I190" i="1" s="1"/>
  <c r="P190" i="1" s="1"/>
  <c r="J190" i="1" a="1"/>
  <c r="J190" i="1" s="1"/>
  <c r="K190" i="1" a="1"/>
  <c r="K190" i="1"/>
  <c r="R190" i="1" s="1"/>
  <c r="I191" i="1" a="1"/>
  <c r="I191" i="1" s="1"/>
  <c r="P191" i="1" s="1"/>
  <c r="J191" i="1" a="1"/>
  <c r="J191" i="1" s="1"/>
  <c r="K191" i="1" a="1"/>
  <c r="K191" i="1" s="1"/>
  <c r="R191" i="1" s="1"/>
  <c r="I192" i="1" a="1"/>
  <c r="I192" i="1" s="1"/>
  <c r="P192" i="1" s="1"/>
  <c r="J192" i="1" a="1"/>
  <c r="J192" i="1" s="1"/>
  <c r="K192" i="1" a="1"/>
  <c r="K192" i="1" s="1"/>
  <c r="R192" i="1" s="1"/>
  <c r="I193" i="1" a="1"/>
  <c r="I193" i="1" s="1"/>
  <c r="P193" i="1" s="1"/>
  <c r="J193" i="1" a="1"/>
  <c r="J193" i="1" s="1"/>
  <c r="K193" i="1" a="1"/>
  <c r="K193" i="1" s="1"/>
  <c r="R193" i="1" s="1"/>
  <c r="I194" i="1" a="1"/>
  <c r="I194" i="1" s="1"/>
  <c r="P194" i="1" s="1"/>
  <c r="J194" i="1" a="1"/>
  <c r="J194" i="1" s="1"/>
  <c r="K194" i="1" a="1"/>
  <c r="K194" i="1" s="1"/>
  <c r="R194" i="1" s="1"/>
  <c r="I195" i="1" a="1"/>
  <c r="I195" i="1" s="1"/>
  <c r="P195" i="1" s="1"/>
  <c r="J195" i="1" a="1"/>
  <c r="J195" i="1" s="1"/>
  <c r="K195" i="1" a="1"/>
  <c r="K195" i="1" s="1"/>
  <c r="R195" i="1" s="1"/>
  <c r="I196" i="1" a="1"/>
  <c r="I196" i="1" s="1"/>
  <c r="P196" i="1" s="1"/>
  <c r="J196" i="1" a="1"/>
  <c r="J196" i="1" s="1"/>
  <c r="K196" i="1" a="1"/>
  <c r="K196" i="1" s="1"/>
  <c r="R196" i="1" s="1"/>
  <c r="I197" i="1" a="1"/>
  <c r="I197" i="1" s="1"/>
  <c r="P197" i="1" s="1"/>
  <c r="J197" i="1" a="1"/>
  <c r="J197" i="1" s="1"/>
  <c r="K197" i="1" a="1"/>
  <c r="K197" i="1" s="1"/>
  <c r="R197" i="1" s="1"/>
  <c r="I198" i="1" a="1"/>
  <c r="I198" i="1" s="1"/>
  <c r="P198" i="1" s="1"/>
  <c r="J198" i="1" a="1"/>
  <c r="J198" i="1" s="1"/>
  <c r="K198" i="1" a="1"/>
  <c r="K198" i="1" s="1"/>
  <c r="R198" i="1" s="1"/>
  <c r="I199" i="1" a="1"/>
  <c r="I199" i="1" s="1"/>
  <c r="P199" i="1" s="1"/>
  <c r="J199" i="1" a="1"/>
  <c r="J199" i="1" s="1"/>
  <c r="K199" i="1" a="1"/>
  <c r="K199" i="1" s="1"/>
  <c r="R199" i="1" s="1"/>
  <c r="I200" i="1" a="1"/>
  <c r="I200" i="1" s="1"/>
  <c r="P200" i="1" s="1"/>
  <c r="U200" i="1" s="1"/>
  <c r="J200" i="1" a="1"/>
  <c r="J200" i="1" s="1"/>
  <c r="K200" i="1" a="1"/>
  <c r="K200" i="1" s="1"/>
  <c r="R200" i="1" s="1"/>
  <c r="I201" i="1" a="1"/>
  <c r="I201" i="1" s="1"/>
  <c r="P201" i="1" s="1"/>
  <c r="J201" i="1" a="1"/>
  <c r="J201" i="1" s="1"/>
  <c r="K201" i="1" a="1"/>
  <c r="K201" i="1" s="1"/>
  <c r="R201" i="1" s="1"/>
  <c r="I202" i="1" a="1"/>
  <c r="I202" i="1" s="1"/>
  <c r="P202" i="1" s="1"/>
  <c r="J202" i="1" a="1"/>
  <c r="J202" i="1" s="1"/>
  <c r="K202" i="1" a="1"/>
  <c r="K202" i="1" s="1"/>
  <c r="R202" i="1" s="1"/>
  <c r="I203" i="1" a="1"/>
  <c r="I203" i="1" s="1"/>
  <c r="P203" i="1" s="1"/>
  <c r="J203" i="1" a="1"/>
  <c r="J203" i="1" s="1"/>
  <c r="K203" i="1" a="1"/>
  <c r="K203" i="1" s="1"/>
  <c r="R203" i="1" s="1"/>
  <c r="I204" i="1" a="1"/>
  <c r="I204" i="1" s="1"/>
  <c r="P204" i="1" s="1"/>
  <c r="U204" i="1" s="1"/>
  <c r="J204" i="1" a="1"/>
  <c r="J204" i="1" s="1"/>
  <c r="K204" i="1" a="1"/>
  <c r="K204" i="1" s="1"/>
  <c r="R204" i="1" s="1"/>
  <c r="I205" i="1" a="1"/>
  <c r="I205" i="1" s="1"/>
  <c r="P205" i="1" s="1"/>
  <c r="J205" i="1" a="1"/>
  <c r="J205" i="1" s="1"/>
  <c r="K205" i="1" a="1"/>
  <c r="K205" i="1" s="1"/>
  <c r="R205" i="1" s="1"/>
  <c r="I206" i="1" a="1"/>
  <c r="I206" i="1" s="1"/>
  <c r="P206" i="1" s="1"/>
  <c r="U206" i="1" s="1"/>
  <c r="J206" i="1" a="1"/>
  <c r="J206" i="1" s="1"/>
  <c r="K206" i="1" a="1"/>
  <c r="K206" i="1" s="1"/>
  <c r="R206" i="1" s="1"/>
  <c r="I207" i="1" a="1"/>
  <c r="I207" i="1" s="1"/>
  <c r="P207" i="1" s="1"/>
  <c r="J207" i="1" a="1"/>
  <c r="J207" i="1" s="1"/>
  <c r="K207" i="1" a="1"/>
  <c r="K207" i="1" s="1"/>
  <c r="R207" i="1" s="1"/>
  <c r="I208" i="1" a="1"/>
  <c r="I208" i="1" s="1"/>
  <c r="P208" i="1" s="1"/>
  <c r="J208" i="1" a="1"/>
  <c r="J208" i="1" s="1"/>
  <c r="K208" i="1" a="1"/>
  <c r="K208" i="1" s="1"/>
  <c r="R208" i="1" s="1"/>
  <c r="I209" i="1" a="1"/>
  <c r="I209" i="1" s="1"/>
  <c r="P209" i="1" s="1"/>
  <c r="J209" i="1" a="1"/>
  <c r="J209" i="1" s="1"/>
  <c r="K209" i="1" a="1"/>
  <c r="K209" i="1" s="1"/>
  <c r="R209" i="1" s="1"/>
  <c r="I210" i="1" a="1"/>
  <c r="I210" i="1" s="1"/>
  <c r="P210" i="1" s="1"/>
  <c r="J210" i="1" a="1"/>
  <c r="J210" i="1" s="1"/>
  <c r="K210" i="1" a="1"/>
  <c r="K210" i="1" s="1"/>
  <c r="R210" i="1" s="1"/>
  <c r="I211" i="1" a="1"/>
  <c r="I211" i="1" s="1"/>
  <c r="P211" i="1" s="1"/>
  <c r="J211" i="1" a="1"/>
  <c r="J211" i="1" s="1"/>
  <c r="V211" i="1" s="1"/>
  <c r="K211" i="1" a="1"/>
  <c r="K211" i="1" s="1"/>
  <c r="R211" i="1" s="1"/>
  <c r="I212" i="1" a="1"/>
  <c r="I212" i="1" s="1"/>
  <c r="P212" i="1" s="1"/>
  <c r="U212" i="1" s="1"/>
  <c r="J212" i="1" a="1"/>
  <c r="J212" i="1" s="1"/>
  <c r="V212" i="1" s="1"/>
  <c r="K212" i="1" a="1"/>
  <c r="K212" i="1" s="1"/>
  <c r="R212" i="1" s="1"/>
  <c r="I213" i="1" a="1"/>
  <c r="I213" i="1" s="1"/>
  <c r="P213" i="1" s="1"/>
  <c r="J213" i="1" a="1"/>
  <c r="J213" i="1" s="1"/>
  <c r="K213" i="1" a="1"/>
  <c r="K213" i="1" s="1"/>
  <c r="R213" i="1" s="1"/>
  <c r="I214" i="1" a="1"/>
  <c r="I214" i="1" s="1"/>
  <c r="P214" i="1" s="1"/>
  <c r="J214" i="1" a="1"/>
  <c r="J214" i="1" s="1"/>
  <c r="K214" i="1" a="1"/>
  <c r="K214" i="1" s="1"/>
  <c r="R214" i="1" s="1"/>
  <c r="I215" i="1" a="1"/>
  <c r="I215" i="1" s="1"/>
  <c r="P215" i="1" s="1"/>
  <c r="J215" i="1" a="1"/>
  <c r="J215" i="1" s="1"/>
  <c r="V215" i="1" s="1"/>
  <c r="K215" i="1" a="1"/>
  <c r="K215" i="1" s="1"/>
  <c r="R215" i="1" s="1"/>
  <c r="I216" i="1" a="1"/>
  <c r="I216" i="1" s="1"/>
  <c r="P216" i="1" s="1"/>
  <c r="J216" i="1" a="1"/>
  <c r="J216" i="1" s="1"/>
  <c r="V216" i="1" s="1"/>
  <c r="K216" i="1" a="1"/>
  <c r="K216" i="1" s="1"/>
  <c r="R216" i="1" s="1"/>
  <c r="I217" i="1" a="1"/>
  <c r="I217" i="1" s="1"/>
  <c r="P217" i="1" s="1"/>
  <c r="J217" i="1" a="1"/>
  <c r="J217" i="1" s="1"/>
  <c r="K217" i="1" a="1"/>
  <c r="K217" i="1" s="1"/>
  <c r="R217" i="1" s="1"/>
  <c r="I218" i="1" a="1"/>
  <c r="I218" i="1" s="1"/>
  <c r="P218" i="1" s="1"/>
  <c r="J218" i="1" a="1"/>
  <c r="J218" i="1" s="1"/>
  <c r="K218" i="1" a="1"/>
  <c r="K218" i="1" s="1"/>
  <c r="R218" i="1" s="1"/>
  <c r="I219" i="1" a="1"/>
  <c r="I219" i="1" s="1"/>
  <c r="P219" i="1" s="1"/>
  <c r="J219" i="1" a="1"/>
  <c r="J219" i="1" s="1"/>
  <c r="V219" i="1" s="1"/>
  <c r="K219" i="1" a="1"/>
  <c r="K219" i="1" s="1"/>
  <c r="R219" i="1" s="1"/>
  <c r="I220" i="1" a="1"/>
  <c r="I220" i="1" s="1"/>
  <c r="P220" i="1" s="1"/>
  <c r="J220" i="1" a="1"/>
  <c r="J220" i="1" s="1"/>
  <c r="K220" i="1" a="1"/>
  <c r="K220" i="1" s="1"/>
  <c r="R220" i="1" s="1"/>
  <c r="I221" i="1" a="1"/>
  <c r="I221" i="1" s="1"/>
  <c r="P221" i="1" s="1"/>
  <c r="J221" i="1" a="1"/>
  <c r="J221" i="1" s="1"/>
  <c r="K221" i="1" a="1"/>
  <c r="K221" i="1" s="1"/>
  <c r="R221" i="1" s="1"/>
  <c r="I222" i="1" a="1"/>
  <c r="I222" i="1" s="1"/>
  <c r="P222" i="1" s="1"/>
  <c r="J222" i="1" a="1"/>
  <c r="J222" i="1" s="1"/>
  <c r="K222" i="1" a="1"/>
  <c r="K222" i="1" s="1"/>
  <c r="R222" i="1" s="1"/>
  <c r="I223" i="1" a="1"/>
  <c r="I223" i="1" s="1"/>
  <c r="P223" i="1" s="1"/>
  <c r="J223" i="1" a="1"/>
  <c r="J223" i="1" s="1"/>
  <c r="V223" i="1" s="1"/>
  <c r="K223" i="1" a="1"/>
  <c r="K223" i="1" s="1"/>
  <c r="R223" i="1" s="1"/>
  <c r="I224" i="1" a="1"/>
  <c r="I224" i="1" s="1"/>
  <c r="P224" i="1" s="1"/>
  <c r="J224" i="1" a="1"/>
  <c r="J224" i="1" s="1"/>
  <c r="K224" i="1" a="1"/>
  <c r="K224" i="1" s="1"/>
  <c r="R224" i="1" s="1"/>
  <c r="I225" i="1" a="1"/>
  <c r="I225" i="1" s="1"/>
  <c r="P225" i="1" s="1"/>
  <c r="J225" i="1" a="1"/>
  <c r="J225" i="1" s="1"/>
  <c r="K225" i="1" a="1"/>
  <c r="K225" i="1" s="1"/>
  <c r="R225" i="1" s="1"/>
  <c r="I226" i="1" a="1"/>
  <c r="I226" i="1" s="1"/>
  <c r="P226" i="1" s="1"/>
  <c r="J226" i="1" a="1"/>
  <c r="J226" i="1" s="1"/>
  <c r="K226" i="1" a="1"/>
  <c r="K226" i="1" s="1"/>
  <c r="R226" i="1" s="1"/>
  <c r="I227" i="1" a="1"/>
  <c r="I227" i="1" s="1"/>
  <c r="P227" i="1" s="1"/>
  <c r="J227" i="1" a="1"/>
  <c r="J227" i="1" s="1"/>
  <c r="K227" i="1" a="1"/>
  <c r="K227" i="1" s="1"/>
  <c r="R227" i="1" s="1"/>
  <c r="I228" i="1" a="1"/>
  <c r="I228" i="1" s="1"/>
  <c r="P228" i="1" s="1"/>
  <c r="J228" i="1" a="1"/>
  <c r="J228" i="1"/>
  <c r="K228" i="1" a="1"/>
  <c r="K228" i="1" s="1"/>
  <c r="R228" i="1" s="1"/>
  <c r="I229" i="1" a="1"/>
  <c r="I229" i="1" s="1"/>
  <c r="P229" i="1" s="1"/>
  <c r="U229" i="1" s="1"/>
  <c r="J229" i="1" a="1"/>
  <c r="J229" i="1" s="1"/>
  <c r="K229" i="1" a="1"/>
  <c r="K229" i="1" s="1"/>
  <c r="R229" i="1" s="1"/>
  <c r="I230" i="1" a="1"/>
  <c r="I230" i="1" s="1"/>
  <c r="P230" i="1" s="1"/>
  <c r="J230" i="1" a="1"/>
  <c r="J230" i="1" s="1"/>
  <c r="V230" i="1" s="1"/>
  <c r="K230" i="1" a="1"/>
  <c r="K230" i="1" s="1"/>
  <c r="R230" i="1" s="1"/>
  <c r="I231" i="1" a="1"/>
  <c r="I231" i="1" s="1"/>
  <c r="P231" i="1" s="1"/>
  <c r="J231" i="1" a="1"/>
  <c r="J231" i="1" s="1"/>
  <c r="K231" i="1" a="1"/>
  <c r="K231" i="1" s="1"/>
  <c r="R231" i="1" s="1"/>
  <c r="I232" i="1" a="1"/>
  <c r="I232" i="1" s="1"/>
  <c r="P232" i="1" s="1"/>
  <c r="J232" i="1" a="1"/>
  <c r="J232" i="1" s="1"/>
  <c r="K232" i="1" a="1"/>
  <c r="K232" i="1" s="1"/>
  <c r="R232" i="1" s="1"/>
  <c r="I233" i="1" a="1"/>
  <c r="I233" i="1" s="1"/>
  <c r="P233" i="1" s="1"/>
  <c r="J233" i="1" a="1"/>
  <c r="J233" i="1" s="1"/>
  <c r="K233" i="1" a="1"/>
  <c r="K233" i="1" s="1"/>
  <c r="R233" i="1" s="1"/>
  <c r="I234" i="1" a="1"/>
  <c r="I234" i="1" s="1"/>
  <c r="P234" i="1" s="1"/>
  <c r="J234" i="1" a="1"/>
  <c r="J234" i="1" s="1"/>
  <c r="K234" i="1" a="1"/>
  <c r="K234" i="1" s="1"/>
  <c r="R234" i="1" s="1"/>
  <c r="I235" i="1" a="1"/>
  <c r="I235" i="1" s="1"/>
  <c r="P235" i="1" s="1"/>
  <c r="J235" i="1" a="1"/>
  <c r="J235" i="1"/>
  <c r="K235" i="1" a="1"/>
  <c r="K235" i="1" s="1"/>
  <c r="R235" i="1" s="1"/>
  <c r="I236" i="1" a="1"/>
  <c r="I236" i="1" s="1"/>
  <c r="P236" i="1" s="1"/>
  <c r="J236" i="1" a="1"/>
  <c r="J236" i="1" s="1"/>
  <c r="K236" i="1" a="1"/>
  <c r="K236" i="1" s="1"/>
  <c r="R236" i="1" s="1"/>
  <c r="I237" i="1" a="1"/>
  <c r="I237" i="1" s="1"/>
  <c r="P237" i="1" s="1"/>
  <c r="U237" i="1" s="1"/>
  <c r="J237" i="1" a="1"/>
  <c r="J237" i="1" s="1"/>
  <c r="K237" i="1" a="1"/>
  <c r="K237" i="1" s="1"/>
  <c r="R237" i="1" s="1"/>
  <c r="I238" i="1" a="1"/>
  <c r="I238" i="1" s="1"/>
  <c r="P238" i="1" s="1"/>
  <c r="J238" i="1" a="1"/>
  <c r="J238" i="1" s="1"/>
  <c r="K238" i="1" a="1"/>
  <c r="K238" i="1" s="1"/>
  <c r="R238" i="1" s="1"/>
  <c r="I239" i="1" a="1"/>
  <c r="I239" i="1" s="1"/>
  <c r="P239" i="1" s="1"/>
  <c r="J239" i="1" a="1"/>
  <c r="J239" i="1" s="1"/>
  <c r="K239" i="1" a="1"/>
  <c r="K239" i="1" s="1"/>
  <c r="R239" i="1" s="1"/>
  <c r="I240" i="1" a="1"/>
  <c r="I240" i="1" s="1"/>
  <c r="P240" i="1" s="1"/>
  <c r="J240" i="1" a="1"/>
  <c r="J240" i="1" s="1"/>
  <c r="K240" i="1" a="1"/>
  <c r="K240" i="1" s="1"/>
  <c r="R240" i="1" s="1"/>
  <c r="I241" i="1" a="1"/>
  <c r="I241" i="1" s="1"/>
  <c r="P241" i="1" s="1"/>
  <c r="J241" i="1" a="1"/>
  <c r="J241" i="1" s="1"/>
  <c r="K241" i="1" a="1"/>
  <c r="K241" i="1" s="1"/>
  <c r="R241" i="1" s="1"/>
  <c r="I242" i="1" a="1"/>
  <c r="I242" i="1" s="1"/>
  <c r="P242" i="1" s="1"/>
  <c r="J242" i="1" a="1"/>
  <c r="J242" i="1" s="1"/>
  <c r="K242" i="1" a="1"/>
  <c r="K242" i="1" s="1"/>
  <c r="R242" i="1" s="1"/>
  <c r="I243" i="1" a="1"/>
  <c r="I243" i="1" s="1"/>
  <c r="P243" i="1" s="1"/>
  <c r="J243" i="1" a="1"/>
  <c r="J243" i="1" s="1"/>
  <c r="K243" i="1" a="1"/>
  <c r="K243" i="1" s="1"/>
  <c r="R243" i="1" s="1"/>
  <c r="I244" i="1" a="1"/>
  <c r="I244" i="1" s="1"/>
  <c r="P244" i="1" s="1"/>
  <c r="J244" i="1" a="1"/>
  <c r="J244" i="1" s="1"/>
  <c r="K244" i="1" a="1"/>
  <c r="K244" i="1" s="1"/>
  <c r="R244" i="1" s="1"/>
  <c r="I245" i="1" a="1"/>
  <c r="I245" i="1" s="1"/>
  <c r="P245" i="1" s="1"/>
  <c r="J245" i="1" a="1"/>
  <c r="J245" i="1" s="1"/>
  <c r="K245" i="1" a="1"/>
  <c r="K245" i="1" s="1"/>
  <c r="R245" i="1" s="1"/>
  <c r="I246" i="1" a="1"/>
  <c r="I246" i="1" s="1"/>
  <c r="P246" i="1" s="1"/>
  <c r="J246" i="1" a="1"/>
  <c r="J246" i="1" s="1"/>
  <c r="V246" i="1" s="1"/>
  <c r="K246" i="1" a="1"/>
  <c r="K246" i="1" s="1"/>
  <c r="R246" i="1" s="1"/>
  <c r="I247" i="1" a="1"/>
  <c r="I247" i="1" s="1"/>
  <c r="P247" i="1" s="1"/>
  <c r="J247" i="1" a="1"/>
  <c r="J247" i="1" s="1"/>
  <c r="K247" i="1" a="1"/>
  <c r="K247" i="1"/>
  <c r="R247" i="1" s="1"/>
  <c r="I248" i="1" a="1"/>
  <c r="I248" i="1" s="1"/>
  <c r="P248" i="1" s="1"/>
  <c r="J248" i="1" a="1"/>
  <c r="J248" i="1" s="1"/>
  <c r="K248" i="1" a="1"/>
  <c r="K248" i="1" s="1"/>
  <c r="R248" i="1" s="1"/>
  <c r="I249" i="1" a="1"/>
  <c r="I249" i="1" s="1"/>
  <c r="P249" i="1" s="1"/>
  <c r="J249" i="1" a="1"/>
  <c r="J249" i="1" s="1"/>
  <c r="K249" i="1" a="1"/>
  <c r="K249" i="1" s="1"/>
  <c r="R249" i="1" s="1"/>
  <c r="I250" i="1" a="1"/>
  <c r="I250" i="1" s="1"/>
  <c r="P250" i="1" s="1"/>
  <c r="J250" i="1" a="1"/>
  <c r="J250" i="1" s="1"/>
  <c r="K250" i="1" a="1"/>
  <c r="K250" i="1" s="1"/>
  <c r="R250" i="1" s="1"/>
  <c r="I251" i="1" a="1"/>
  <c r="I251" i="1"/>
  <c r="P251" i="1" s="1"/>
  <c r="J251" i="1" a="1"/>
  <c r="J251" i="1" s="1"/>
  <c r="K251" i="1" a="1"/>
  <c r="K251" i="1" s="1"/>
  <c r="R251" i="1" s="1"/>
  <c r="I252" i="1" a="1"/>
  <c r="I252" i="1" s="1"/>
  <c r="P252" i="1" s="1"/>
  <c r="J252" i="1" a="1"/>
  <c r="J252" i="1" s="1"/>
  <c r="V252" i="1" s="1"/>
  <c r="K252" i="1" a="1"/>
  <c r="K252" i="1" s="1"/>
  <c r="R252" i="1" s="1"/>
  <c r="I253" i="1" a="1"/>
  <c r="I253" i="1" s="1"/>
  <c r="P253" i="1" s="1"/>
  <c r="J253" i="1" a="1"/>
  <c r="J253" i="1" s="1"/>
  <c r="K253" i="1" a="1"/>
  <c r="K253" i="1" s="1"/>
  <c r="R253" i="1" s="1"/>
  <c r="I254" i="1" a="1"/>
  <c r="I254" i="1" s="1"/>
  <c r="P254" i="1" s="1"/>
  <c r="J254" i="1" a="1"/>
  <c r="J254" i="1" s="1"/>
  <c r="K254" i="1" a="1"/>
  <c r="K254" i="1" s="1"/>
  <c r="R254" i="1" s="1"/>
  <c r="I255" i="1" a="1"/>
  <c r="I255" i="1" s="1"/>
  <c r="P255" i="1" s="1"/>
  <c r="J255" i="1" a="1"/>
  <c r="J255" i="1" s="1"/>
  <c r="K255" i="1" a="1"/>
  <c r="K255" i="1" s="1"/>
  <c r="R255" i="1" s="1"/>
  <c r="I256" i="1" a="1"/>
  <c r="I256" i="1" s="1"/>
  <c r="P256" i="1" s="1"/>
  <c r="J256" i="1" a="1"/>
  <c r="J256" i="1" s="1"/>
  <c r="K256" i="1" a="1"/>
  <c r="K256" i="1" s="1"/>
  <c r="R256" i="1" s="1"/>
  <c r="I257" i="1" a="1"/>
  <c r="I257" i="1" s="1"/>
  <c r="P257" i="1" s="1"/>
  <c r="U257" i="1" s="1"/>
  <c r="J257" i="1" a="1"/>
  <c r="J257" i="1" s="1"/>
  <c r="K257" i="1" a="1"/>
  <c r="K257" i="1" s="1"/>
  <c r="R257" i="1" s="1"/>
  <c r="I258" i="1" a="1"/>
  <c r="I258" i="1" s="1"/>
  <c r="P258" i="1" s="1"/>
  <c r="J258" i="1" a="1"/>
  <c r="J258" i="1" s="1"/>
  <c r="K258" i="1" a="1"/>
  <c r="K258" i="1" s="1"/>
  <c r="R258" i="1" s="1"/>
  <c r="I259" i="1" a="1"/>
  <c r="I259" i="1" s="1"/>
  <c r="P259" i="1" s="1"/>
  <c r="J259" i="1" a="1"/>
  <c r="J259" i="1" s="1"/>
  <c r="K259" i="1" a="1"/>
  <c r="K259" i="1" s="1"/>
  <c r="R259" i="1" s="1"/>
  <c r="I260" i="1" a="1"/>
  <c r="I260" i="1" s="1"/>
  <c r="P260" i="1" s="1"/>
  <c r="J260" i="1" a="1"/>
  <c r="J260" i="1" s="1"/>
  <c r="K260" i="1" a="1"/>
  <c r="K260" i="1" s="1"/>
  <c r="R260" i="1" s="1"/>
  <c r="I261" i="1" a="1"/>
  <c r="I261" i="1" s="1"/>
  <c r="P261" i="1" s="1"/>
  <c r="J261" i="1" a="1"/>
  <c r="J261" i="1" s="1"/>
  <c r="K261" i="1" a="1"/>
  <c r="K261" i="1" s="1"/>
  <c r="R261" i="1" s="1"/>
  <c r="I262" i="1" a="1"/>
  <c r="I262" i="1" s="1"/>
  <c r="P262" i="1" s="1"/>
  <c r="J262" i="1" a="1"/>
  <c r="J262" i="1" s="1"/>
  <c r="K262" i="1" a="1"/>
  <c r="K262" i="1"/>
  <c r="R262" i="1" s="1"/>
  <c r="I263" i="1" a="1"/>
  <c r="I263" i="1" s="1"/>
  <c r="P263" i="1" s="1"/>
  <c r="J263" i="1" a="1"/>
  <c r="J263" i="1" s="1"/>
  <c r="K263" i="1" a="1"/>
  <c r="K263" i="1" s="1"/>
  <c r="R263" i="1" s="1"/>
  <c r="I264" i="1" a="1"/>
  <c r="I264" i="1" s="1"/>
  <c r="P264" i="1" s="1"/>
  <c r="U264" i="1" s="1"/>
  <c r="J264" i="1" a="1"/>
  <c r="J264" i="1" s="1"/>
  <c r="K264" i="1" a="1"/>
  <c r="K264" i="1" s="1"/>
  <c r="R264" i="1" s="1"/>
  <c r="I265" i="1" a="1"/>
  <c r="I265" i="1" s="1"/>
  <c r="P265" i="1" s="1"/>
  <c r="J265" i="1" a="1"/>
  <c r="J265" i="1" s="1"/>
  <c r="K265" i="1" a="1"/>
  <c r="K265" i="1" s="1"/>
  <c r="R265" i="1" s="1"/>
  <c r="I266" i="1" a="1"/>
  <c r="I266" i="1" s="1"/>
  <c r="P266" i="1" s="1"/>
  <c r="J266" i="1" a="1"/>
  <c r="J266" i="1"/>
  <c r="V266" i="1" s="1"/>
  <c r="K266" i="1" a="1"/>
  <c r="K266" i="1" s="1"/>
  <c r="R266" i="1" s="1"/>
  <c r="I267" i="1" a="1"/>
  <c r="I267" i="1" s="1"/>
  <c r="P267" i="1" s="1"/>
  <c r="J267" i="1" a="1"/>
  <c r="J267" i="1" s="1"/>
  <c r="K267" i="1" a="1"/>
  <c r="K267" i="1" s="1"/>
  <c r="R267" i="1" s="1"/>
  <c r="I268" i="1" a="1"/>
  <c r="I268" i="1" s="1"/>
  <c r="P268" i="1" s="1"/>
  <c r="J268" i="1" a="1"/>
  <c r="J268" i="1" s="1"/>
  <c r="K268" i="1" a="1"/>
  <c r="K268" i="1" s="1"/>
  <c r="R268" i="1" s="1"/>
  <c r="I269" i="1" a="1"/>
  <c r="I269" i="1" s="1"/>
  <c r="P269" i="1" s="1"/>
  <c r="J269" i="1" a="1"/>
  <c r="J269" i="1" s="1"/>
  <c r="K269" i="1" a="1"/>
  <c r="K269" i="1" s="1"/>
  <c r="R269" i="1" s="1"/>
  <c r="I270" i="1" a="1"/>
  <c r="I270" i="1" s="1"/>
  <c r="P270" i="1" s="1"/>
  <c r="J270" i="1" a="1"/>
  <c r="J270" i="1" s="1"/>
  <c r="K270" i="1" a="1"/>
  <c r="K270" i="1" s="1"/>
  <c r="R270" i="1" s="1"/>
  <c r="I271" i="1" a="1"/>
  <c r="I271" i="1" s="1"/>
  <c r="P271" i="1" s="1"/>
  <c r="J271" i="1" a="1"/>
  <c r="J271" i="1" s="1"/>
  <c r="V271" i="1" s="1"/>
  <c r="K271" i="1" a="1"/>
  <c r="K271" i="1" s="1"/>
  <c r="R271" i="1" s="1"/>
  <c r="I272" i="1" a="1"/>
  <c r="I272" i="1" s="1"/>
  <c r="P272" i="1" s="1"/>
  <c r="J272" i="1" a="1"/>
  <c r="J272" i="1" s="1"/>
  <c r="K272" i="1" a="1"/>
  <c r="K272" i="1" s="1"/>
  <c r="R272" i="1" s="1"/>
  <c r="I273" i="1" a="1"/>
  <c r="I273" i="1" s="1"/>
  <c r="P273" i="1" s="1"/>
  <c r="J273" i="1" a="1"/>
  <c r="J273" i="1" s="1"/>
  <c r="K273" i="1" a="1"/>
  <c r="K273" i="1" s="1"/>
  <c r="R273" i="1" s="1"/>
  <c r="I274" i="1" a="1"/>
  <c r="I274" i="1" s="1"/>
  <c r="P274" i="1" s="1"/>
  <c r="J274" i="1" a="1"/>
  <c r="J274" i="1" s="1"/>
  <c r="K274" i="1" a="1"/>
  <c r="K274" i="1" s="1"/>
  <c r="R274" i="1" s="1"/>
  <c r="I275" i="1" a="1"/>
  <c r="I275" i="1" s="1"/>
  <c r="P275" i="1" s="1"/>
  <c r="U275" i="1" s="1"/>
  <c r="J275" i="1" a="1"/>
  <c r="J275" i="1" s="1"/>
  <c r="K275" i="1" a="1"/>
  <c r="K275" i="1"/>
  <c r="R275" i="1" s="1"/>
  <c r="I276" i="1" a="1"/>
  <c r="I276" i="1" s="1"/>
  <c r="P276" i="1" s="1"/>
  <c r="U276" i="1" s="1"/>
  <c r="J276" i="1" a="1"/>
  <c r="J276" i="1" s="1"/>
  <c r="K276" i="1" a="1"/>
  <c r="K276" i="1" s="1"/>
  <c r="R276" i="1" s="1"/>
  <c r="I277" i="1" a="1"/>
  <c r="I277" i="1" s="1"/>
  <c r="P277" i="1" s="1"/>
  <c r="J277" i="1" a="1"/>
  <c r="J277" i="1" s="1"/>
  <c r="K277" i="1" a="1"/>
  <c r="K277" i="1" s="1"/>
  <c r="R277" i="1" s="1"/>
  <c r="I278" i="1" a="1"/>
  <c r="I278" i="1" s="1"/>
  <c r="P278" i="1" s="1"/>
  <c r="J278" i="1" a="1"/>
  <c r="J278" i="1"/>
  <c r="K278" i="1" a="1"/>
  <c r="K278" i="1" s="1"/>
  <c r="R278" i="1" s="1"/>
  <c r="I279" i="1" a="1"/>
  <c r="I279" i="1" s="1"/>
  <c r="P279" i="1" s="1"/>
  <c r="J279" i="1" a="1"/>
  <c r="J279" i="1" s="1"/>
  <c r="K279" i="1" a="1"/>
  <c r="K279" i="1" s="1"/>
  <c r="R279" i="1" s="1"/>
  <c r="I280" i="1" a="1"/>
  <c r="I280" i="1" s="1"/>
  <c r="P280" i="1" s="1"/>
  <c r="J280" i="1" a="1"/>
  <c r="J280" i="1" s="1"/>
  <c r="K280" i="1" a="1"/>
  <c r="K280" i="1" s="1"/>
  <c r="R280" i="1" s="1"/>
  <c r="I281" i="1" a="1"/>
  <c r="I281" i="1" s="1"/>
  <c r="P281" i="1" s="1"/>
  <c r="J281" i="1" a="1"/>
  <c r="J281" i="1" s="1"/>
  <c r="V281" i="1" s="1"/>
  <c r="K281" i="1" a="1"/>
  <c r="K281" i="1" s="1"/>
  <c r="R281" i="1" s="1"/>
  <c r="I282" i="1" a="1"/>
  <c r="I282" i="1" s="1"/>
  <c r="P282" i="1" s="1"/>
  <c r="J282" i="1" a="1"/>
  <c r="J282" i="1" s="1"/>
  <c r="K282" i="1" a="1"/>
  <c r="K282" i="1" s="1"/>
  <c r="R282" i="1" s="1"/>
  <c r="I283" i="1" a="1"/>
  <c r="I283" i="1" s="1"/>
  <c r="P283" i="1" s="1"/>
  <c r="J283" i="1" a="1"/>
  <c r="J283" i="1" s="1"/>
  <c r="K283" i="1" a="1"/>
  <c r="K283" i="1" s="1"/>
  <c r="R283" i="1" s="1"/>
  <c r="I284" i="1" a="1"/>
  <c r="I284" i="1" s="1"/>
  <c r="P284" i="1" s="1"/>
  <c r="J284" i="1" a="1"/>
  <c r="J284" i="1" s="1"/>
  <c r="K284" i="1" a="1"/>
  <c r="K284" i="1" s="1"/>
  <c r="R284" i="1" s="1"/>
  <c r="I285" i="1" a="1"/>
  <c r="I285" i="1" s="1"/>
  <c r="P285" i="1" s="1"/>
  <c r="J285" i="1" a="1"/>
  <c r="J285" i="1" s="1"/>
  <c r="V285" i="1" s="1"/>
  <c r="K285" i="1" a="1"/>
  <c r="K285" i="1" s="1"/>
  <c r="R285" i="1" s="1"/>
  <c r="I286" i="1" a="1"/>
  <c r="I286" i="1" s="1"/>
  <c r="P286" i="1" s="1"/>
  <c r="J286" i="1" a="1"/>
  <c r="J286" i="1" s="1"/>
  <c r="K286" i="1" a="1"/>
  <c r="K286" i="1" s="1"/>
  <c r="R286" i="1" s="1"/>
  <c r="I287" i="1" a="1"/>
  <c r="I287" i="1" s="1"/>
  <c r="P287" i="1" s="1"/>
  <c r="J287" i="1" a="1"/>
  <c r="J287" i="1" s="1"/>
  <c r="K287" i="1" a="1"/>
  <c r="K287" i="1" s="1"/>
  <c r="R287" i="1" s="1"/>
  <c r="I288" i="1" a="1"/>
  <c r="I288" i="1" s="1"/>
  <c r="P288" i="1" s="1"/>
  <c r="J288" i="1" a="1"/>
  <c r="J288" i="1" s="1"/>
  <c r="K288" i="1" a="1"/>
  <c r="K288" i="1" s="1"/>
  <c r="R288" i="1" s="1"/>
  <c r="I289" i="1" a="1"/>
  <c r="I289" i="1" s="1"/>
  <c r="P289" i="1" s="1"/>
  <c r="U289" i="1" s="1"/>
  <c r="J289" i="1" a="1"/>
  <c r="J289" i="1" s="1"/>
  <c r="K289" i="1" a="1"/>
  <c r="K289" i="1" s="1"/>
  <c r="R289" i="1" s="1"/>
  <c r="I290" i="1" a="1"/>
  <c r="I290" i="1" s="1"/>
  <c r="P290" i="1" s="1"/>
  <c r="J290" i="1" a="1"/>
  <c r="J290" i="1" s="1"/>
  <c r="K290" i="1" a="1"/>
  <c r="K290" i="1" s="1"/>
  <c r="R290" i="1" s="1"/>
  <c r="I291" i="1" a="1"/>
  <c r="I291" i="1" s="1"/>
  <c r="P291" i="1" s="1"/>
  <c r="J291" i="1" a="1"/>
  <c r="J291" i="1" s="1"/>
  <c r="K291" i="1" a="1"/>
  <c r="K291" i="1" s="1"/>
  <c r="R291" i="1" s="1"/>
  <c r="I292" i="1" a="1"/>
  <c r="I292" i="1" s="1"/>
  <c r="P292" i="1" s="1"/>
  <c r="J292" i="1" a="1"/>
  <c r="J292" i="1" s="1"/>
  <c r="K292" i="1" a="1"/>
  <c r="K292" i="1" s="1"/>
  <c r="R292" i="1" s="1"/>
  <c r="I293" i="1" a="1"/>
  <c r="I293" i="1" s="1"/>
  <c r="P293" i="1" s="1"/>
  <c r="U293" i="1" s="1"/>
  <c r="J293" i="1" a="1"/>
  <c r="J293" i="1" s="1"/>
  <c r="K293" i="1" a="1"/>
  <c r="K293" i="1" s="1"/>
  <c r="R293" i="1" s="1"/>
  <c r="I294" i="1" a="1"/>
  <c r="I294" i="1" s="1"/>
  <c r="P294" i="1" s="1"/>
  <c r="J294" i="1" a="1"/>
  <c r="J294" i="1" s="1"/>
  <c r="K294" i="1" a="1"/>
  <c r="K294" i="1" s="1"/>
  <c r="R294" i="1" s="1"/>
  <c r="I295" i="1" a="1"/>
  <c r="I295" i="1" s="1"/>
  <c r="P295" i="1" s="1"/>
  <c r="J295" i="1" a="1"/>
  <c r="J295" i="1" s="1"/>
  <c r="V295" i="1" s="1"/>
  <c r="K295" i="1" a="1"/>
  <c r="K295" i="1" s="1"/>
  <c r="R295" i="1" s="1"/>
  <c r="I296" i="1" a="1"/>
  <c r="I296" i="1" s="1"/>
  <c r="P296" i="1" s="1"/>
  <c r="J296" i="1" a="1"/>
  <c r="J296" i="1" s="1"/>
  <c r="K296" i="1" a="1"/>
  <c r="K296" i="1" s="1"/>
  <c r="R296" i="1" s="1"/>
  <c r="I297" i="1" a="1"/>
  <c r="I297" i="1" s="1"/>
  <c r="P297" i="1" s="1"/>
  <c r="J297" i="1" a="1"/>
  <c r="J297" i="1" s="1"/>
  <c r="K297" i="1" a="1"/>
  <c r="K297" i="1" s="1"/>
  <c r="R297" i="1" s="1"/>
  <c r="I298" i="1" a="1"/>
  <c r="I298" i="1" s="1"/>
  <c r="P298" i="1" s="1"/>
  <c r="J298" i="1" a="1"/>
  <c r="J298" i="1" s="1"/>
  <c r="K298" i="1" a="1"/>
  <c r="K298" i="1" s="1"/>
  <c r="R298" i="1" s="1"/>
  <c r="I299" i="1" a="1"/>
  <c r="I299" i="1" s="1"/>
  <c r="P299" i="1" s="1"/>
  <c r="J299" i="1" a="1"/>
  <c r="J299" i="1" s="1"/>
  <c r="K299" i="1" a="1"/>
  <c r="K299" i="1" s="1"/>
  <c r="R299" i="1" s="1"/>
  <c r="I300" i="1" a="1"/>
  <c r="I300" i="1" s="1"/>
  <c r="P300" i="1" s="1"/>
  <c r="J300" i="1" a="1"/>
  <c r="J300" i="1" s="1"/>
  <c r="K300" i="1" a="1"/>
  <c r="K300" i="1" s="1"/>
  <c r="R300" i="1" s="1"/>
  <c r="I301" i="1" a="1"/>
  <c r="I301" i="1" s="1"/>
  <c r="P301" i="1" s="1"/>
  <c r="J301" i="1" a="1"/>
  <c r="J301" i="1" s="1"/>
  <c r="K301" i="1" a="1"/>
  <c r="K301" i="1" s="1"/>
  <c r="R301" i="1" s="1"/>
  <c r="I302" i="1" a="1"/>
  <c r="I302" i="1" s="1"/>
  <c r="P302" i="1" s="1"/>
  <c r="J302" i="1" a="1"/>
  <c r="J302" i="1" s="1"/>
  <c r="K302" i="1" a="1"/>
  <c r="K302" i="1" s="1"/>
  <c r="R302" i="1" s="1"/>
  <c r="I303" i="1" a="1"/>
  <c r="I303" i="1" s="1"/>
  <c r="P303" i="1" s="1"/>
  <c r="J303" i="1" a="1"/>
  <c r="J303" i="1" s="1"/>
  <c r="K303" i="1" a="1"/>
  <c r="K303" i="1"/>
  <c r="R303" i="1" s="1"/>
  <c r="I304" i="1" a="1"/>
  <c r="I304" i="1" s="1"/>
  <c r="P304" i="1" s="1"/>
  <c r="U304" i="1" s="1"/>
  <c r="J304" i="1" a="1"/>
  <c r="J304" i="1" s="1"/>
  <c r="K304" i="1" a="1"/>
  <c r="K304" i="1" s="1"/>
  <c r="R304" i="1" s="1"/>
  <c r="I305" i="1" a="1"/>
  <c r="I305" i="1" s="1"/>
  <c r="P305" i="1" s="1"/>
  <c r="J305" i="1" a="1"/>
  <c r="J305" i="1" s="1"/>
  <c r="K305" i="1" a="1"/>
  <c r="K305" i="1" s="1"/>
  <c r="R305" i="1" s="1"/>
  <c r="I306" i="1" a="1"/>
  <c r="I306" i="1" s="1"/>
  <c r="P306" i="1" s="1"/>
  <c r="J306" i="1" a="1"/>
  <c r="J306" i="1" s="1"/>
  <c r="K306" i="1" a="1"/>
  <c r="K306" i="1" s="1"/>
  <c r="R306" i="1" s="1"/>
  <c r="I307" i="1" a="1"/>
  <c r="I307" i="1" s="1"/>
  <c r="P307" i="1" s="1"/>
  <c r="J307" i="1" a="1"/>
  <c r="J307" i="1" s="1"/>
  <c r="K307" i="1" a="1"/>
  <c r="K307" i="1" s="1"/>
  <c r="R307" i="1" s="1"/>
  <c r="I308" i="1" a="1"/>
  <c r="I308" i="1" s="1"/>
  <c r="P308" i="1" s="1"/>
  <c r="U308" i="1" s="1"/>
  <c r="J308" i="1" a="1"/>
  <c r="J308" i="1" s="1"/>
  <c r="K308" i="1" a="1"/>
  <c r="K308" i="1" s="1"/>
  <c r="R308" i="1" s="1"/>
  <c r="I309" i="1" a="1"/>
  <c r="I309" i="1" s="1"/>
  <c r="P309" i="1" s="1"/>
  <c r="J309" i="1" a="1"/>
  <c r="J309" i="1" s="1"/>
  <c r="K309" i="1" a="1"/>
  <c r="K309" i="1" s="1"/>
  <c r="R309" i="1" s="1"/>
  <c r="I310" i="1" a="1"/>
  <c r="I310" i="1" s="1"/>
  <c r="P310" i="1" s="1"/>
  <c r="J310" i="1" a="1"/>
  <c r="J310" i="1" s="1"/>
  <c r="K310" i="1" a="1"/>
  <c r="K310" i="1" s="1"/>
  <c r="R310" i="1" s="1"/>
  <c r="I311" i="1" a="1"/>
  <c r="I311" i="1" s="1"/>
  <c r="P311" i="1" s="1"/>
  <c r="J311" i="1" a="1"/>
  <c r="J311" i="1" s="1"/>
  <c r="K311" i="1" a="1"/>
  <c r="K311" i="1" s="1"/>
  <c r="R311" i="1" s="1"/>
  <c r="I312" i="1" a="1"/>
  <c r="I312" i="1" s="1"/>
  <c r="P312" i="1" s="1"/>
  <c r="J312" i="1" a="1"/>
  <c r="J312" i="1" s="1"/>
  <c r="K312" i="1" a="1"/>
  <c r="K312" i="1"/>
  <c r="R312" i="1" s="1"/>
  <c r="I313" i="1" a="1"/>
  <c r="I313" i="1" s="1"/>
  <c r="P313" i="1" s="1"/>
  <c r="J313" i="1" a="1"/>
  <c r="J313" i="1" s="1"/>
  <c r="K313" i="1" a="1"/>
  <c r="K313" i="1" s="1"/>
  <c r="R313" i="1" s="1"/>
  <c r="I314" i="1" a="1"/>
  <c r="I314" i="1" s="1"/>
  <c r="P314" i="1" s="1"/>
  <c r="J314" i="1" a="1"/>
  <c r="J314" i="1" s="1"/>
  <c r="K314" i="1" a="1"/>
  <c r="K314" i="1" s="1"/>
  <c r="R314" i="1" s="1"/>
  <c r="I315" i="1" a="1"/>
  <c r="I315" i="1" s="1"/>
  <c r="P315" i="1" s="1"/>
  <c r="J315" i="1" a="1"/>
  <c r="J315" i="1" s="1"/>
  <c r="K315" i="1" a="1"/>
  <c r="K315" i="1" s="1"/>
  <c r="R315" i="1" s="1"/>
  <c r="I316" i="1" a="1"/>
  <c r="I316" i="1" s="1"/>
  <c r="P316" i="1" s="1"/>
  <c r="J316" i="1" a="1"/>
  <c r="J316" i="1" s="1"/>
  <c r="K316" i="1" a="1"/>
  <c r="K316" i="1" s="1"/>
  <c r="R316" i="1" s="1"/>
  <c r="I317" i="1" a="1"/>
  <c r="I317" i="1" s="1"/>
  <c r="P317" i="1" s="1"/>
  <c r="J317" i="1" a="1"/>
  <c r="J317" i="1" s="1"/>
  <c r="K317" i="1" a="1"/>
  <c r="K317" i="1" s="1"/>
  <c r="R317" i="1" s="1"/>
  <c r="I318" i="1" a="1"/>
  <c r="I318" i="1" s="1"/>
  <c r="P318" i="1" s="1"/>
  <c r="J318" i="1" a="1"/>
  <c r="J318" i="1" s="1"/>
  <c r="K318" i="1" a="1"/>
  <c r="K318" i="1" s="1"/>
  <c r="R318" i="1" s="1"/>
  <c r="I319" i="1" a="1"/>
  <c r="I319" i="1" s="1"/>
  <c r="P319" i="1" s="1"/>
  <c r="U319" i="1" s="1"/>
  <c r="J319" i="1" a="1"/>
  <c r="J319" i="1" s="1"/>
  <c r="K319" i="1" a="1"/>
  <c r="K319" i="1" s="1"/>
  <c r="R319" i="1" s="1"/>
  <c r="I320" i="1" a="1"/>
  <c r="I320" i="1" s="1"/>
  <c r="P320" i="1" s="1"/>
  <c r="J320" i="1" a="1"/>
  <c r="J320" i="1" s="1"/>
  <c r="V320" i="1" s="1"/>
  <c r="K320" i="1" a="1"/>
  <c r="K320" i="1" s="1"/>
  <c r="R320" i="1" s="1"/>
  <c r="I321" i="1" a="1"/>
  <c r="I321" i="1" s="1"/>
  <c r="P321" i="1" s="1"/>
  <c r="J321" i="1" a="1"/>
  <c r="J321" i="1" s="1"/>
  <c r="K321" i="1" a="1"/>
  <c r="K321" i="1" s="1"/>
  <c r="R321" i="1" s="1"/>
  <c r="I322" i="1" a="1"/>
  <c r="I322" i="1"/>
  <c r="P322" i="1" s="1"/>
  <c r="J322" i="1" a="1"/>
  <c r="J322" i="1" s="1"/>
  <c r="K322" i="1" a="1"/>
  <c r="K322" i="1" s="1"/>
  <c r="R322" i="1" s="1"/>
  <c r="I323" i="1" a="1"/>
  <c r="I323" i="1" s="1"/>
  <c r="P323" i="1" s="1"/>
  <c r="J323" i="1" a="1"/>
  <c r="J323" i="1" s="1"/>
  <c r="K323" i="1" a="1"/>
  <c r="K323" i="1" s="1"/>
  <c r="R323" i="1" s="1"/>
  <c r="I324" i="1" a="1"/>
  <c r="I324" i="1" s="1"/>
  <c r="P324" i="1" s="1"/>
  <c r="U324" i="1" s="1"/>
  <c r="J324" i="1" a="1"/>
  <c r="J324" i="1" s="1"/>
  <c r="K324" i="1" a="1"/>
  <c r="K324" i="1" s="1"/>
  <c r="R324" i="1" s="1"/>
  <c r="I325" i="1" a="1"/>
  <c r="I325" i="1" s="1"/>
  <c r="P325" i="1" s="1"/>
  <c r="J325" i="1" a="1"/>
  <c r="J325" i="1" s="1"/>
  <c r="K325" i="1" a="1"/>
  <c r="K325" i="1" s="1"/>
  <c r="R325" i="1" s="1"/>
  <c r="I326" i="1" a="1"/>
  <c r="I326" i="1" s="1"/>
  <c r="P326" i="1" s="1"/>
  <c r="J326" i="1" a="1"/>
  <c r="J326" i="1" s="1"/>
  <c r="K326" i="1" a="1"/>
  <c r="K326" i="1"/>
  <c r="R326" i="1" s="1"/>
  <c r="I327" i="1" a="1"/>
  <c r="I327" i="1" s="1"/>
  <c r="P327" i="1" s="1"/>
  <c r="J327" i="1" a="1"/>
  <c r="J327" i="1" s="1"/>
  <c r="K327" i="1" a="1"/>
  <c r="K327" i="1" s="1"/>
  <c r="R327" i="1" s="1"/>
  <c r="I328" i="1" a="1"/>
  <c r="I328" i="1" s="1"/>
  <c r="P328" i="1" s="1"/>
  <c r="J328" i="1" a="1"/>
  <c r="J328" i="1" s="1"/>
  <c r="K328" i="1" a="1"/>
  <c r="K328" i="1" s="1"/>
  <c r="R328" i="1" s="1"/>
  <c r="I329" i="1" a="1"/>
  <c r="I329" i="1" s="1"/>
  <c r="P329" i="1" s="1"/>
  <c r="U329" i="1" s="1"/>
  <c r="J329" i="1" a="1"/>
  <c r="J329" i="1" s="1"/>
  <c r="K329" i="1" a="1"/>
  <c r="K329" i="1" s="1"/>
  <c r="R329" i="1" s="1"/>
  <c r="I330" i="1" a="1"/>
  <c r="I330" i="1" s="1"/>
  <c r="P330" i="1" s="1"/>
  <c r="J330" i="1" a="1"/>
  <c r="J330" i="1" s="1"/>
  <c r="K330" i="1" a="1"/>
  <c r="K330" i="1" s="1"/>
  <c r="R330" i="1" s="1"/>
  <c r="I331" i="1" a="1"/>
  <c r="I331" i="1" s="1"/>
  <c r="P331" i="1" s="1"/>
  <c r="J331" i="1" a="1"/>
  <c r="J331" i="1" s="1"/>
  <c r="K331" i="1" a="1"/>
  <c r="K331" i="1" s="1"/>
  <c r="R331" i="1" s="1"/>
  <c r="I332" i="1" a="1"/>
  <c r="I332" i="1" s="1"/>
  <c r="P332" i="1" s="1"/>
  <c r="J332" i="1" a="1"/>
  <c r="J332" i="1" s="1"/>
  <c r="K332" i="1" a="1"/>
  <c r="K332" i="1" s="1"/>
  <c r="R332" i="1" s="1"/>
  <c r="I333" i="1" a="1"/>
  <c r="I333" i="1" s="1"/>
  <c r="P333" i="1" s="1"/>
  <c r="J333" i="1" a="1"/>
  <c r="J333" i="1" s="1"/>
  <c r="K333" i="1" a="1"/>
  <c r="K333" i="1" s="1"/>
  <c r="R333" i="1" s="1"/>
  <c r="I334" i="1" a="1"/>
  <c r="I334" i="1" s="1"/>
  <c r="P334" i="1" s="1"/>
  <c r="J334" i="1" a="1"/>
  <c r="J334" i="1" s="1"/>
  <c r="K334" i="1" a="1"/>
  <c r="K334" i="1" s="1"/>
  <c r="R334" i="1" s="1"/>
  <c r="I335" i="1" a="1"/>
  <c r="I335" i="1" s="1"/>
  <c r="P335" i="1" s="1"/>
  <c r="J335" i="1" a="1"/>
  <c r="J335" i="1" s="1"/>
  <c r="K335" i="1" a="1"/>
  <c r="K335" i="1" s="1"/>
  <c r="R335" i="1" s="1"/>
  <c r="I336" i="1" a="1"/>
  <c r="I336" i="1" s="1"/>
  <c r="P336" i="1" s="1"/>
  <c r="J336" i="1" a="1"/>
  <c r="J336" i="1"/>
  <c r="V336" i="1" s="1"/>
  <c r="K336" i="1" a="1"/>
  <c r="K336" i="1"/>
  <c r="R336" i="1" s="1"/>
  <c r="I337" i="1" a="1"/>
  <c r="I337" i="1" s="1"/>
  <c r="P337" i="1" s="1"/>
  <c r="J337" i="1" a="1"/>
  <c r="J337" i="1" s="1"/>
  <c r="K337" i="1" a="1"/>
  <c r="K337" i="1" s="1"/>
  <c r="R337" i="1" s="1"/>
  <c r="I338" i="1" a="1"/>
  <c r="I338" i="1" s="1"/>
  <c r="P338" i="1" s="1"/>
  <c r="J338" i="1" a="1"/>
  <c r="J338" i="1" s="1"/>
  <c r="K338" i="1" a="1"/>
  <c r="K338" i="1" s="1"/>
  <c r="R338" i="1" s="1"/>
  <c r="I339" i="1" a="1"/>
  <c r="I339" i="1" s="1"/>
  <c r="P339" i="1" s="1"/>
  <c r="J339" i="1" a="1"/>
  <c r="J339" i="1" s="1"/>
  <c r="K339" i="1" a="1"/>
  <c r="K339" i="1" s="1"/>
  <c r="R339" i="1" s="1"/>
  <c r="I340" i="1" a="1"/>
  <c r="I340" i="1" s="1"/>
  <c r="P340" i="1" s="1"/>
  <c r="J340" i="1" a="1"/>
  <c r="J340" i="1" s="1"/>
  <c r="K340" i="1" a="1"/>
  <c r="K340" i="1" s="1"/>
  <c r="R340" i="1" s="1"/>
  <c r="I341" i="1" a="1"/>
  <c r="I341" i="1" s="1"/>
  <c r="P341" i="1" s="1"/>
  <c r="J341" i="1" a="1"/>
  <c r="J341" i="1" s="1"/>
  <c r="K341" i="1" a="1"/>
  <c r="K341" i="1" s="1"/>
  <c r="R341" i="1" s="1"/>
  <c r="I342" i="1" a="1"/>
  <c r="I342" i="1" s="1"/>
  <c r="P342" i="1" s="1"/>
  <c r="J342" i="1" a="1"/>
  <c r="J342" i="1" s="1"/>
  <c r="K342" i="1" a="1"/>
  <c r="K342" i="1" s="1"/>
  <c r="R342" i="1" s="1"/>
  <c r="I343" i="1" a="1"/>
  <c r="I343" i="1" s="1"/>
  <c r="P343" i="1" s="1"/>
  <c r="J343" i="1" a="1"/>
  <c r="J343" i="1" s="1"/>
  <c r="K343" i="1" a="1"/>
  <c r="K343" i="1" s="1"/>
  <c r="R343" i="1" s="1"/>
  <c r="I344" i="1" a="1"/>
  <c r="I344" i="1" s="1"/>
  <c r="P344" i="1" s="1"/>
  <c r="J344" i="1" a="1"/>
  <c r="J344" i="1" s="1"/>
  <c r="K344" i="1" a="1"/>
  <c r="K344" i="1" s="1"/>
  <c r="R344" i="1" s="1"/>
  <c r="I345" i="1" a="1"/>
  <c r="I345" i="1" s="1"/>
  <c r="P345" i="1" s="1"/>
  <c r="J345" i="1" a="1"/>
  <c r="J345" i="1" s="1"/>
  <c r="K345" i="1" a="1"/>
  <c r="K345" i="1" s="1"/>
  <c r="R345" i="1" s="1"/>
  <c r="I346" i="1" a="1"/>
  <c r="I346" i="1"/>
  <c r="P346" i="1" s="1"/>
  <c r="U346" i="1" s="1"/>
  <c r="J346" i="1" a="1"/>
  <c r="J346" i="1" s="1"/>
  <c r="K346" i="1" a="1"/>
  <c r="K346" i="1" s="1"/>
  <c r="R346" i="1" s="1"/>
  <c r="I347" i="1" a="1"/>
  <c r="I347" i="1" s="1"/>
  <c r="P347" i="1" s="1"/>
  <c r="J347" i="1" a="1"/>
  <c r="J347" i="1" s="1"/>
  <c r="K347" i="1" a="1"/>
  <c r="K347" i="1" s="1"/>
  <c r="R347" i="1" s="1"/>
  <c r="I348" i="1" a="1"/>
  <c r="I348" i="1" s="1"/>
  <c r="P348" i="1" s="1"/>
  <c r="J348" i="1" a="1"/>
  <c r="J348" i="1" s="1"/>
  <c r="K348" i="1" a="1"/>
  <c r="K348" i="1" s="1"/>
  <c r="R348" i="1" s="1"/>
  <c r="I349" i="1" a="1"/>
  <c r="I349" i="1" s="1"/>
  <c r="P349" i="1" s="1"/>
  <c r="J349" i="1" a="1"/>
  <c r="J349" i="1" s="1"/>
  <c r="K349" i="1" a="1"/>
  <c r="K349" i="1" s="1"/>
  <c r="R349" i="1" s="1"/>
  <c r="I350" i="1" a="1"/>
  <c r="I350" i="1" s="1"/>
  <c r="P350" i="1" s="1"/>
  <c r="J350" i="1" a="1"/>
  <c r="J350" i="1" s="1"/>
  <c r="K350" i="1" a="1"/>
  <c r="K350" i="1"/>
  <c r="R350" i="1" s="1"/>
  <c r="I351" i="1" a="1"/>
  <c r="I351" i="1" s="1"/>
  <c r="P351" i="1" s="1"/>
  <c r="J351" i="1" a="1"/>
  <c r="J351" i="1" s="1"/>
  <c r="K351" i="1" a="1"/>
  <c r="K351" i="1" s="1"/>
  <c r="R351" i="1" s="1"/>
  <c r="I352" i="1" a="1"/>
  <c r="I352" i="1"/>
  <c r="P352" i="1" s="1"/>
  <c r="J352" i="1" a="1"/>
  <c r="J352" i="1" s="1"/>
  <c r="K352" i="1" a="1"/>
  <c r="K352" i="1" s="1"/>
  <c r="R352" i="1" s="1"/>
  <c r="I353" i="1" a="1"/>
  <c r="I353" i="1" s="1"/>
  <c r="P353" i="1" s="1"/>
  <c r="J353" i="1" a="1"/>
  <c r="J353" i="1" s="1"/>
  <c r="K353" i="1" a="1"/>
  <c r="K353" i="1" s="1"/>
  <c r="R353" i="1" s="1"/>
  <c r="I354" i="1" a="1"/>
  <c r="I354" i="1" s="1"/>
  <c r="P354" i="1" s="1"/>
  <c r="J354" i="1" a="1"/>
  <c r="J354" i="1" s="1"/>
  <c r="K354" i="1" a="1"/>
  <c r="K354" i="1" s="1"/>
  <c r="R354" i="1" s="1"/>
  <c r="I355" i="1" a="1"/>
  <c r="I355" i="1" s="1"/>
  <c r="P355" i="1" s="1"/>
  <c r="J355" i="1" a="1"/>
  <c r="J355" i="1" s="1"/>
  <c r="K355" i="1" a="1"/>
  <c r="K355" i="1" s="1"/>
  <c r="R355" i="1" s="1"/>
  <c r="I356" i="1" a="1"/>
  <c r="I356" i="1" s="1"/>
  <c r="P356" i="1" s="1"/>
  <c r="U356" i="1" s="1"/>
  <c r="J356" i="1" a="1"/>
  <c r="J356" i="1" s="1"/>
  <c r="V356" i="1" s="1"/>
  <c r="K356" i="1" a="1"/>
  <c r="K356" i="1" s="1"/>
  <c r="R356" i="1" s="1"/>
  <c r="I357" i="1" a="1"/>
  <c r="I357" i="1" s="1"/>
  <c r="P357" i="1" s="1"/>
  <c r="J357" i="1" a="1"/>
  <c r="J357" i="1" s="1"/>
  <c r="V357" i="1" s="1"/>
  <c r="K357" i="1" a="1"/>
  <c r="K357" i="1" s="1"/>
  <c r="R357" i="1" s="1"/>
  <c r="I358" i="1" a="1"/>
  <c r="I358" i="1" s="1"/>
  <c r="P358" i="1" s="1"/>
  <c r="J358" i="1" a="1"/>
  <c r="J358" i="1" s="1"/>
  <c r="K358" i="1" a="1"/>
  <c r="K358" i="1" s="1"/>
  <c r="R358" i="1" s="1"/>
  <c r="I359" i="1" a="1"/>
  <c r="I359" i="1" s="1"/>
  <c r="P359" i="1" s="1"/>
  <c r="J359" i="1" a="1"/>
  <c r="J359" i="1" s="1"/>
  <c r="K359" i="1" a="1"/>
  <c r="K359" i="1" s="1"/>
  <c r="R359" i="1" s="1"/>
  <c r="I360" i="1" a="1"/>
  <c r="I360" i="1" s="1"/>
  <c r="P360" i="1" s="1"/>
  <c r="J360" i="1" a="1"/>
  <c r="J360" i="1" s="1"/>
  <c r="K360" i="1" a="1"/>
  <c r="K360" i="1" s="1"/>
  <c r="R360" i="1" s="1"/>
  <c r="I361" i="1" a="1"/>
  <c r="I361" i="1" s="1"/>
  <c r="P361" i="1" s="1"/>
  <c r="J361" i="1" a="1"/>
  <c r="J361" i="1" s="1"/>
  <c r="V361" i="1" s="1"/>
  <c r="K361" i="1" a="1"/>
  <c r="K361" i="1" s="1"/>
  <c r="R361" i="1" s="1"/>
  <c r="I362" i="1" a="1"/>
  <c r="I362" i="1" s="1"/>
  <c r="P362" i="1" s="1"/>
  <c r="J362" i="1" a="1"/>
  <c r="J362" i="1" s="1"/>
  <c r="K362" i="1" a="1"/>
  <c r="K362" i="1" s="1"/>
  <c r="R362" i="1" s="1"/>
  <c r="I363" i="1" a="1"/>
  <c r="I363" i="1" s="1"/>
  <c r="P363" i="1" s="1"/>
  <c r="J363" i="1" a="1"/>
  <c r="J363" i="1" s="1"/>
  <c r="K363" i="1" a="1"/>
  <c r="K363" i="1" s="1"/>
  <c r="R363" i="1" s="1"/>
  <c r="I364" i="1" a="1"/>
  <c r="I364" i="1" s="1"/>
  <c r="P364" i="1" s="1"/>
  <c r="J364" i="1" a="1"/>
  <c r="J364" i="1" s="1"/>
  <c r="K364" i="1" a="1"/>
  <c r="K364" i="1" s="1"/>
  <c r="R364" i="1" s="1"/>
  <c r="I365" i="1" a="1"/>
  <c r="I365" i="1" s="1"/>
  <c r="P365" i="1" s="1"/>
  <c r="J365" i="1" a="1"/>
  <c r="J365" i="1" s="1"/>
  <c r="K365" i="1" a="1"/>
  <c r="K365" i="1" s="1"/>
  <c r="R365" i="1" s="1"/>
  <c r="I366" i="1" a="1"/>
  <c r="I366" i="1" s="1"/>
  <c r="P366" i="1" s="1"/>
  <c r="J366" i="1" a="1"/>
  <c r="J366" i="1"/>
  <c r="K366" i="1" a="1"/>
  <c r="K366" i="1" s="1"/>
  <c r="R366" i="1" s="1"/>
  <c r="I367" i="1" a="1"/>
  <c r="I367" i="1" s="1"/>
  <c r="P367" i="1" s="1"/>
  <c r="J367" i="1" a="1"/>
  <c r="J367" i="1" s="1"/>
  <c r="K367" i="1" a="1"/>
  <c r="K367" i="1" s="1"/>
  <c r="R367" i="1" s="1"/>
  <c r="I368" i="1" a="1"/>
  <c r="I368" i="1" s="1"/>
  <c r="P368" i="1" s="1"/>
  <c r="J368" i="1" a="1"/>
  <c r="J368" i="1" s="1"/>
  <c r="K368" i="1" a="1"/>
  <c r="K368" i="1" s="1"/>
  <c r="R368" i="1" s="1"/>
  <c r="I369" i="1" a="1"/>
  <c r="I369" i="1" s="1"/>
  <c r="P369" i="1" s="1"/>
  <c r="U369" i="1" s="1"/>
  <c r="J369" i="1" a="1"/>
  <c r="J369" i="1" s="1"/>
  <c r="K369" i="1" a="1"/>
  <c r="K369" i="1" s="1"/>
  <c r="R369" i="1" s="1"/>
  <c r="I370" i="1" a="1"/>
  <c r="I370" i="1" s="1"/>
  <c r="P370" i="1" s="1"/>
  <c r="J370" i="1" a="1"/>
  <c r="J370" i="1" s="1"/>
  <c r="K370" i="1" a="1"/>
  <c r="K370" i="1" s="1"/>
  <c r="R370" i="1" s="1"/>
  <c r="I371" i="1" a="1"/>
  <c r="I371" i="1" s="1"/>
  <c r="P371" i="1" s="1"/>
  <c r="J371" i="1" a="1"/>
  <c r="J371" i="1" s="1"/>
  <c r="K371" i="1" a="1"/>
  <c r="K371" i="1" s="1"/>
  <c r="R371" i="1" s="1"/>
  <c r="I372" i="1" a="1"/>
  <c r="I372" i="1" s="1"/>
  <c r="P372" i="1" s="1"/>
  <c r="J372" i="1" a="1"/>
  <c r="J372" i="1" s="1"/>
  <c r="K372" i="1" a="1"/>
  <c r="K372" i="1" s="1"/>
  <c r="R372" i="1" s="1"/>
  <c r="I373" i="1" a="1"/>
  <c r="I373" i="1" s="1"/>
  <c r="P373" i="1" s="1"/>
  <c r="J373" i="1" a="1"/>
  <c r="J373" i="1" s="1"/>
  <c r="K373" i="1" a="1"/>
  <c r="K373" i="1" s="1"/>
  <c r="R373" i="1" s="1"/>
  <c r="I374" i="1" a="1"/>
  <c r="I374" i="1" s="1"/>
  <c r="P374" i="1" s="1"/>
  <c r="J374" i="1" a="1"/>
  <c r="J374" i="1" s="1"/>
  <c r="K374" i="1" a="1"/>
  <c r="K374" i="1" s="1"/>
  <c r="R374" i="1" s="1"/>
  <c r="I375" i="1" a="1"/>
  <c r="I375" i="1" s="1"/>
  <c r="P375" i="1" s="1"/>
  <c r="J375" i="1" a="1"/>
  <c r="J375" i="1" s="1"/>
  <c r="K375" i="1" a="1"/>
  <c r="K375" i="1" s="1"/>
  <c r="R375" i="1" s="1"/>
  <c r="I376" i="1" a="1"/>
  <c r="I376" i="1" s="1"/>
  <c r="P376" i="1" s="1"/>
  <c r="U376" i="1" s="1"/>
  <c r="J376" i="1" a="1"/>
  <c r="J376" i="1" s="1"/>
  <c r="K376" i="1" a="1"/>
  <c r="K376" i="1" s="1"/>
  <c r="R376" i="1" s="1"/>
  <c r="I377" i="1" a="1"/>
  <c r="I377" i="1" s="1"/>
  <c r="P377" i="1" s="1"/>
  <c r="J377" i="1" a="1"/>
  <c r="J377" i="1" s="1"/>
  <c r="K377" i="1" a="1"/>
  <c r="K377" i="1" s="1"/>
  <c r="R377" i="1" s="1"/>
  <c r="I378" i="1" a="1"/>
  <c r="I378" i="1" s="1"/>
  <c r="P378" i="1" s="1"/>
  <c r="J378" i="1" a="1"/>
  <c r="J378" i="1" s="1"/>
  <c r="K378" i="1" a="1"/>
  <c r="K378" i="1"/>
  <c r="R378" i="1" s="1"/>
  <c r="I379" i="1" a="1"/>
  <c r="I379" i="1" s="1"/>
  <c r="P379" i="1" s="1"/>
  <c r="J379" i="1" a="1"/>
  <c r="J379" i="1" s="1"/>
  <c r="K379" i="1" a="1"/>
  <c r="K379" i="1" s="1"/>
  <c r="R379" i="1" s="1"/>
  <c r="I380" i="1" a="1"/>
  <c r="I380" i="1" s="1"/>
  <c r="P380" i="1" s="1"/>
  <c r="J380" i="1" a="1"/>
  <c r="J380" i="1" s="1"/>
  <c r="K380" i="1" a="1"/>
  <c r="K380" i="1" s="1"/>
  <c r="R380" i="1" s="1"/>
  <c r="I381" i="1" a="1"/>
  <c r="I381" i="1" s="1"/>
  <c r="P381" i="1" s="1"/>
  <c r="J381" i="1" a="1"/>
  <c r="J381" i="1" s="1"/>
  <c r="K381" i="1" a="1"/>
  <c r="K381" i="1" s="1"/>
  <c r="R381" i="1" s="1"/>
  <c r="I382" i="1" a="1"/>
  <c r="I382" i="1" s="1"/>
  <c r="P382" i="1" s="1"/>
  <c r="J382" i="1" a="1"/>
  <c r="J382" i="1" s="1"/>
  <c r="K382" i="1" a="1"/>
  <c r="K382" i="1" s="1"/>
  <c r="R382" i="1" s="1"/>
  <c r="I383" i="1" a="1"/>
  <c r="I383" i="1" s="1"/>
  <c r="P383" i="1" s="1"/>
  <c r="J383" i="1" a="1"/>
  <c r="J383" i="1" s="1"/>
  <c r="K383" i="1" a="1"/>
  <c r="K383" i="1" s="1"/>
  <c r="R383" i="1" s="1"/>
  <c r="I384" i="1" a="1"/>
  <c r="I384" i="1" s="1"/>
  <c r="P384" i="1" s="1"/>
  <c r="J384" i="1" a="1"/>
  <c r="J384" i="1" s="1"/>
  <c r="K384" i="1" a="1"/>
  <c r="K384" i="1" s="1"/>
  <c r="R384" i="1" s="1"/>
  <c r="I385" i="1" a="1"/>
  <c r="I385" i="1" s="1"/>
  <c r="P385" i="1" s="1"/>
  <c r="J385" i="1" a="1"/>
  <c r="J385" i="1" s="1"/>
  <c r="K385" i="1" a="1"/>
  <c r="K385" i="1" s="1"/>
  <c r="R385" i="1" s="1"/>
  <c r="I386" i="1" a="1"/>
  <c r="I386" i="1" s="1"/>
  <c r="P386" i="1" s="1"/>
  <c r="J386" i="1" a="1"/>
  <c r="J386" i="1" s="1"/>
  <c r="K386" i="1" a="1"/>
  <c r="K386" i="1" s="1"/>
  <c r="R386" i="1" s="1"/>
  <c r="I387" i="1" a="1"/>
  <c r="I387" i="1" s="1"/>
  <c r="P387" i="1" s="1"/>
  <c r="J387" i="1" a="1"/>
  <c r="J387" i="1" s="1"/>
  <c r="K387" i="1" a="1"/>
  <c r="K387" i="1" s="1"/>
  <c r="R387" i="1" s="1"/>
  <c r="I388" i="1" a="1"/>
  <c r="I388" i="1" s="1"/>
  <c r="P388" i="1" s="1"/>
  <c r="J388" i="1" a="1"/>
  <c r="J388" i="1" s="1"/>
  <c r="K388" i="1" a="1"/>
  <c r="K388" i="1" s="1"/>
  <c r="R388" i="1" s="1"/>
  <c r="I389" i="1" a="1"/>
  <c r="I389" i="1" s="1"/>
  <c r="P389" i="1" s="1"/>
  <c r="J389" i="1" a="1"/>
  <c r="J389" i="1" s="1"/>
  <c r="K389" i="1" a="1"/>
  <c r="K389" i="1" s="1"/>
  <c r="R389" i="1" s="1"/>
  <c r="I390" i="1" a="1"/>
  <c r="I390" i="1"/>
  <c r="P390" i="1" s="1"/>
  <c r="J390" i="1" a="1"/>
  <c r="J390" i="1" s="1"/>
  <c r="V390" i="1" s="1"/>
  <c r="K390" i="1" a="1"/>
  <c r="K390" i="1" s="1"/>
  <c r="R390" i="1" s="1"/>
  <c r="I391" i="1" a="1"/>
  <c r="I391" i="1" s="1"/>
  <c r="P391" i="1" s="1"/>
  <c r="J391" i="1" a="1"/>
  <c r="J391" i="1" s="1"/>
  <c r="K391" i="1" a="1"/>
  <c r="K391" i="1" s="1"/>
  <c r="R391" i="1" s="1"/>
  <c r="I392" i="1" a="1"/>
  <c r="I392" i="1" s="1"/>
  <c r="P392" i="1" s="1"/>
  <c r="J392" i="1" a="1"/>
  <c r="J392" i="1" s="1"/>
  <c r="K392" i="1" a="1"/>
  <c r="K392" i="1" s="1"/>
  <c r="R392" i="1" s="1"/>
  <c r="I393" i="1" a="1"/>
  <c r="I393" i="1" s="1"/>
  <c r="P393" i="1" s="1"/>
  <c r="J393" i="1" a="1"/>
  <c r="J393" i="1" s="1"/>
  <c r="K393" i="1" a="1"/>
  <c r="K393" i="1" s="1"/>
  <c r="R393" i="1" s="1"/>
  <c r="I394" i="1" a="1"/>
  <c r="I394" i="1" s="1"/>
  <c r="P394" i="1" s="1"/>
  <c r="J394" i="1" a="1"/>
  <c r="J394" i="1" s="1"/>
  <c r="K394" i="1" a="1"/>
  <c r="K394" i="1" s="1"/>
  <c r="R394" i="1" s="1"/>
  <c r="I395" i="1" a="1"/>
  <c r="I395" i="1" s="1"/>
  <c r="P395" i="1" s="1"/>
  <c r="J395" i="1" a="1"/>
  <c r="J395" i="1" s="1"/>
  <c r="K395" i="1" a="1"/>
  <c r="K395" i="1" s="1"/>
  <c r="R395" i="1" s="1"/>
  <c r="I396" i="1" a="1"/>
  <c r="I396" i="1" s="1"/>
  <c r="P396" i="1" s="1"/>
  <c r="J396" i="1" a="1"/>
  <c r="J396" i="1" s="1"/>
  <c r="K396" i="1" a="1"/>
  <c r="K396" i="1" s="1"/>
  <c r="R396" i="1" s="1"/>
  <c r="I397" i="1" a="1"/>
  <c r="I397" i="1" s="1"/>
  <c r="P397" i="1" s="1"/>
  <c r="J397" i="1" a="1"/>
  <c r="J397" i="1" s="1"/>
  <c r="K397" i="1" a="1"/>
  <c r="K397" i="1" s="1"/>
  <c r="R397" i="1" s="1"/>
  <c r="I398" i="1" a="1"/>
  <c r="I398" i="1" s="1"/>
  <c r="P398" i="1" s="1"/>
  <c r="J398" i="1" a="1"/>
  <c r="J398" i="1" s="1"/>
  <c r="K398" i="1" a="1"/>
  <c r="K398" i="1" s="1"/>
  <c r="R398" i="1" s="1"/>
  <c r="I399" i="1" a="1"/>
  <c r="I399" i="1" s="1"/>
  <c r="P399" i="1" s="1"/>
  <c r="U399" i="1" s="1"/>
  <c r="J399" i="1" a="1"/>
  <c r="J399" i="1" s="1"/>
  <c r="K399" i="1" a="1"/>
  <c r="K399" i="1"/>
  <c r="R399" i="1" s="1"/>
  <c r="I400" i="1" a="1"/>
  <c r="I400" i="1" s="1"/>
  <c r="P400" i="1" s="1"/>
  <c r="J400" i="1" a="1"/>
  <c r="J400" i="1" s="1"/>
  <c r="K400" i="1" a="1"/>
  <c r="K400" i="1" s="1"/>
  <c r="R400" i="1" s="1"/>
  <c r="I401" i="1" a="1"/>
  <c r="I401" i="1" s="1"/>
  <c r="P401" i="1" s="1"/>
  <c r="J401" i="1" a="1"/>
  <c r="J401" i="1" s="1"/>
  <c r="K401" i="1" a="1"/>
  <c r="K401" i="1" s="1"/>
  <c r="R401" i="1" s="1"/>
  <c r="I402" i="1" a="1"/>
  <c r="I402" i="1" s="1"/>
  <c r="P402" i="1" s="1"/>
  <c r="J402" i="1" a="1"/>
  <c r="J402" i="1" s="1"/>
  <c r="K402" i="1" a="1"/>
  <c r="K402" i="1" s="1"/>
  <c r="R402" i="1" s="1"/>
  <c r="I403" i="1" a="1"/>
  <c r="I403" i="1" s="1"/>
  <c r="P403" i="1" s="1"/>
  <c r="J403" i="1" a="1"/>
  <c r="J403" i="1" s="1"/>
  <c r="K403" i="1" a="1"/>
  <c r="K403" i="1" s="1"/>
  <c r="R403" i="1" s="1"/>
  <c r="I404" i="1" a="1"/>
  <c r="I404" i="1" s="1"/>
  <c r="P404" i="1" s="1"/>
  <c r="J404" i="1" a="1"/>
  <c r="J404" i="1" s="1"/>
  <c r="K404" i="1" a="1"/>
  <c r="K404" i="1" s="1"/>
  <c r="R404" i="1" s="1"/>
  <c r="I405" i="1" a="1"/>
  <c r="I405" i="1" s="1"/>
  <c r="P405" i="1" s="1"/>
  <c r="J405" i="1" a="1"/>
  <c r="J405" i="1" s="1"/>
  <c r="K405" i="1" a="1"/>
  <c r="K405" i="1" s="1"/>
  <c r="R405" i="1" s="1"/>
  <c r="I406" i="1" a="1"/>
  <c r="I406" i="1" s="1"/>
  <c r="P406" i="1" s="1"/>
  <c r="J406" i="1" a="1"/>
  <c r="J406" i="1" s="1"/>
  <c r="K406" i="1" a="1"/>
  <c r="K406" i="1" s="1"/>
  <c r="R406" i="1" s="1"/>
  <c r="I407" i="1" a="1"/>
  <c r="I407" i="1"/>
  <c r="P407" i="1" s="1"/>
  <c r="J407" i="1" a="1"/>
  <c r="J407" i="1" s="1"/>
  <c r="V407" i="1" s="1"/>
  <c r="K407" i="1" a="1"/>
  <c r="K407" i="1" s="1"/>
  <c r="R407" i="1" s="1"/>
  <c r="I408" i="1" a="1"/>
  <c r="I408" i="1" s="1"/>
  <c r="P408" i="1" s="1"/>
  <c r="J408" i="1" a="1"/>
  <c r="J408" i="1" s="1"/>
  <c r="K408" i="1" a="1"/>
  <c r="K408" i="1" s="1"/>
  <c r="R408" i="1" s="1"/>
  <c r="I409" i="1" a="1"/>
  <c r="I409" i="1" s="1"/>
  <c r="P409" i="1" s="1"/>
  <c r="J409" i="1" a="1"/>
  <c r="J409" i="1" s="1"/>
  <c r="K409" i="1" a="1"/>
  <c r="K409" i="1" s="1"/>
  <c r="R409" i="1" s="1"/>
  <c r="I410" i="1" a="1"/>
  <c r="I410" i="1" s="1"/>
  <c r="P410" i="1" s="1"/>
  <c r="J410" i="1" a="1"/>
  <c r="J410" i="1" s="1"/>
  <c r="K410" i="1" a="1"/>
  <c r="K410" i="1" s="1"/>
  <c r="R410" i="1" s="1"/>
  <c r="I411" i="1" a="1"/>
  <c r="I411" i="1" s="1"/>
  <c r="P411" i="1" s="1"/>
  <c r="J411" i="1" a="1"/>
  <c r="J411" i="1" s="1"/>
  <c r="K411" i="1" a="1"/>
  <c r="K411" i="1" s="1"/>
  <c r="R411" i="1" s="1"/>
  <c r="I412" i="1" a="1"/>
  <c r="I412" i="1" s="1"/>
  <c r="P412" i="1" s="1"/>
  <c r="J412" i="1" a="1"/>
  <c r="J412" i="1"/>
  <c r="K412" i="1" a="1"/>
  <c r="K412" i="1" s="1"/>
  <c r="R412" i="1" s="1"/>
  <c r="I413" i="1" a="1"/>
  <c r="I413" i="1" s="1"/>
  <c r="P413" i="1" s="1"/>
  <c r="J413" i="1" a="1"/>
  <c r="J413" i="1" s="1"/>
  <c r="K413" i="1" a="1"/>
  <c r="K413" i="1" s="1"/>
  <c r="R413" i="1" s="1"/>
  <c r="I414" i="1" a="1"/>
  <c r="I414" i="1" s="1"/>
  <c r="P414" i="1" s="1"/>
  <c r="J414" i="1" a="1"/>
  <c r="J414" i="1" s="1"/>
  <c r="K414" i="1" a="1"/>
  <c r="K414" i="1" s="1"/>
  <c r="R414" i="1" s="1"/>
  <c r="I415" i="1" a="1"/>
  <c r="I415" i="1" s="1"/>
  <c r="P415" i="1" s="1"/>
  <c r="J415" i="1" a="1"/>
  <c r="J415" i="1" s="1"/>
  <c r="K415" i="1" a="1"/>
  <c r="K415" i="1" s="1"/>
  <c r="R415" i="1" s="1"/>
  <c r="I416" i="1" a="1"/>
  <c r="I416" i="1" s="1"/>
  <c r="P416" i="1" s="1"/>
  <c r="J416" i="1" a="1"/>
  <c r="J416" i="1" s="1"/>
  <c r="K416" i="1" a="1"/>
  <c r="K416" i="1" s="1"/>
  <c r="R416" i="1" s="1"/>
  <c r="I417" i="1" a="1"/>
  <c r="I417" i="1" s="1"/>
  <c r="P417" i="1" s="1"/>
  <c r="J417" i="1" a="1"/>
  <c r="J417" i="1" s="1"/>
  <c r="K417" i="1" a="1"/>
  <c r="K417" i="1" s="1"/>
  <c r="R417" i="1" s="1"/>
  <c r="I418" i="1" a="1"/>
  <c r="I418" i="1"/>
  <c r="P418" i="1" s="1"/>
  <c r="U418" i="1" s="1"/>
  <c r="J418" i="1" a="1"/>
  <c r="J418" i="1" s="1"/>
  <c r="K418" i="1" a="1"/>
  <c r="K418" i="1" s="1"/>
  <c r="R418" i="1" s="1"/>
  <c r="I419" i="1" a="1"/>
  <c r="I419" i="1"/>
  <c r="P419" i="1" s="1"/>
  <c r="J419" i="1" a="1"/>
  <c r="J419" i="1" s="1"/>
  <c r="K419" i="1" a="1"/>
  <c r="K419" i="1" s="1"/>
  <c r="R419" i="1" s="1"/>
  <c r="I420" i="1" a="1"/>
  <c r="I420" i="1" s="1"/>
  <c r="P420" i="1" s="1"/>
  <c r="J420" i="1" a="1"/>
  <c r="J420" i="1"/>
  <c r="V420" i="1" s="1"/>
  <c r="K420" i="1" a="1"/>
  <c r="K420" i="1" s="1"/>
  <c r="R420" i="1" s="1"/>
  <c r="I421" i="1" a="1"/>
  <c r="I421" i="1" s="1"/>
  <c r="P421" i="1" s="1"/>
  <c r="J421" i="1" a="1"/>
  <c r="J421" i="1" s="1"/>
  <c r="K421" i="1" a="1"/>
  <c r="K421" i="1" s="1"/>
  <c r="R421" i="1" s="1"/>
  <c r="I422" i="1" a="1"/>
  <c r="I422" i="1" s="1"/>
  <c r="P422" i="1" s="1"/>
  <c r="J422" i="1" a="1"/>
  <c r="J422" i="1" s="1"/>
  <c r="K422" i="1" a="1"/>
  <c r="K422" i="1" s="1"/>
  <c r="R422" i="1" s="1"/>
  <c r="I423" i="1" a="1"/>
  <c r="I423" i="1"/>
  <c r="P423" i="1" s="1"/>
  <c r="J423" i="1" a="1"/>
  <c r="J423" i="1" s="1"/>
  <c r="K423" i="1" a="1"/>
  <c r="K423" i="1" s="1"/>
  <c r="R423" i="1" s="1"/>
  <c r="I424" i="1" a="1"/>
  <c r="I424" i="1" s="1"/>
  <c r="P424" i="1" s="1"/>
  <c r="U424" i="1" s="1"/>
  <c r="J424" i="1" a="1"/>
  <c r="J424" i="1" s="1"/>
  <c r="K424" i="1" a="1"/>
  <c r="K424" i="1"/>
  <c r="R424" i="1" s="1"/>
  <c r="I425" i="1" a="1"/>
  <c r="I425" i="1" s="1"/>
  <c r="P425" i="1" s="1"/>
  <c r="J425" i="1" a="1"/>
  <c r="J425" i="1" s="1"/>
  <c r="K425" i="1" a="1"/>
  <c r="K425" i="1" s="1"/>
  <c r="R425" i="1" s="1"/>
  <c r="I426" i="1" a="1"/>
  <c r="I426" i="1"/>
  <c r="P426" i="1" s="1"/>
  <c r="J426" i="1" a="1"/>
  <c r="J426" i="1" s="1"/>
  <c r="K426" i="1" a="1"/>
  <c r="K426" i="1" s="1"/>
  <c r="R426" i="1" s="1"/>
  <c r="I427" i="1" a="1"/>
  <c r="I427" i="1" s="1"/>
  <c r="P427" i="1" s="1"/>
  <c r="J427" i="1" a="1"/>
  <c r="J427" i="1" s="1"/>
  <c r="V427" i="1" s="1"/>
  <c r="K427" i="1" a="1"/>
  <c r="K427" i="1" s="1"/>
  <c r="R427" i="1" s="1"/>
  <c r="I428" i="1" a="1"/>
  <c r="I428" i="1" s="1"/>
  <c r="P428" i="1" s="1"/>
  <c r="J428" i="1" a="1"/>
  <c r="J428" i="1" s="1"/>
  <c r="K428" i="1" a="1"/>
  <c r="K428" i="1" s="1"/>
  <c r="R428" i="1" s="1"/>
  <c r="I429" i="1" a="1"/>
  <c r="I429" i="1" s="1"/>
  <c r="P429" i="1" s="1"/>
  <c r="J429" i="1" a="1"/>
  <c r="J429" i="1" s="1"/>
  <c r="K429" i="1" a="1"/>
  <c r="K429" i="1" s="1"/>
  <c r="R429" i="1" s="1"/>
  <c r="I430" i="1" a="1"/>
  <c r="I430" i="1" s="1"/>
  <c r="P430" i="1" s="1"/>
  <c r="J430" i="1" a="1"/>
  <c r="J430" i="1" s="1"/>
  <c r="V430" i="1" s="1"/>
  <c r="K430" i="1" a="1"/>
  <c r="K430" i="1"/>
  <c r="R430" i="1" s="1"/>
  <c r="I431" i="1" a="1"/>
  <c r="I431" i="1" s="1"/>
  <c r="P431" i="1" s="1"/>
  <c r="U431" i="1" s="1"/>
  <c r="J431" i="1" a="1"/>
  <c r="J431" i="1" s="1"/>
  <c r="K431" i="1" a="1"/>
  <c r="K431" i="1" s="1"/>
  <c r="R431" i="1" s="1"/>
  <c r="I432" i="1" a="1"/>
  <c r="I432" i="1" s="1"/>
  <c r="P432" i="1" s="1"/>
  <c r="J432" i="1" a="1"/>
  <c r="J432" i="1" s="1"/>
  <c r="K432" i="1" a="1"/>
  <c r="K432" i="1" s="1"/>
  <c r="R432" i="1" s="1"/>
  <c r="I433" i="1" a="1"/>
  <c r="I433" i="1" s="1"/>
  <c r="P433" i="1" s="1"/>
  <c r="J433" i="1" a="1"/>
  <c r="J433" i="1"/>
  <c r="V433" i="1" s="1"/>
  <c r="K433" i="1" a="1"/>
  <c r="K433" i="1" s="1"/>
  <c r="R433" i="1" s="1"/>
  <c r="I434" i="1" a="1"/>
  <c r="I434" i="1"/>
  <c r="P434" i="1" s="1"/>
  <c r="J434" i="1" a="1"/>
  <c r="J434" i="1" s="1"/>
  <c r="K434" i="1" a="1"/>
  <c r="K434" i="1" s="1"/>
  <c r="R434" i="1" s="1"/>
  <c r="I435" i="1" a="1"/>
  <c r="I435" i="1"/>
  <c r="P435" i="1" s="1"/>
  <c r="J435" i="1" a="1"/>
  <c r="J435" i="1"/>
  <c r="K435" i="1" a="1"/>
  <c r="K435" i="1" s="1"/>
  <c r="R435" i="1" s="1"/>
  <c r="I436" i="1" a="1"/>
  <c r="I436" i="1" s="1"/>
  <c r="P436" i="1" s="1"/>
  <c r="J436" i="1" a="1"/>
  <c r="J436" i="1" s="1"/>
  <c r="K436" i="1" a="1"/>
  <c r="K436" i="1" s="1"/>
  <c r="R436" i="1" s="1"/>
  <c r="I437" i="1" a="1"/>
  <c r="I437" i="1" s="1"/>
  <c r="P437" i="1" s="1"/>
  <c r="J437" i="1" a="1"/>
  <c r="J437" i="1" s="1"/>
  <c r="K437" i="1" a="1"/>
  <c r="K437" i="1" s="1"/>
  <c r="R437" i="1" s="1"/>
  <c r="I438" i="1" a="1"/>
  <c r="I438" i="1" s="1"/>
  <c r="P438" i="1" s="1"/>
  <c r="J438" i="1" a="1"/>
  <c r="J438" i="1" s="1"/>
  <c r="K438" i="1" a="1"/>
  <c r="K438" i="1" s="1"/>
  <c r="R438" i="1" s="1"/>
  <c r="I439" i="1" a="1"/>
  <c r="I439" i="1"/>
  <c r="P439" i="1" s="1"/>
  <c r="J439" i="1" a="1"/>
  <c r="J439" i="1"/>
  <c r="K439" i="1" a="1"/>
  <c r="K439" i="1" s="1"/>
  <c r="R439" i="1" s="1"/>
  <c r="I440" i="1" a="1"/>
  <c r="I440" i="1" s="1"/>
  <c r="P440" i="1" s="1"/>
  <c r="J440" i="1" a="1"/>
  <c r="J440" i="1" s="1"/>
  <c r="K440" i="1" a="1"/>
  <c r="K440" i="1" s="1"/>
  <c r="R440" i="1" s="1"/>
  <c r="I441" i="1" a="1"/>
  <c r="I441" i="1" s="1"/>
  <c r="P441" i="1" s="1"/>
  <c r="J441" i="1" a="1"/>
  <c r="J441" i="1" s="1"/>
  <c r="K441" i="1" a="1"/>
  <c r="K441" i="1" s="1"/>
  <c r="R441" i="1" s="1"/>
  <c r="I442" i="1" a="1"/>
  <c r="I442" i="1" s="1"/>
  <c r="P442" i="1" s="1"/>
  <c r="J442" i="1" a="1"/>
  <c r="J442" i="1" s="1"/>
  <c r="K442" i="1" a="1"/>
  <c r="K442" i="1" s="1"/>
  <c r="R442" i="1" s="1"/>
  <c r="I443" i="1" a="1"/>
  <c r="I443" i="1"/>
  <c r="P443" i="1" s="1"/>
  <c r="J443" i="1" a="1"/>
  <c r="J443" i="1" s="1"/>
  <c r="K443" i="1" a="1"/>
  <c r="K443" i="1" s="1"/>
  <c r="R443" i="1" s="1"/>
  <c r="I444" i="1" a="1"/>
  <c r="I444" i="1" s="1"/>
  <c r="P444" i="1" s="1"/>
  <c r="J444" i="1" a="1"/>
  <c r="J444" i="1" s="1"/>
  <c r="K444" i="1" a="1"/>
  <c r="K444" i="1" s="1"/>
  <c r="R444" i="1" s="1"/>
  <c r="I445" i="1" a="1"/>
  <c r="I445" i="1" s="1"/>
  <c r="P445" i="1" s="1"/>
  <c r="J445" i="1" a="1"/>
  <c r="J445" i="1" s="1"/>
  <c r="K445" i="1" a="1"/>
  <c r="K445" i="1" s="1"/>
  <c r="R445" i="1" s="1"/>
  <c r="I446" i="1" a="1"/>
  <c r="I446" i="1"/>
  <c r="P446" i="1" s="1"/>
  <c r="J446" i="1" a="1"/>
  <c r="J446" i="1" s="1"/>
  <c r="K446" i="1" a="1"/>
  <c r="K446" i="1" s="1"/>
  <c r="R446" i="1" s="1"/>
  <c r="I447" i="1" a="1"/>
  <c r="I447" i="1" s="1"/>
  <c r="P447" i="1" s="1"/>
  <c r="J447" i="1" a="1"/>
  <c r="J447" i="1" s="1"/>
  <c r="K447" i="1" a="1"/>
  <c r="K447" i="1" s="1"/>
  <c r="R447" i="1" s="1"/>
  <c r="I448" i="1" a="1"/>
  <c r="I448" i="1" s="1"/>
  <c r="P448" i="1" s="1"/>
  <c r="J448" i="1" a="1"/>
  <c r="J448" i="1" s="1"/>
  <c r="K448" i="1" a="1"/>
  <c r="K448" i="1" s="1"/>
  <c r="R448" i="1" s="1"/>
  <c r="I449" i="1" a="1"/>
  <c r="I449" i="1" s="1"/>
  <c r="P449" i="1" s="1"/>
  <c r="J449" i="1" a="1"/>
  <c r="J449" i="1" s="1"/>
  <c r="K449" i="1" a="1"/>
  <c r="K449" i="1" s="1"/>
  <c r="R449" i="1" s="1"/>
  <c r="I450" i="1" a="1"/>
  <c r="I450" i="1" s="1"/>
  <c r="P450" i="1" s="1"/>
  <c r="J450" i="1" a="1"/>
  <c r="J450" i="1" s="1"/>
  <c r="K450" i="1" a="1"/>
  <c r="K450" i="1" s="1"/>
  <c r="R450" i="1" s="1"/>
  <c r="I451" i="1" a="1"/>
  <c r="I451" i="1" s="1"/>
  <c r="P451" i="1" s="1"/>
  <c r="J451" i="1" a="1"/>
  <c r="J451" i="1" s="1"/>
  <c r="K451" i="1" a="1"/>
  <c r="K451" i="1" s="1"/>
  <c r="R451" i="1" s="1"/>
  <c r="I452" i="1" a="1"/>
  <c r="I452" i="1" s="1"/>
  <c r="P452" i="1" s="1"/>
  <c r="U452" i="1" s="1"/>
  <c r="J452" i="1" a="1"/>
  <c r="J452" i="1" s="1"/>
  <c r="K452" i="1" a="1"/>
  <c r="K452" i="1" s="1"/>
  <c r="R452" i="1" s="1"/>
  <c r="I453" i="1" a="1"/>
  <c r="I453" i="1" s="1"/>
  <c r="P453" i="1" s="1"/>
  <c r="J453" i="1" a="1"/>
  <c r="J453" i="1" s="1"/>
  <c r="K453" i="1" a="1"/>
  <c r="K453" i="1" s="1"/>
  <c r="R453" i="1" s="1"/>
  <c r="I454" i="1" a="1"/>
  <c r="I454" i="1" s="1"/>
  <c r="P454" i="1" s="1"/>
  <c r="U454" i="1" s="1"/>
  <c r="J454" i="1" a="1"/>
  <c r="J454" i="1" s="1"/>
  <c r="K454" i="1" a="1"/>
  <c r="K454" i="1" s="1"/>
  <c r="R454" i="1" s="1"/>
  <c r="I455" i="1" a="1"/>
  <c r="I455" i="1" s="1"/>
  <c r="P455" i="1" s="1"/>
  <c r="J455" i="1" a="1"/>
  <c r="J455" i="1" s="1"/>
  <c r="K455" i="1" a="1"/>
  <c r="K455" i="1" s="1"/>
  <c r="R455" i="1" s="1"/>
  <c r="I456" i="1" a="1"/>
  <c r="I456" i="1" s="1"/>
  <c r="P456" i="1" s="1"/>
  <c r="J456" i="1" a="1"/>
  <c r="J456" i="1" s="1"/>
  <c r="K456" i="1" a="1"/>
  <c r="K456" i="1" s="1"/>
  <c r="R456" i="1" s="1"/>
  <c r="I457" i="1" a="1"/>
  <c r="I457" i="1" s="1"/>
  <c r="P457" i="1" s="1"/>
  <c r="J457" i="1" a="1"/>
  <c r="J457" i="1" s="1"/>
  <c r="K457" i="1" a="1"/>
  <c r="K457" i="1" s="1"/>
  <c r="R457" i="1" s="1"/>
  <c r="I458" i="1" a="1"/>
  <c r="I458" i="1" s="1"/>
  <c r="P458" i="1" s="1"/>
  <c r="J458" i="1" a="1"/>
  <c r="J458" i="1" s="1"/>
  <c r="K458" i="1" a="1"/>
  <c r="K458" i="1" s="1"/>
  <c r="R458" i="1" s="1"/>
  <c r="I459" i="1" a="1"/>
  <c r="I459" i="1" s="1"/>
  <c r="P459" i="1" s="1"/>
  <c r="U459" i="1" s="1"/>
  <c r="J459" i="1" a="1"/>
  <c r="J459" i="1" s="1"/>
  <c r="K459" i="1" a="1"/>
  <c r="K459" i="1" s="1"/>
  <c r="R459" i="1" s="1"/>
  <c r="I460" i="1" a="1"/>
  <c r="I460" i="1" s="1"/>
  <c r="P460" i="1" s="1"/>
  <c r="J460" i="1" a="1"/>
  <c r="J460" i="1" s="1"/>
  <c r="K460" i="1" a="1"/>
  <c r="K460" i="1" s="1"/>
  <c r="R460" i="1" s="1"/>
  <c r="I461" i="1" a="1"/>
  <c r="I461" i="1" s="1"/>
  <c r="P461" i="1" s="1"/>
  <c r="J461" i="1" a="1"/>
  <c r="J461" i="1" s="1"/>
  <c r="K461" i="1" a="1"/>
  <c r="K461" i="1" s="1"/>
  <c r="R461" i="1" s="1"/>
  <c r="I462" i="1" a="1"/>
  <c r="I462" i="1" s="1"/>
  <c r="P462" i="1" s="1"/>
  <c r="J462" i="1" a="1"/>
  <c r="J462" i="1" s="1"/>
  <c r="K462" i="1" a="1"/>
  <c r="K462" i="1" s="1"/>
  <c r="R462" i="1" s="1"/>
  <c r="I463" i="1" a="1"/>
  <c r="I463" i="1" s="1"/>
  <c r="P463" i="1" s="1"/>
  <c r="J463" i="1" a="1"/>
  <c r="J463" i="1" s="1"/>
  <c r="K463" i="1" a="1"/>
  <c r="K463" i="1" s="1"/>
  <c r="R463" i="1" s="1"/>
  <c r="I464" i="1" a="1"/>
  <c r="I464" i="1"/>
  <c r="P464" i="1" s="1"/>
  <c r="J464" i="1" a="1"/>
  <c r="J464" i="1" s="1"/>
  <c r="K464" i="1" a="1"/>
  <c r="K464" i="1" s="1"/>
  <c r="R464" i="1" s="1"/>
  <c r="I465" i="1" a="1"/>
  <c r="I465" i="1" s="1"/>
  <c r="P465" i="1" s="1"/>
  <c r="J465" i="1" a="1"/>
  <c r="J465" i="1" s="1"/>
  <c r="K465" i="1" a="1"/>
  <c r="K465" i="1" s="1"/>
  <c r="R465" i="1" s="1"/>
  <c r="I466" i="1" a="1"/>
  <c r="I466" i="1" s="1"/>
  <c r="P466" i="1" s="1"/>
  <c r="J466" i="1" a="1"/>
  <c r="J466" i="1" s="1"/>
  <c r="K466" i="1" a="1"/>
  <c r="K466" i="1" s="1"/>
  <c r="R466" i="1" s="1"/>
  <c r="I467" i="1" a="1"/>
  <c r="I467" i="1" s="1"/>
  <c r="P467" i="1" s="1"/>
  <c r="U467" i="1" s="1"/>
  <c r="J467" i="1" a="1"/>
  <c r="J467" i="1" s="1"/>
  <c r="K467" i="1" a="1"/>
  <c r="K467" i="1" s="1"/>
  <c r="R467" i="1" s="1"/>
  <c r="I468" i="1" a="1"/>
  <c r="I468" i="1" s="1"/>
  <c r="P468" i="1" s="1"/>
  <c r="J468" i="1" a="1"/>
  <c r="J468" i="1" s="1"/>
  <c r="K468" i="1" a="1"/>
  <c r="K468" i="1" s="1"/>
  <c r="R468" i="1" s="1"/>
  <c r="I469" i="1" a="1"/>
  <c r="I469" i="1" s="1"/>
  <c r="P469" i="1" s="1"/>
  <c r="J469" i="1" a="1"/>
  <c r="J469" i="1" s="1"/>
  <c r="K469" i="1" a="1"/>
  <c r="K469" i="1" s="1"/>
  <c r="R469" i="1" s="1"/>
  <c r="I470" i="1" a="1"/>
  <c r="I470" i="1" s="1"/>
  <c r="P470" i="1" s="1"/>
  <c r="J470" i="1" a="1"/>
  <c r="J470" i="1" s="1"/>
  <c r="K470" i="1" a="1"/>
  <c r="K470" i="1" s="1"/>
  <c r="R470" i="1" s="1"/>
  <c r="I471" i="1" a="1"/>
  <c r="I471" i="1" s="1"/>
  <c r="P471" i="1" s="1"/>
  <c r="J471" i="1" a="1"/>
  <c r="J471" i="1" s="1"/>
  <c r="K471" i="1" a="1"/>
  <c r="K471" i="1" s="1"/>
  <c r="R471" i="1" s="1"/>
  <c r="I472" i="1" a="1"/>
  <c r="I472" i="1" s="1"/>
  <c r="P472" i="1" s="1"/>
  <c r="J472" i="1" a="1"/>
  <c r="J472" i="1" s="1"/>
  <c r="K472" i="1" a="1"/>
  <c r="K472" i="1" s="1"/>
  <c r="R472" i="1" s="1"/>
  <c r="I473" i="1" a="1"/>
  <c r="I473" i="1" s="1"/>
  <c r="P473" i="1" s="1"/>
  <c r="J473" i="1" a="1"/>
  <c r="J473" i="1" s="1"/>
  <c r="K473" i="1" a="1"/>
  <c r="K473" i="1" s="1"/>
  <c r="R473" i="1" s="1"/>
  <c r="I474" i="1" a="1"/>
  <c r="I474" i="1" s="1"/>
  <c r="P474" i="1" s="1"/>
  <c r="J474" i="1" a="1"/>
  <c r="J474" i="1" s="1"/>
  <c r="K474" i="1" a="1"/>
  <c r="K474" i="1" s="1"/>
  <c r="R474" i="1" s="1"/>
  <c r="I475" i="1" a="1"/>
  <c r="I475" i="1" s="1"/>
  <c r="P475" i="1" s="1"/>
  <c r="J475" i="1" a="1"/>
  <c r="J475" i="1" s="1"/>
  <c r="K475" i="1" a="1"/>
  <c r="K475" i="1" s="1"/>
  <c r="R475" i="1" s="1"/>
  <c r="I476" i="1" a="1"/>
  <c r="I476" i="1" s="1"/>
  <c r="P476" i="1" s="1"/>
  <c r="J476" i="1" a="1"/>
  <c r="J476" i="1" s="1"/>
  <c r="K476" i="1" a="1"/>
  <c r="K476" i="1" s="1"/>
  <c r="R476" i="1" s="1"/>
  <c r="I477" i="1" a="1"/>
  <c r="I477" i="1" s="1"/>
  <c r="P477" i="1" s="1"/>
  <c r="J477" i="1" a="1"/>
  <c r="J477" i="1" s="1"/>
  <c r="K477" i="1" a="1"/>
  <c r="K477" i="1" s="1"/>
  <c r="R477" i="1" s="1"/>
  <c r="I478" i="1" a="1"/>
  <c r="I478" i="1" s="1"/>
  <c r="P478" i="1" s="1"/>
  <c r="J478" i="1" a="1"/>
  <c r="J478" i="1" s="1"/>
  <c r="K478" i="1" a="1"/>
  <c r="K478" i="1" s="1"/>
  <c r="R478" i="1" s="1"/>
  <c r="I479" i="1" a="1"/>
  <c r="I479" i="1" s="1"/>
  <c r="P479" i="1" s="1"/>
  <c r="J479" i="1" a="1"/>
  <c r="J479" i="1" s="1"/>
  <c r="K479" i="1" a="1"/>
  <c r="K479" i="1" s="1"/>
  <c r="R479" i="1" s="1"/>
  <c r="I480" i="1" a="1"/>
  <c r="I480" i="1" s="1"/>
  <c r="P480" i="1" s="1"/>
  <c r="J480" i="1" a="1"/>
  <c r="J480" i="1" s="1"/>
  <c r="K480" i="1" a="1"/>
  <c r="K480" i="1" s="1"/>
  <c r="R480" i="1" s="1"/>
  <c r="I481" i="1" a="1"/>
  <c r="I481" i="1" s="1"/>
  <c r="P481" i="1" s="1"/>
  <c r="J481" i="1" a="1"/>
  <c r="J481" i="1" s="1"/>
  <c r="K481" i="1" a="1"/>
  <c r="K481" i="1" s="1"/>
  <c r="R481" i="1" s="1"/>
  <c r="I482" i="1" a="1"/>
  <c r="I482" i="1" s="1"/>
  <c r="P482" i="1" s="1"/>
  <c r="J482" i="1" a="1"/>
  <c r="J482" i="1" s="1"/>
  <c r="K482" i="1" a="1"/>
  <c r="K482" i="1" s="1"/>
  <c r="R482" i="1" s="1"/>
  <c r="I483" i="1" a="1"/>
  <c r="I483" i="1" s="1"/>
  <c r="P483" i="1" s="1"/>
  <c r="J483" i="1" a="1"/>
  <c r="J483" i="1" s="1"/>
  <c r="K483" i="1" a="1"/>
  <c r="K483" i="1" s="1"/>
  <c r="R483" i="1" s="1"/>
  <c r="I484" i="1" a="1"/>
  <c r="I484" i="1" s="1"/>
  <c r="P484" i="1" s="1"/>
  <c r="J484" i="1" a="1"/>
  <c r="J484" i="1" s="1"/>
  <c r="K484" i="1" a="1"/>
  <c r="K484" i="1" s="1"/>
  <c r="R484" i="1" s="1"/>
  <c r="I485" i="1" a="1"/>
  <c r="I485" i="1" s="1"/>
  <c r="P485" i="1" s="1"/>
  <c r="J485" i="1" a="1"/>
  <c r="J485" i="1" s="1"/>
  <c r="K485" i="1" a="1"/>
  <c r="K485" i="1" s="1"/>
  <c r="R485" i="1" s="1"/>
  <c r="I486" i="1" a="1"/>
  <c r="I486" i="1" s="1"/>
  <c r="P486" i="1" s="1"/>
  <c r="J486" i="1" a="1"/>
  <c r="J486" i="1" s="1"/>
  <c r="K486" i="1" a="1"/>
  <c r="K486" i="1" s="1"/>
  <c r="R486" i="1" s="1"/>
  <c r="I487" i="1" a="1"/>
  <c r="I487" i="1"/>
  <c r="P487" i="1" s="1"/>
  <c r="J487" i="1" a="1"/>
  <c r="J487" i="1" s="1"/>
  <c r="V487" i="1" s="1"/>
  <c r="K487" i="1" a="1"/>
  <c r="K487" i="1" s="1"/>
  <c r="R487" i="1" s="1"/>
  <c r="I488" i="1" a="1"/>
  <c r="I488" i="1" s="1"/>
  <c r="P488" i="1" s="1"/>
  <c r="J488" i="1" a="1"/>
  <c r="J488" i="1" s="1"/>
  <c r="K488" i="1" a="1"/>
  <c r="K488" i="1" s="1"/>
  <c r="R488" i="1" s="1"/>
  <c r="I489" i="1" a="1"/>
  <c r="I489" i="1" s="1"/>
  <c r="P489" i="1" s="1"/>
  <c r="J489" i="1" a="1"/>
  <c r="J489" i="1" s="1"/>
  <c r="V489" i="1" s="1"/>
  <c r="K489" i="1" a="1"/>
  <c r="K489" i="1" s="1"/>
  <c r="R489" i="1" s="1"/>
  <c r="I490" i="1" a="1"/>
  <c r="I490" i="1" s="1"/>
  <c r="P490" i="1" s="1"/>
  <c r="J490" i="1" a="1"/>
  <c r="J490" i="1" s="1"/>
  <c r="K490" i="1" a="1"/>
  <c r="K490" i="1" s="1"/>
  <c r="R490" i="1" s="1"/>
  <c r="I491" i="1" a="1"/>
  <c r="I491" i="1" s="1"/>
  <c r="P491" i="1" s="1"/>
  <c r="J491" i="1" a="1"/>
  <c r="J491" i="1"/>
  <c r="K491" i="1" a="1"/>
  <c r="K491" i="1" s="1"/>
  <c r="R491" i="1" s="1"/>
  <c r="I492" i="1" a="1"/>
  <c r="I492" i="1" s="1"/>
  <c r="P492" i="1" s="1"/>
  <c r="U492" i="1" s="1"/>
  <c r="J492" i="1" a="1"/>
  <c r="J492" i="1" s="1"/>
  <c r="K492" i="1" a="1"/>
  <c r="K492" i="1" s="1"/>
  <c r="R492" i="1" s="1"/>
  <c r="I493" i="1" a="1"/>
  <c r="I493" i="1" s="1"/>
  <c r="P493" i="1" s="1"/>
  <c r="J493" i="1" a="1"/>
  <c r="J493" i="1" s="1"/>
  <c r="K493" i="1" a="1"/>
  <c r="K493" i="1" s="1"/>
  <c r="R493" i="1" s="1"/>
  <c r="I494" i="1" a="1"/>
  <c r="I494" i="1" s="1"/>
  <c r="P494" i="1" s="1"/>
  <c r="U494" i="1" s="1"/>
  <c r="J494" i="1" a="1"/>
  <c r="J494" i="1" s="1"/>
  <c r="K494" i="1" a="1"/>
  <c r="K494" i="1" s="1"/>
  <c r="R494" i="1" s="1"/>
  <c r="I495" i="1" a="1"/>
  <c r="I495" i="1" s="1"/>
  <c r="P495" i="1" s="1"/>
  <c r="J495" i="1" a="1"/>
  <c r="J495" i="1"/>
  <c r="V495" i="1" s="1"/>
  <c r="K495" i="1" a="1"/>
  <c r="K495" i="1" s="1"/>
  <c r="R495" i="1" s="1"/>
  <c r="I496" i="1" a="1"/>
  <c r="I496" i="1" s="1"/>
  <c r="P496" i="1" s="1"/>
  <c r="J496" i="1" a="1"/>
  <c r="J496" i="1" s="1"/>
  <c r="K496" i="1" a="1"/>
  <c r="K496" i="1" s="1"/>
  <c r="R496" i="1" s="1"/>
  <c r="I497" i="1" a="1"/>
  <c r="I497" i="1" s="1"/>
  <c r="P497" i="1" s="1"/>
  <c r="U497" i="1" s="1"/>
  <c r="J497" i="1" a="1"/>
  <c r="J497" i="1" s="1"/>
  <c r="K497" i="1" a="1"/>
  <c r="K497" i="1" s="1"/>
  <c r="R497" i="1" s="1"/>
  <c r="I498" i="1" a="1"/>
  <c r="I498" i="1" s="1"/>
  <c r="P498" i="1" s="1"/>
  <c r="J498" i="1" a="1"/>
  <c r="J498" i="1"/>
  <c r="K498" i="1" a="1"/>
  <c r="K498" i="1" s="1"/>
  <c r="R498" i="1" s="1"/>
  <c r="I499" i="1" a="1"/>
  <c r="I499" i="1" s="1"/>
  <c r="P499" i="1" s="1"/>
  <c r="J499" i="1" a="1"/>
  <c r="J499" i="1" s="1"/>
  <c r="K499" i="1" a="1"/>
  <c r="K499" i="1" s="1"/>
  <c r="R499" i="1" s="1"/>
  <c r="I500" i="1" a="1"/>
  <c r="I500" i="1" s="1"/>
  <c r="P500" i="1" s="1"/>
  <c r="U500" i="1" s="1"/>
  <c r="J500" i="1" a="1"/>
  <c r="J500" i="1" s="1"/>
  <c r="K500" i="1" a="1"/>
  <c r="K500" i="1" s="1"/>
  <c r="R500" i="1" s="1"/>
  <c r="I501" i="1" a="1"/>
  <c r="I501" i="1" s="1"/>
  <c r="P501" i="1" s="1"/>
  <c r="U501" i="1" s="1"/>
  <c r="J501" i="1" a="1"/>
  <c r="J501" i="1" s="1"/>
  <c r="K501" i="1" a="1"/>
  <c r="K501" i="1" s="1"/>
  <c r="R501" i="1" s="1"/>
  <c r="I502" i="1" a="1"/>
  <c r="I502" i="1" s="1"/>
  <c r="P502" i="1" s="1"/>
  <c r="J502" i="1" a="1"/>
  <c r="J502" i="1" s="1"/>
  <c r="K502" i="1" a="1"/>
  <c r="K502" i="1"/>
  <c r="R502" i="1" s="1"/>
  <c r="I503" i="1" a="1"/>
  <c r="I503" i="1" s="1"/>
  <c r="P503" i="1" s="1"/>
  <c r="U503" i="1" s="1"/>
  <c r="J503" i="1" a="1"/>
  <c r="J503" i="1" s="1"/>
  <c r="K503" i="1" a="1"/>
  <c r="K503" i="1" s="1"/>
  <c r="R503" i="1" s="1"/>
  <c r="I504" i="1" a="1"/>
  <c r="I504" i="1" s="1"/>
  <c r="P504" i="1" s="1"/>
  <c r="J504" i="1" a="1"/>
  <c r="J504" i="1" s="1"/>
  <c r="K504" i="1" a="1"/>
  <c r="K504" i="1" s="1"/>
  <c r="R504" i="1" s="1"/>
  <c r="I505" i="1" a="1"/>
  <c r="I505" i="1" s="1"/>
  <c r="P505" i="1" s="1"/>
  <c r="J505" i="1" a="1"/>
  <c r="J505" i="1" s="1"/>
  <c r="K505" i="1" a="1"/>
  <c r="K505" i="1" s="1"/>
  <c r="R505" i="1" s="1"/>
  <c r="I506" i="1" a="1"/>
  <c r="I506" i="1" s="1"/>
  <c r="P506" i="1" s="1"/>
  <c r="J506" i="1" a="1"/>
  <c r="J506" i="1" s="1"/>
  <c r="K506" i="1" a="1"/>
  <c r="K506" i="1" s="1"/>
  <c r="R506" i="1" s="1"/>
  <c r="I507" i="1" a="1"/>
  <c r="I507" i="1"/>
  <c r="P507" i="1" s="1"/>
  <c r="J507" i="1" a="1"/>
  <c r="J507" i="1" s="1"/>
  <c r="K507" i="1" a="1"/>
  <c r="K507" i="1" s="1"/>
  <c r="R507" i="1" s="1"/>
  <c r="I508" i="1" a="1"/>
  <c r="I508" i="1" s="1"/>
  <c r="P508" i="1" s="1"/>
  <c r="U508" i="1" s="1"/>
  <c r="J508" i="1" a="1"/>
  <c r="J508" i="1" s="1"/>
  <c r="V508" i="1" s="1"/>
  <c r="K508" i="1" a="1"/>
  <c r="K508" i="1" s="1"/>
  <c r="R508" i="1" s="1"/>
  <c r="I509" i="1" a="1"/>
  <c r="I509" i="1" s="1"/>
  <c r="P509" i="1" s="1"/>
  <c r="J509" i="1" a="1"/>
  <c r="J509" i="1" s="1"/>
  <c r="K509" i="1" a="1"/>
  <c r="K509" i="1" s="1"/>
  <c r="R509" i="1" s="1"/>
  <c r="I510" i="1" a="1"/>
  <c r="I510" i="1" s="1"/>
  <c r="P510" i="1" s="1"/>
  <c r="J510" i="1" a="1"/>
  <c r="J510" i="1" s="1"/>
  <c r="K510" i="1" a="1"/>
  <c r="K510" i="1" s="1"/>
  <c r="R510" i="1" s="1"/>
  <c r="I511" i="1" a="1"/>
  <c r="I511" i="1" s="1"/>
  <c r="P511" i="1" s="1"/>
  <c r="J511" i="1" a="1"/>
  <c r="J511" i="1" s="1"/>
  <c r="K511" i="1" a="1"/>
  <c r="K511" i="1" s="1"/>
  <c r="R511" i="1" s="1"/>
  <c r="I512" i="1" a="1"/>
  <c r="I512" i="1" s="1"/>
  <c r="P512" i="1" s="1"/>
  <c r="U512" i="1" s="1"/>
  <c r="J512" i="1" a="1"/>
  <c r="J512" i="1" s="1"/>
  <c r="V512" i="1" s="1"/>
  <c r="K512" i="1" a="1"/>
  <c r="K512" i="1" s="1"/>
  <c r="R512" i="1" s="1"/>
  <c r="I513" i="1" a="1"/>
  <c r="I513" i="1" s="1"/>
  <c r="P513" i="1" s="1"/>
  <c r="J513" i="1" a="1"/>
  <c r="J513" i="1" s="1"/>
  <c r="K513" i="1" a="1"/>
  <c r="K513" i="1" s="1"/>
  <c r="R513" i="1" s="1"/>
  <c r="I514" i="1" a="1"/>
  <c r="I514" i="1" s="1"/>
  <c r="P514" i="1" s="1"/>
  <c r="U514" i="1" s="1"/>
  <c r="J514" i="1" a="1"/>
  <c r="J514" i="1" s="1"/>
  <c r="K514" i="1" a="1"/>
  <c r="K514" i="1" s="1"/>
  <c r="R514" i="1" s="1"/>
  <c r="I515" i="1" a="1"/>
  <c r="I515" i="1" s="1"/>
  <c r="P515" i="1" s="1"/>
  <c r="J515" i="1" a="1"/>
  <c r="J515" i="1" s="1"/>
  <c r="K515" i="1" a="1"/>
  <c r="K515" i="1" s="1"/>
  <c r="R515" i="1" s="1"/>
  <c r="I516" i="1" a="1"/>
  <c r="I516" i="1" s="1"/>
  <c r="P516" i="1" s="1"/>
  <c r="U516" i="1" s="1"/>
  <c r="J516" i="1" a="1"/>
  <c r="J516" i="1" s="1"/>
  <c r="K516" i="1" a="1"/>
  <c r="K516" i="1" s="1"/>
  <c r="R516" i="1" s="1"/>
  <c r="I517" i="1" a="1"/>
  <c r="I517" i="1" s="1"/>
  <c r="P517" i="1" s="1"/>
  <c r="J517" i="1" a="1"/>
  <c r="J517" i="1" s="1"/>
  <c r="K517" i="1" a="1"/>
  <c r="K517" i="1" s="1"/>
  <c r="R517" i="1" s="1"/>
  <c r="I518" i="1" a="1"/>
  <c r="I518" i="1" s="1"/>
  <c r="P518" i="1" s="1"/>
  <c r="U518" i="1" s="1"/>
  <c r="J518" i="1" a="1"/>
  <c r="J518" i="1"/>
  <c r="K518" i="1" a="1"/>
  <c r="K518" i="1" s="1"/>
  <c r="R518" i="1" s="1"/>
  <c r="I519" i="1" a="1"/>
  <c r="I519" i="1" s="1"/>
  <c r="P519" i="1" s="1"/>
  <c r="J519" i="1" a="1"/>
  <c r="J519" i="1" s="1"/>
  <c r="K519" i="1" a="1"/>
  <c r="K519" i="1" s="1"/>
  <c r="R519" i="1" s="1"/>
  <c r="I520" i="1" a="1"/>
  <c r="I520" i="1" s="1"/>
  <c r="P520" i="1" s="1"/>
  <c r="J520" i="1" a="1"/>
  <c r="J520" i="1" s="1"/>
  <c r="K520" i="1" a="1"/>
  <c r="K520" i="1"/>
  <c r="R520" i="1" s="1"/>
  <c r="I521" i="1" a="1"/>
  <c r="I521" i="1" s="1"/>
  <c r="P521" i="1" s="1"/>
  <c r="U521" i="1" s="1"/>
  <c r="J521" i="1" a="1"/>
  <c r="J521" i="1" s="1"/>
  <c r="K521" i="1" a="1"/>
  <c r="K521" i="1" s="1"/>
  <c r="R521" i="1" s="1"/>
  <c r="I522" i="1" a="1"/>
  <c r="I522" i="1" s="1"/>
  <c r="P522" i="1" s="1"/>
  <c r="J522" i="1" a="1"/>
  <c r="J522" i="1" s="1"/>
  <c r="K522" i="1" a="1"/>
  <c r="K522" i="1" s="1"/>
  <c r="R522" i="1" s="1"/>
  <c r="I523" i="1" a="1"/>
  <c r="I523" i="1" s="1"/>
  <c r="P523" i="1" s="1"/>
  <c r="U523" i="1" s="1"/>
  <c r="J523" i="1" a="1"/>
  <c r="J523" i="1" s="1"/>
  <c r="V523" i="1" s="1"/>
  <c r="K523" i="1" a="1"/>
  <c r="K523" i="1" s="1"/>
  <c r="R523" i="1" s="1"/>
  <c r="I524" i="1" a="1"/>
  <c r="I524" i="1" s="1"/>
  <c r="P524" i="1" s="1"/>
  <c r="J524" i="1" a="1"/>
  <c r="J524" i="1" s="1"/>
  <c r="K524" i="1" a="1"/>
  <c r="K524" i="1" s="1"/>
  <c r="R524" i="1" s="1"/>
  <c r="I525" i="1" a="1"/>
  <c r="I525" i="1" s="1"/>
  <c r="P525" i="1" s="1"/>
  <c r="U525" i="1" s="1"/>
  <c r="J525" i="1" a="1"/>
  <c r="J525" i="1" s="1"/>
  <c r="K525" i="1" a="1"/>
  <c r="K525" i="1" s="1"/>
  <c r="R525" i="1" s="1"/>
  <c r="I526" i="1" a="1"/>
  <c r="I526" i="1" s="1"/>
  <c r="P526" i="1" s="1"/>
  <c r="J526" i="1" a="1"/>
  <c r="J526" i="1" s="1"/>
  <c r="K526" i="1" a="1"/>
  <c r="K526" i="1" s="1"/>
  <c r="R526" i="1" s="1"/>
  <c r="I527" i="1" a="1"/>
  <c r="I527" i="1" s="1"/>
  <c r="P527" i="1" s="1"/>
  <c r="U527" i="1" s="1"/>
  <c r="J527" i="1" a="1"/>
  <c r="J527" i="1" s="1"/>
  <c r="V527" i="1" s="1"/>
  <c r="K527" i="1" a="1"/>
  <c r="K527" i="1" s="1"/>
  <c r="R527" i="1" s="1"/>
  <c r="I528" i="1" a="1"/>
  <c r="I528" i="1" s="1"/>
  <c r="P528" i="1" s="1"/>
  <c r="J528" i="1" a="1"/>
  <c r="J528" i="1" s="1"/>
  <c r="K528" i="1" a="1"/>
  <c r="K528" i="1" s="1"/>
  <c r="R528" i="1" s="1"/>
  <c r="I529" i="1" a="1"/>
  <c r="I529" i="1" s="1"/>
  <c r="P529" i="1" s="1"/>
  <c r="J529" i="1" a="1"/>
  <c r="J529" i="1" s="1"/>
  <c r="K529" i="1" a="1"/>
  <c r="K529" i="1" s="1"/>
  <c r="R529" i="1" s="1"/>
  <c r="I530" i="1" a="1"/>
  <c r="I530" i="1" s="1"/>
  <c r="P530" i="1" s="1"/>
  <c r="J530" i="1" a="1"/>
  <c r="J530" i="1" s="1"/>
  <c r="K530" i="1" a="1"/>
  <c r="K530" i="1" s="1"/>
  <c r="R530" i="1" s="1"/>
  <c r="I531" i="1" a="1"/>
  <c r="I531" i="1" s="1"/>
  <c r="P531" i="1" s="1"/>
  <c r="U531" i="1" s="1"/>
  <c r="J531" i="1" a="1"/>
  <c r="J531" i="1" s="1"/>
  <c r="V531" i="1" s="1"/>
  <c r="K531" i="1" a="1"/>
  <c r="K531" i="1" s="1"/>
  <c r="R531" i="1" s="1"/>
  <c r="I532" i="1" a="1"/>
  <c r="I532" i="1" s="1"/>
  <c r="P532" i="1" s="1"/>
  <c r="J532" i="1" a="1"/>
  <c r="J532" i="1" s="1"/>
  <c r="K532" i="1" a="1"/>
  <c r="K532" i="1" s="1"/>
  <c r="R532" i="1" s="1"/>
  <c r="I533" i="1" a="1"/>
  <c r="I533" i="1" s="1"/>
  <c r="P533" i="1" s="1"/>
  <c r="J533" i="1" a="1"/>
  <c r="J533" i="1" s="1"/>
  <c r="K533" i="1" a="1"/>
  <c r="K533" i="1" s="1"/>
  <c r="R533" i="1" s="1"/>
  <c r="I534" i="1" a="1"/>
  <c r="I534" i="1" s="1"/>
  <c r="P534" i="1" s="1"/>
  <c r="J534" i="1" a="1"/>
  <c r="J534" i="1" s="1"/>
  <c r="K534" i="1" a="1"/>
  <c r="K534" i="1" s="1"/>
  <c r="R534" i="1" s="1"/>
  <c r="I535" i="1" a="1"/>
  <c r="I535" i="1" s="1"/>
  <c r="P535" i="1" s="1"/>
  <c r="J535" i="1" a="1"/>
  <c r="J535" i="1" s="1"/>
  <c r="K535" i="1" a="1"/>
  <c r="K535" i="1" s="1"/>
  <c r="R535" i="1" s="1"/>
  <c r="I536" i="1" a="1"/>
  <c r="I536" i="1" s="1"/>
  <c r="P536" i="1" s="1"/>
  <c r="J536" i="1" a="1"/>
  <c r="J536" i="1" s="1"/>
  <c r="K536" i="1" a="1"/>
  <c r="K536" i="1" s="1"/>
  <c r="R536" i="1" s="1"/>
  <c r="I537" i="1" a="1"/>
  <c r="I537" i="1" s="1"/>
  <c r="P537" i="1" s="1"/>
  <c r="U537" i="1" s="1"/>
  <c r="J537" i="1" a="1"/>
  <c r="J537" i="1" s="1"/>
  <c r="K537" i="1" a="1"/>
  <c r="K537" i="1" s="1"/>
  <c r="R537" i="1" s="1"/>
  <c r="I538" i="1" a="1"/>
  <c r="I538" i="1" s="1"/>
  <c r="P538" i="1" s="1"/>
  <c r="J538" i="1" a="1"/>
  <c r="J538" i="1" s="1"/>
  <c r="K538" i="1" a="1"/>
  <c r="K538" i="1" s="1"/>
  <c r="R538" i="1" s="1"/>
  <c r="I539" i="1" a="1"/>
  <c r="I539" i="1" s="1"/>
  <c r="P539" i="1" s="1"/>
  <c r="U539" i="1" s="1"/>
  <c r="J539" i="1" a="1"/>
  <c r="J539" i="1" s="1"/>
  <c r="K539" i="1" a="1"/>
  <c r="K539" i="1" s="1"/>
  <c r="R539" i="1" s="1"/>
  <c r="I540" i="1" a="1"/>
  <c r="I540" i="1" s="1"/>
  <c r="P540" i="1" s="1"/>
  <c r="J540" i="1" a="1"/>
  <c r="J540" i="1" s="1"/>
  <c r="K540" i="1" a="1"/>
  <c r="K540" i="1" s="1"/>
  <c r="R540" i="1" s="1"/>
  <c r="I541" i="1" a="1"/>
  <c r="I541" i="1" s="1"/>
  <c r="P541" i="1" s="1"/>
  <c r="U541" i="1" s="1"/>
  <c r="J541" i="1" a="1"/>
  <c r="J541" i="1" s="1"/>
  <c r="K541" i="1" a="1"/>
  <c r="K541" i="1" s="1"/>
  <c r="R541" i="1" s="1"/>
  <c r="I542" i="1" a="1"/>
  <c r="I542" i="1" s="1"/>
  <c r="P542" i="1" s="1"/>
  <c r="J542" i="1" a="1"/>
  <c r="J542" i="1" s="1"/>
  <c r="K542" i="1" a="1"/>
  <c r="K542" i="1" s="1"/>
  <c r="R542" i="1" s="1"/>
  <c r="I543" i="1" a="1"/>
  <c r="I543" i="1" s="1"/>
  <c r="P543" i="1" s="1"/>
  <c r="U543" i="1" s="1"/>
  <c r="J543" i="1" a="1"/>
  <c r="J543" i="1" s="1"/>
  <c r="K543" i="1" a="1"/>
  <c r="K543" i="1" s="1"/>
  <c r="R543" i="1" s="1"/>
  <c r="I544" i="1" a="1"/>
  <c r="I544" i="1" s="1"/>
  <c r="P544" i="1" s="1"/>
  <c r="J544" i="1" a="1"/>
  <c r="J544" i="1" s="1"/>
  <c r="K544" i="1" a="1"/>
  <c r="K544" i="1" s="1"/>
  <c r="R544" i="1" s="1"/>
  <c r="I545" i="1" a="1"/>
  <c r="I545" i="1" s="1"/>
  <c r="P545" i="1" s="1"/>
  <c r="U545" i="1" s="1"/>
  <c r="J545" i="1" a="1"/>
  <c r="J545" i="1" s="1"/>
  <c r="K545" i="1" a="1"/>
  <c r="K545" i="1" s="1"/>
  <c r="R545" i="1" s="1"/>
  <c r="I546" i="1" a="1"/>
  <c r="I546" i="1" s="1"/>
  <c r="P546" i="1" s="1"/>
  <c r="J546" i="1" a="1"/>
  <c r="J546" i="1" s="1"/>
  <c r="K546" i="1" a="1"/>
  <c r="K546" i="1" s="1"/>
  <c r="R546" i="1" s="1"/>
  <c r="I547" i="1" a="1"/>
  <c r="I547" i="1" s="1"/>
  <c r="P547" i="1" s="1"/>
  <c r="U547" i="1" s="1"/>
  <c r="J547" i="1" a="1"/>
  <c r="J547" i="1" s="1"/>
  <c r="K547" i="1" a="1"/>
  <c r="K547" i="1" s="1"/>
  <c r="R547" i="1" s="1"/>
  <c r="I548" i="1" a="1"/>
  <c r="I548" i="1" s="1"/>
  <c r="P548" i="1" s="1"/>
  <c r="J548" i="1" a="1"/>
  <c r="J548" i="1" s="1"/>
  <c r="K548" i="1" a="1"/>
  <c r="K548" i="1" s="1"/>
  <c r="R548" i="1" s="1"/>
  <c r="I549" i="1" a="1"/>
  <c r="I549" i="1" s="1"/>
  <c r="P549" i="1" s="1"/>
  <c r="U549" i="1" s="1"/>
  <c r="J549" i="1" a="1"/>
  <c r="J549" i="1" s="1"/>
  <c r="K549" i="1" a="1"/>
  <c r="K549" i="1" s="1"/>
  <c r="R549" i="1" s="1"/>
  <c r="I550" i="1" a="1"/>
  <c r="I550" i="1" s="1"/>
  <c r="P550" i="1" s="1"/>
  <c r="J550" i="1" a="1"/>
  <c r="J550" i="1" s="1"/>
  <c r="K550" i="1" a="1"/>
  <c r="K550" i="1" s="1"/>
  <c r="R550" i="1" s="1"/>
  <c r="I551" i="1" a="1"/>
  <c r="I551" i="1" s="1"/>
  <c r="P551" i="1" s="1"/>
  <c r="U551" i="1" s="1"/>
  <c r="J551" i="1" a="1"/>
  <c r="J551" i="1" s="1"/>
  <c r="K551" i="1" a="1"/>
  <c r="K551" i="1" s="1"/>
  <c r="R551" i="1" s="1"/>
  <c r="I552" i="1" a="1"/>
  <c r="I552" i="1" s="1"/>
  <c r="P552" i="1" s="1"/>
  <c r="J552" i="1" a="1"/>
  <c r="J552" i="1" s="1"/>
  <c r="K552" i="1" a="1"/>
  <c r="K552" i="1" s="1"/>
  <c r="R552" i="1" s="1"/>
  <c r="I553" i="1" a="1"/>
  <c r="I553" i="1" s="1"/>
  <c r="P553" i="1" s="1"/>
  <c r="U553" i="1" s="1"/>
  <c r="J553" i="1" a="1"/>
  <c r="J553" i="1" s="1"/>
  <c r="K553" i="1" a="1"/>
  <c r="K553" i="1" s="1"/>
  <c r="R553" i="1" s="1"/>
  <c r="I554" i="1" a="1"/>
  <c r="I554" i="1" s="1"/>
  <c r="P554" i="1" s="1"/>
  <c r="J554" i="1" a="1"/>
  <c r="J554" i="1" s="1"/>
  <c r="K554" i="1" a="1"/>
  <c r="K554" i="1" s="1"/>
  <c r="R554" i="1" s="1"/>
  <c r="I555" i="1" a="1"/>
  <c r="I555" i="1" s="1"/>
  <c r="P555" i="1" s="1"/>
  <c r="U555" i="1" s="1"/>
  <c r="J555" i="1" a="1"/>
  <c r="J555" i="1" s="1"/>
  <c r="K555" i="1" a="1"/>
  <c r="K555" i="1" s="1"/>
  <c r="R555" i="1" s="1"/>
  <c r="I556" i="1" a="1"/>
  <c r="I556" i="1" s="1"/>
  <c r="P556" i="1" s="1"/>
  <c r="J556" i="1" a="1"/>
  <c r="J556" i="1" s="1"/>
  <c r="K556" i="1" a="1"/>
  <c r="K556" i="1" s="1"/>
  <c r="R556" i="1" s="1"/>
  <c r="I557" i="1" a="1"/>
  <c r="I557" i="1" s="1"/>
  <c r="P557" i="1" s="1"/>
  <c r="U557" i="1" s="1"/>
  <c r="J557" i="1" a="1"/>
  <c r="J557" i="1" s="1"/>
  <c r="K557" i="1" a="1"/>
  <c r="K557" i="1" s="1"/>
  <c r="R557" i="1" s="1"/>
  <c r="I558" i="1" a="1"/>
  <c r="I558" i="1" s="1"/>
  <c r="P558" i="1" s="1"/>
  <c r="J558" i="1" a="1"/>
  <c r="J558" i="1" s="1"/>
  <c r="K558" i="1" a="1"/>
  <c r="K558" i="1" s="1"/>
  <c r="R558" i="1" s="1"/>
  <c r="I559" i="1" a="1"/>
  <c r="I559" i="1" s="1"/>
  <c r="P559" i="1" s="1"/>
  <c r="U559" i="1" s="1"/>
  <c r="J559" i="1" a="1"/>
  <c r="J559" i="1" s="1"/>
  <c r="K559" i="1" a="1"/>
  <c r="K559" i="1" s="1"/>
  <c r="R559" i="1" s="1"/>
  <c r="K3" i="1" a="1"/>
  <c r="K3" i="1" s="1"/>
  <c r="R3" i="1" s="1"/>
  <c r="J3" i="1" a="1"/>
  <c r="J3" i="1" s="1"/>
  <c r="I3" i="1" a="1"/>
  <c r="I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781" i="1" a="1"/>
  <c r="G781" i="1" s="1"/>
  <c r="G782" i="1" a="1"/>
  <c r="G782" i="1" s="1"/>
  <c r="G783" i="1" a="1"/>
  <c r="G783" i="1" s="1"/>
  <c r="G780" i="1" a="1"/>
  <c r="G78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70" i="1" a="1"/>
  <c r="G770" i="1" s="1"/>
  <c r="G768" i="1" a="1"/>
  <c r="G768" i="1" s="1"/>
  <c r="G769" i="1" a="1"/>
  <c r="G769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69" i="1" a="1"/>
  <c r="G56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/>
  <c r="G556" i="1" a="1"/>
  <c r="G556" i="1" s="1"/>
  <c r="G557" i="1" a="1"/>
  <c r="G557" i="1" s="1"/>
  <c r="G558" i="1" a="1"/>
  <c r="G558" i="1"/>
  <c r="G559" i="1" a="1"/>
  <c r="G559" i="1" s="1"/>
  <c r="G3" i="1" a="1"/>
  <c r="G3" i="1" s="1"/>
  <c r="V439" i="1" l="1"/>
  <c r="U430" i="1"/>
  <c r="V419" i="1"/>
  <c r="U394" i="1"/>
  <c r="V337" i="1"/>
  <c r="V315" i="1"/>
  <c r="V232" i="1"/>
  <c r="V141" i="1"/>
  <c r="V502" i="1"/>
  <c r="V484" i="1"/>
  <c r="V480" i="1"/>
  <c r="V476" i="1"/>
  <c r="V453" i="1"/>
  <c r="V397" i="1"/>
  <c r="U379" i="1"/>
  <c r="V322" i="1"/>
  <c r="U266" i="1"/>
  <c r="V247" i="1"/>
  <c r="V243" i="1"/>
  <c r="V235" i="1"/>
  <c r="V217" i="1"/>
  <c r="V213" i="1"/>
  <c r="U194" i="1"/>
  <c r="Z194" i="1" s="1"/>
  <c r="U176" i="1"/>
  <c r="Z176" i="1" s="1"/>
  <c r="U168" i="1"/>
  <c r="U164" i="1"/>
  <c r="U502" i="1"/>
  <c r="U491" i="1"/>
  <c r="V460" i="1"/>
  <c r="V445" i="1"/>
  <c r="V422" i="1"/>
  <c r="U382" i="1"/>
  <c r="U367" i="1"/>
  <c r="V359" i="1"/>
  <c r="V344" i="1"/>
  <c r="U326" i="1"/>
  <c r="X326" i="1" s="1"/>
  <c r="V307" i="1"/>
  <c r="U292" i="1"/>
  <c r="U288" i="1"/>
  <c r="U258" i="1"/>
  <c r="U221" i="1"/>
  <c r="V186" i="1"/>
  <c r="V505" i="1"/>
  <c r="U498" i="1"/>
  <c r="V425" i="1"/>
  <c r="U355" i="1"/>
  <c r="V329" i="1"/>
  <c r="V299" i="1"/>
  <c r="V276" i="1"/>
  <c r="U273" i="1"/>
  <c r="V265" i="1"/>
  <c r="V231" i="1"/>
  <c r="V224" i="1"/>
  <c r="V193" i="1"/>
  <c r="V182" i="1"/>
  <c r="V167" i="1"/>
  <c r="V163" i="1"/>
  <c r="V159" i="1"/>
  <c r="U487" i="1"/>
  <c r="X487" i="1" s="1"/>
  <c r="V497" i="1"/>
  <c r="V459" i="1"/>
  <c r="V392" i="1"/>
  <c r="V332" i="1"/>
  <c r="V283" i="1"/>
  <c r="V279" i="1"/>
  <c r="V272" i="1"/>
  <c r="V196" i="1"/>
  <c r="U463" i="1"/>
  <c r="U421" i="1"/>
  <c r="U358" i="1"/>
  <c r="U343" i="1"/>
  <c r="X343" i="1" s="1"/>
  <c r="V339" i="1"/>
  <c r="U279" i="1"/>
  <c r="U227" i="1"/>
  <c r="V170" i="1"/>
  <c r="V162" i="1"/>
  <c r="V158" i="1"/>
  <c r="V150" i="1"/>
  <c r="V146" i="1"/>
  <c r="V500" i="1"/>
  <c r="V482" i="1"/>
  <c r="V478" i="1"/>
  <c r="V474" i="1"/>
  <c r="V395" i="1"/>
  <c r="V346" i="1"/>
  <c r="V260" i="1"/>
  <c r="V241" i="1"/>
  <c r="V131" i="1"/>
  <c r="V380" i="1"/>
  <c r="V342" i="1"/>
  <c r="V256" i="1"/>
  <c r="V195" i="1"/>
  <c r="V181" i="1"/>
  <c r="V503" i="1"/>
  <c r="V492" i="1"/>
  <c r="U391" i="1"/>
  <c r="Z391" i="1" s="1"/>
  <c r="V383" i="1"/>
  <c r="V263" i="1"/>
  <c r="V248" i="1"/>
  <c r="V226" i="1"/>
  <c r="U188" i="1"/>
  <c r="V142" i="1"/>
  <c r="V533" i="1"/>
  <c r="V529" i="1"/>
  <c r="V525" i="1"/>
  <c r="V521" i="1"/>
  <c r="V514" i="1"/>
  <c r="V510" i="1"/>
  <c r="V450" i="1"/>
  <c r="V446" i="1"/>
  <c r="V423" i="1"/>
  <c r="V372" i="1"/>
  <c r="V368" i="1"/>
  <c r="U338" i="1"/>
  <c r="U248" i="1"/>
  <c r="V240" i="1"/>
  <c r="V222" i="1"/>
  <c r="V202" i="1"/>
  <c r="V274" i="1"/>
  <c r="V190" i="1"/>
  <c r="V183" i="1"/>
  <c r="U180" i="1"/>
  <c r="V176" i="1"/>
  <c r="V172" i="1"/>
  <c r="V156" i="1"/>
  <c r="U149" i="1"/>
  <c r="V115" i="1"/>
  <c r="V111" i="1"/>
  <c r="V103" i="1"/>
  <c r="U96" i="1"/>
  <c r="U92" i="1"/>
  <c r="U88" i="1"/>
  <c r="Z88" i="1" s="1"/>
  <c r="U84" i="1"/>
  <c r="U80" i="1"/>
  <c r="U76" i="1"/>
  <c r="V20" i="1"/>
  <c r="V574" i="1"/>
  <c r="V931" i="1"/>
  <c r="V927" i="1"/>
  <c r="V923" i="1"/>
  <c r="U876" i="1"/>
  <c r="X876" i="1" s="1"/>
  <c r="U829" i="1"/>
  <c r="V801" i="1"/>
  <c r="V793" i="1"/>
  <c r="V789" i="1"/>
  <c r="V782" i="1"/>
  <c r="V895" i="1"/>
  <c r="V891" i="1"/>
  <c r="V887" i="1"/>
  <c r="V808" i="1"/>
  <c r="V804" i="1"/>
  <c r="V23" i="1"/>
  <c r="V561" i="1"/>
  <c r="U577" i="1"/>
  <c r="V958" i="1"/>
  <c r="V954" i="1"/>
  <c r="V950" i="1"/>
  <c r="V946" i="1"/>
  <c r="V942" i="1"/>
  <c r="V938" i="1"/>
  <c r="V934" i="1"/>
  <c r="V918" i="1"/>
  <c r="U903" i="1"/>
  <c r="U895" i="1"/>
  <c r="U891" i="1"/>
  <c r="U883" i="1"/>
  <c r="V875" i="1"/>
  <c r="V871" i="1"/>
  <c r="U824" i="1"/>
  <c r="U812" i="1"/>
  <c r="V800" i="1"/>
  <c r="V189" i="1"/>
  <c r="U163" i="1"/>
  <c r="V151" i="1"/>
  <c r="U133" i="1"/>
  <c r="V125" i="1"/>
  <c r="V121" i="1"/>
  <c r="V117" i="1"/>
  <c r="V102" i="1"/>
  <c r="V98" i="1"/>
  <c r="V568" i="1"/>
  <c r="V575" i="1"/>
  <c r="V764" i="1"/>
  <c r="V760" i="1"/>
  <c r="V756" i="1"/>
  <c r="V752" i="1"/>
  <c r="V748" i="1"/>
  <c r="V744" i="1"/>
  <c r="V740" i="1"/>
  <c r="V736" i="1"/>
  <c r="V732" i="1"/>
  <c r="V728" i="1"/>
  <c r="V724" i="1"/>
  <c r="V720" i="1"/>
  <c r="V716" i="1"/>
  <c r="V712" i="1"/>
  <c r="V708" i="1"/>
  <c r="V704" i="1"/>
  <c r="V700" i="1"/>
  <c r="V696" i="1"/>
  <c r="V692" i="1"/>
  <c r="V688" i="1"/>
  <c r="V684" i="1"/>
  <c r="V680" i="1"/>
  <c r="V676" i="1"/>
  <c r="V672" i="1"/>
  <c r="V668" i="1"/>
  <c r="V664" i="1"/>
  <c r="V660" i="1"/>
  <c r="V656" i="1"/>
  <c r="V652" i="1"/>
  <c r="V648" i="1"/>
  <c r="V644" i="1"/>
  <c r="V640" i="1"/>
  <c r="V636" i="1"/>
  <c r="V632" i="1"/>
  <c r="V628" i="1"/>
  <c r="V624" i="1"/>
  <c r="V620" i="1"/>
  <c r="V616" i="1"/>
  <c r="V612" i="1"/>
  <c r="V608" i="1"/>
  <c r="V604" i="1"/>
  <c r="V600" i="1"/>
  <c r="V596" i="1"/>
  <c r="V592" i="1"/>
  <c r="V588" i="1"/>
  <c r="U774" i="1"/>
  <c r="X774" i="1" s="1"/>
  <c r="U958" i="1"/>
  <c r="U954" i="1"/>
  <c r="U950" i="1"/>
  <c r="U946" i="1"/>
  <c r="U942" i="1"/>
  <c r="U938" i="1"/>
  <c r="U934" i="1"/>
  <c r="U930" i="1"/>
  <c r="U926" i="1"/>
  <c r="V835" i="1"/>
  <c r="U800" i="1"/>
  <c r="X800" i="1" s="1"/>
  <c r="V140" i="1"/>
  <c r="U121" i="1"/>
  <c r="U117" i="1"/>
  <c r="U584" i="1"/>
  <c r="U580" i="1"/>
  <c r="V576" i="1"/>
  <c r="U910" i="1"/>
  <c r="U906" i="1"/>
  <c r="V902" i="1"/>
  <c r="V898" i="1"/>
  <c r="U867" i="1"/>
  <c r="U859" i="1"/>
  <c r="Z859" i="1" s="1"/>
  <c r="U855" i="1"/>
  <c r="Z855" i="1" s="1"/>
  <c r="U847" i="1"/>
  <c r="V823" i="1"/>
  <c r="V819" i="1"/>
  <c r="V815" i="1"/>
  <c r="V101" i="1"/>
  <c r="V97" i="1"/>
  <c r="V567" i="1"/>
  <c r="V583" i="1"/>
  <c r="V579" i="1"/>
  <c r="V866" i="1"/>
  <c r="V862" i="1"/>
  <c r="V846" i="1"/>
  <c r="V842" i="1"/>
  <c r="V563" i="1"/>
  <c r="U683" i="1"/>
  <c r="U671" i="1"/>
  <c r="U667" i="1"/>
  <c r="U659" i="1"/>
  <c r="U655" i="1"/>
  <c r="U643" i="1"/>
  <c r="U631" i="1"/>
  <c r="U623" i="1"/>
  <c r="U615" i="1"/>
  <c r="Z615" i="1" s="1"/>
  <c r="U611" i="1"/>
  <c r="Z611" i="1" s="1"/>
  <c r="U595" i="1"/>
  <c r="U583" i="1"/>
  <c r="U579" i="1"/>
  <c r="V826" i="1"/>
  <c r="V112" i="1"/>
  <c r="V569" i="1"/>
  <c r="U784" i="1"/>
  <c r="V776" i="1"/>
  <c r="V916" i="1"/>
  <c r="V912" i="1"/>
  <c r="U901" i="1"/>
  <c r="Z901" i="1" s="1"/>
  <c r="U885" i="1"/>
  <c r="Z885" i="1" s="1"/>
  <c r="V873" i="1"/>
  <c r="V869" i="1"/>
  <c r="V40" i="1"/>
  <c r="V36" i="1"/>
  <c r="V32" i="1"/>
  <c r="V28" i="1"/>
  <c r="U654" i="1"/>
  <c r="U642" i="1"/>
  <c r="U638" i="1"/>
  <c r="U630" i="1"/>
  <c r="U626" i="1"/>
  <c r="X626" i="1" s="1"/>
  <c r="U614" i="1"/>
  <c r="Z614" i="1" s="1"/>
  <c r="U610" i="1"/>
  <c r="U598" i="1"/>
  <c r="U594" i="1"/>
  <c r="U582" i="1"/>
  <c r="U578" i="1"/>
  <c r="V900" i="1"/>
  <c r="V880" i="1"/>
  <c r="V876" i="1"/>
  <c r="U857" i="1"/>
  <c r="Z857" i="1" s="1"/>
  <c r="U845" i="1"/>
  <c r="U841" i="1"/>
  <c r="X841" i="1" s="1"/>
  <c r="U837" i="1"/>
  <c r="Z837" i="1" s="1"/>
  <c r="U833" i="1"/>
  <c r="V825" i="1"/>
  <c r="V821" i="1"/>
  <c r="V817" i="1"/>
  <c r="V813" i="1"/>
  <c r="V374" i="1"/>
  <c r="V556" i="1"/>
  <c r="V552" i="1"/>
  <c r="V548" i="1"/>
  <c r="V544" i="1"/>
  <c r="V540" i="1"/>
  <c r="V536" i="1"/>
  <c r="V517" i="1"/>
  <c r="V506" i="1"/>
  <c r="V493" i="1"/>
  <c r="V490" i="1"/>
  <c r="U464" i="1"/>
  <c r="U440" i="1"/>
  <c r="Z440" i="1" s="1"/>
  <c r="U437" i="1"/>
  <c r="U434" i="1"/>
  <c r="U428" i="1"/>
  <c r="V412" i="1"/>
  <c r="U409" i="1"/>
  <c r="X409" i="1" s="1"/>
  <c r="V398" i="1"/>
  <c r="U385" i="1"/>
  <c r="V375" i="1"/>
  <c r="U372" i="1"/>
  <c r="U354" i="1"/>
  <c r="U344" i="1"/>
  <c r="U341" i="1"/>
  <c r="Z341" i="1" s="1"/>
  <c r="V330" i="1"/>
  <c r="V323" i="1"/>
  <c r="U320" i="1"/>
  <c r="V309" i="1"/>
  <c r="V305" i="1"/>
  <c r="V302" i="1"/>
  <c r="V253" i="1"/>
  <c r="U556" i="1"/>
  <c r="U552" i="1"/>
  <c r="Z552" i="1" s="1"/>
  <c r="U548" i="1"/>
  <c r="U544" i="1"/>
  <c r="U540" i="1"/>
  <c r="Z540" i="1" s="1"/>
  <c r="U536" i="1"/>
  <c r="V532" i="1"/>
  <c r="V528" i="1"/>
  <c r="V524" i="1"/>
  <c r="V513" i="1"/>
  <c r="V509" i="1"/>
  <c r="V499" i="1"/>
  <c r="V496" i="1"/>
  <c r="V483" i="1"/>
  <c r="V479" i="1"/>
  <c r="V475" i="1"/>
  <c r="V449" i="1"/>
  <c r="U446" i="1"/>
  <c r="U443" i="1"/>
  <c r="V415" i="1"/>
  <c r="V405" i="1"/>
  <c r="V401" i="1"/>
  <c r="V388" i="1"/>
  <c r="V381" i="1"/>
  <c r="V378" i="1"/>
  <c r="U375" i="1"/>
  <c r="V364" i="1"/>
  <c r="V350" i="1"/>
  <c r="V333" i="1"/>
  <c r="V316" i="1"/>
  <c r="V298" i="1"/>
  <c r="U287" i="1"/>
  <c r="V264" i="1"/>
  <c r="U528" i="1"/>
  <c r="X528" i="1" s="1"/>
  <c r="U524" i="1"/>
  <c r="X524" i="1" s="1"/>
  <c r="V520" i="1"/>
  <c r="U513" i="1"/>
  <c r="U509" i="1"/>
  <c r="U483" i="1"/>
  <c r="U479" i="1"/>
  <c r="V471" i="1"/>
  <c r="V467" i="1"/>
  <c r="V456" i="1"/>
  <c r="U449" i="1"/>
  <c r="V436" i="1"/>
  <c r="V424" i="1"/>
  <c r="V421" i="1"/>
  <c r="V418" i="1"/>
  <c r="U415" i="1"/>
  <c r="U412" i="1"/>
  <c r="V408" i="1"/>
  <c r="V391" i="1"/>
  <c r="V384" i="1"/>
  <c r="U378" i="1"/>
  <c r="V371" i="1"/>
  <c r="V367" i="1"/>
  <c r="U364" i="1"/>
  <c r="V360" i="1"/>
  <c r="V353" i="1"/>
  <c r="U350" i="1"/>
  <c r="V343" i="1"/>
  <c r="V312" i="1"/>
  <c r="V275" i="1"/>
  <c r="V559" i="1"/>
  <c r="V555" i="1"/>
  <c r="V551" i="1"/>
  <c r="V547" i="1"/>
  <c r="V543" i="1"/>
  <c r="V539" i="1"/>
  <c r="V516" i="1"/>
  <c r="V463" i="1"/>
  <c r="V452" i="1"/>
  <c r="V394" i="1"/>
  <c r="V308" i="1"/>
  <c r="V304" i="1"/>
  <c r="V286" i="1"/>
  <c r="V282" i="1"/>
  <c r="V278" i="1"/>
  <c r="V175" i="1"/>
  <c r="V535" i="1"/>
  <c r="V486" i="1"/>
  <c r="V414" i="1"/>
  <c r="V411" i="1"/>
  <c r="V404" i="1"/>
  <c r="V400" i="1"/>
  <c r="V387" i="1"/>
  <c r="V377" i="1"/>
  <c r="V363" i="1"/>
  <c r="V349" i="1"/>
  <c r="V301" i="1"/>
  <c r="V297" i="1"/>
  <c r="U282" i="1"/>
  <c r="U267" i="1"/>
  <c r="V519" i="1"/>
  <c r="V498" i="1"/>
  <c r="U478" i="1"/>
  <c r="V470" i="1"/>
  <c r="V466" i="1"/>
  <c r="V455" i="1"/>
  <c r="V448" i="1"/>
  <c r="V442" i="1"/>
  <c r="V435" i="1"/>
  <c r="U404" i="1"/>
  <c r="U387" i="1"/>
  <c r="V370" i="1"/>
  <c r="V366" i="1"/>
  <c r="V352" i="1"/>
  <c r="V325" i="1"/>
  <c r="V318" i="1"/>
  <c r="V311" i="1"/>
  <c r="V293" i="1"/>
  <c r="V289" i="1"/>
  <c r="V558" i="1"/>
  <c r="V554" i="1"/>
  <c r="V550" i="1"/>
  <c r="V546" i="1"/>
  <c r="V542" i="1"/>
  <c r="V538" i="1"/>
  <c r="U519" i="1"/>
  <c r="X519" i="1" s="1"/>
  <c r="V515" i="1"/>
  <c r="V501" i="1"/>
  <c r="U495" i="1"/>
  <c r="U470" i="1"/>
  <c r="U466" i="1"/>
  <c r="V462" i="1"/>
  <c r="U455" i="1"/>
  <c r="V451" i="1"/>
  <c r="U442" i="1"/>
  <c r="V426" i="1"/>
  <c r="V417" i="1"/>
  <c r="U407" i="1"/>
  <c r="X407" i="1" s="1"/>
  <c r="U397" i="1"/>
  <c r="U390" i="1"/>
  <c r="U370" i="1"/>
  <c r="U359" i="1"/>
  <c r="V355" i="1"/>
  <c r="U352" i="1"/>
  <c r="X352" i="1" s="1"/>
  <c r="U332" i="1"/>
  <c r="V328" i="1"/>
  <c r="U311" i="1"/>
  <c r="V255" i="1"/>
  <c r="V210" i="1"/>
  <c r="U558" i="1"/>
  <c r="Z558" i="1" s="1"/>
  <c r="U554" i="1"/>
  <c r="U550" i="1"/>
  <c r="U546" i="1"/>
  <c r="U542" i="1"/>
  <c r="U538" i="1"/>
  <c r="V534" i="1"/>
  <c r="V530" i="1"/>
  <c r="V526" i="1"/>
  <c r="V522" i="1"/>
  <c r="V511" i="1"/>
  <c r="V507" i="1"/>
  <c r="V504" i="1"/>
  <c r="V491" i="1"/>
  <c r="V488" i="1"/>
  <c r="V485" i="1"/>
  <c r="V481" i="1"/>
  <c r="V477" i="1"/>
  <c r="V473" i="1"/>
  <c r="V444" i="1"/>
  <c r="U435" i="1"/>
  <c r="V432" i="1"/>
  <c r="V429" i="1"/>
  <c r="V410" i="1"/>
  <c r="V403" i="1"/>
  <c r="V393" i="1"/>
  <c r="V386" i="1"/>
  <c r="V376" i="1"/>
  <c r="U366" i="1"/>
  <c r="V362" i="1"/>
  <c r="V348" i="1"/>
  <c r="V345" i="1"/>
  <c r="V335" i="1"/>
  <c r="U328" i="1"/>
  <c r="V321" i="1"/>
  <c r="V314" i="1"/>
  <c r="U307" i="1"/>
  <c r="Z307" i="1" s="1"/>
  <c r="V300" i="1"/>
  <c r="V296" i="1"/>
  <c r="U270" i="1"/>
  <c r="U534" i="1"/>
  <c r="U526" i="1"/>
  <c r="U522" i="1"/>
  <c r="Z522" i="1" s="1"/>
  <c r="V518" i="1"/>
  <c r="U515" i="1"/>
  <c r="U511" i="1"/>
  <c r="U507" i="1"/>
  <c r="U504" i="1"/>
  <c r="V494" i="1"/>
  <c r="U488" i="1"/>
  <c r="U485" i="1"/>
  <c r="U477" i="1"/>
  <c r="V469" i="1"/>
  <c r="V465" i="1"/>
  <c r="V458" i="1"/>
  <c r="V447" i="1"/>
  <c r="V441" i="1"/>
  <c r="V438" i="1"/>
  <c r="V413" i="1"/>
  <c r="U410" i="1"/>
  <c r="Z410" i="1" s="1"/>
  <c r="U403" i="1"/>
  <c r="X403" i="1" s="1"/>
  <c r="V399" i="1"/>
  <c r="V396" i="1"/>
  <c r="V373" i="1"/>
  <c r="V369" i="1"/>
  <c r="V358" i="1"/>
  <c r="V338" i="1"/>
  <c r="U335" i="1"/>
  <c r="V331" i="1"/>
  <c r="V324" i="1"/>
  <c r="U314" i="1"/>
  <c r="V310" i="1"/>
  <c r="V303" i="1"/>
  <c r="V198" i="1"/>
  <c r="V557" i="1"/>
  <c r="V553" i="1"/>
  <c r="V549" i="1"/>
  <c r="V545" i="1"/>
  <c r="V541" i="1"/>
  <c r="V537" i="1"/>
  <c r="U469" i="1"/>
  <c r="V461" i="1"/>
  <c r="V454" i="1"/>
  <c r="U447" i="1"/>
  <c r="X447" i="1" s="1"/>
  <c r="U444" i="1"/>
  <c r="X444" i="1" s="1"/>
  <c r="U441" i="1"/>
  <c r="V416" i="1"/>
  <c r="V389" i="1"/>
  <c r="V382" i="1"/>
  <c r="V379" i="1"/>
  <c r="V351" i="1"/>
  <c r="V327" i="1"/>
  <c r="V306" i="1"/>
  <c r="V284" i="1"/>
  <c r="V431" i="1"/>
  <c r="V406" i="1"/>
  <c r="V402" i="1"/>
  <c r="V365" i="1"/>
  <c r="V334" i="1"/>
  <c r="V317" i="1"/>
  <c r="V313" i="1"/>
  <c r="V472" i="1"/>
  <c r="V468" i="1"/>
  <c r="V464" i="1"/>
  <c r="V457" i="1"/>
  <c r="V443" i="1"/>
  <c r="V440" i="1"/>
  <c r="V437" i="1"/>
  <c r="V434" i="1"/>
  <c r="V428" i="1"/>
  <c r="V409" i="1"/>
  <c r="U406" i="1"/>
  <c r="V385" i="1"/>
  <c r="U365" i="1"/>
  <c r="V354" i="1"/>
  <c r="V347" i="1"/>
  <c r="V341" i="1"/>
  <c r="U317" i="1"/>
  <c r="V291" i="1"/>
  <c r="V250" i="1"/>
  <c r="V233" i="1"/>
  <c r="V208" i="1"/>
  <c r="V201" i="1"/>
  <c r="V191" i="1"/>
  <c r="V185" i="1"/>
  <c r="U173" i="1"/>
  <c r="V169" i="1"/>
  <c r="V165" i="1"/>
  <c r="V144" i="1"/>
  <c r="U141" i="1"/>
  <c r="V137" i="1"/>
  <c r="V130" i="1"/>
  <c r="V119" i="1"/>
  <c r="V108" i="1"/>
  <c r="U101" i="1"/>
  <c r="U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775" i="1"/>
  <c r="U296" i="1"/>
  <c r="Z296" i="1" s="1"/>
  <c r="V292" i="1"/>
  <c r="V288" i="1"/>
  <c r="U285" i="1"/>
  <c r="V267" i="1"/>
  <c r="U260" i="1"/>
  <c r="X260" i="1" s="1"/>
  <c r="V236" i="1"/>
  <c r="U233" i="1"/>
  <c r="U230" i="1"/>
  <c r="V204" i="1"/>
  <c r="U182" i="1"/>
  <c r="V161" i="1"/>
  <c r="V154" i="1"/>
  <c r="V147" i="1"/>
  <c r="U144" i="1"/>
  <c r="V133" i="1"/>
  <c r="V126" i="1"/>
  <c r="U108" i="1"/>
  <c r="Z108" i="1" s="1"/>
  <c r="V104" i="1"/>
  <c r="V41" i="1"/>
  <c r="V37" i="1"/>
  <c r="V33" i="1"/>
  <c r="V29" i="1"/>
  <c r="V18" i="1"/>
  <c r="V14" i="1"/>
  <c r="V570" i="1"/>
  <c r="V765" i="1"/>
  <c r="V761" i="1"/>
  <c r="V757" i="1"/>
  <c r="V753" i="1"/>
  <c r="V749" i="1"/>
  <c r="V745" i="1"/>
  <c r="V741" i="1"/>
  <c r="V737" i="1"/>
  <c r="V733" i="1"/>
  <c r="V729" i="1"/>
  <c r="V725" i="1"/>
  <c r="V721" i="1"/>
  <c r="V717" i="1"/>
  <c r="V713" i="1"/>
  <c r="V709" i="1"/>
  <c r="V705" i="1"/>
  <c r="V701" i="1"/>
  <c r="V697" i="1"/>
  <c r="V693" i="1"/>
  <c r="V689" i="1"/>
  <c r="V685" i="1"/>
  <c r="V681" i="1"/>
  <c r="V677" i="1"/>
  <c r="V673" i="1"/>
  <c r="V669" i="1"/>
  <c r="V665" i="1"/>
  <c r="V661" i="1"/>
  <c r="V657" i="1"/>
  <c r="V653" i="1"/>
  <c r="V649" i="1"/>
  <c r="V645" i="1"/>
  <c r="V641" i="1"/>
  <c r="V637" i="1"/>
  <c r="V633" i="1"/>
  <c r="V629" i="1"/>
  <c r="V625" i="1"/>
  <c r="V621" i="1"/>
  <c r="V617" i="1"/>
  <c r="V613" i="1"/>
  <c r="U959" i="1"/>
  <c r="Z959" i="1" s="1"/>
  <c r="U955" i="1"/>
  <c r="X955" i="1" s="1"/>
  <c r="U951" i="1"/>
  <c r="U947" i="1"/>
  <c r="V239" i="1"/>
  <c r="U236" i="1"/>
  <c r="Z236" i="1" s="1"/>
  <c r="U104" i="1"/>
  <c r="V25" i="1"/>
  <c r="U753" i="1"/>
  <c r="U745" i="1"/>
  <c r="U741" i="1"/>
  <c r="U729" i="1"/>
  <c r="U725" i="1"/>
  <c r="U717" i="1"/>
  <c r="X717" i="1" s="1"/>
  <c r="U713" i="1"/>
  <c r="U709" i="1"/>
  <c r="U701" i="1"/>
  <c r="U697" i="1"/>
  <c r="X697" i="1" s="1"/>
  <c r="U689" i="1"/>
  <c r="U685" i="1"/>
  <c r="U681" i="1"/>
  <c r="U669" i="1"/>
  <c r="U657" i="1"/>
  <c r="U653" i="1"/>
  <c r="U645" i="1"/>
  <c r="Z645" i="1" s="1"/>
  <c r="U641" i="1"/>
  <c r="Z641" i="1" s="1"/>
  <c r="U629" i="1"/>
  <c r="U625" i="1"/>
  <c r="U617" i="1"/>
  <c r="U613" i="1"/>
  <c r="X613" i="1" s="1"/>
  <c r="V277" i="1"/>
  <c r="V270" i="1"/>
  <c r="V259" i="1"/>
  <c r="V249" i="1"/>
  <c r="U243" i="1"/>
  <c r="V229" i="1"/>
  <c r="U219" i="1"/>
  <c r="X219" i="1" s="1"/>
  <c r="V207" i="1"/>
  <c r="V200" i="1"/>
  <c r="V197" i="1"/>
  <c r="V194" i="1"/>
  <c r="V184" i="1"/>
  <c r="V178" i="1"/>
  <c r="V168" i="1"/>
  <c r="V164" i="1"/>
  <c r="V157" i="1"/>
  <c r="V143" i="1"/>
  <c r="V129" i="1"/>
  <c r="V122" i="1"/>
  <c r="V118" i="1"/>
  <c r="U115" i="1"/>
  <c r="V107" i="1"/>
  <c r="V96" i="1"/>
  <c r="V92" i="1"/>
  <c r="V88" i="1"/>
  <c r="V84" i="1"/>
  <c r="V80" i="1"/>
  <c r="V76" i="1"/>
  <c r="V72" i="1"/>
  <c r="V68" i="1"/>
  <c r="V64" i="1"/>
  <c r="V60" i="1"/>
  <c r="V56" i="1"/>
  <c r="V52" i="1"/>
  <c r="V48" i="1"/>
  <c r="V44" i="1"/>
  <c r="V21" i="1"/>
  <c r="V564" i="1"/>
  <c r="V573" i="1"/>
  <c r="V770" i="1"/>
  <c r="U573" i="1"/>
  <c r="V340" i="1"/>
  <c r="V326" i="1"/>
  <c r="V319" i="1"/>
  <c r="U305" i="1"/>
  <c r="U291" i="1"/>
  <c r="V287" i="1"/>
  <c r="V280" i="1"/>
  <c r="V273" i="1"/>
  <c r="V242" i="1"/>
  <c r="V225" i="1"/>
  <c r="U222" i="1"/>
  <c r="V218" i="1"/>
  <c r="V214" i="1"/>
  <c r="V203" i="1"/>
  <c r="V171" i="1"/>
  <c r="V160" i="1"/>
  <c r="V153" i="1"/>
  <c r="V139" i="1"/>
  <c r="V132" i="1"/>
  <c r="V114" i="1"/>
  <c r="V110" i="1"/>
  <c r="V99" i="1"/>
  <c r="V24" i="1"/>
  <c r="U17" i="1"/>
  <c r="U13" i="1"/>
  <c r="V560" i="1"/>
  <c r="U575" i="1"/>
  <c r="X575" i="1" s="1"/>
  <c r="U764" i="1"/>
  <c r="U760" i="1"/>
  <c r="Z760" i="1" s="1"/>
  <c r="U756" i="1"/>
  <c r="U752" i="1"/>
  <c r="U748" i="1"/>
  <c r="U744" i="1"/>
  <c r="U740" i="1"/>
  <c r="U736" i="1"/>
  <c r="U732" i="1"/>
  <c r="U728" i="1"/>
  <c r="U724" i="1"/>
  <c r="Z724" i="1" s="1"/>
  <c r="U720" i="1"/>
  <c r="Z720" i="1" s="1"/>
  <c r="U716" i="1"/>
  <c r="U712" i="1"/>
  <c r="Z712" i="1" s="1"/>
  <c r="U708" i="1"/>
  <c r="U704" i="1"/>
  <c r="U700" i="1"/>
  <c r="U696" i="1"/>
  <c r="U692" i="1"/>
  <c r="U688" i="1"/>
  <c r="U684" i="1"/>
  <c r="U680" i="1"/>
  <c r="U676" i="1"/>
  <c r="Z676" i="1" s="1"/>
  <c r="U672" i="1"/>
  <c r="X672" i="1" s="1"/>
  <c r="U668" i="1"/>
  <c r="U664" i="1"/>
  <c r="X664" i="1" s="1"/>
  <c r="U660" i="1"/>
  <c r="U656" i="1"/>
  <c r="U652" i="1"/>
  <c r="V262" i="1"/>
  <c r="U242" i="1"/>
  <c r="V228" i="1"/>
  <c r="U225" i="1"/>
  <c r="U218" i="1"/>
  <c r="U203" i="1"/>
  <c r="X203" i="1" s="1"/>
  <c r="V199" i="1"/>
  <c r="U171" i="1"/>
  <c r="U139" i="1"/>
  <c r="X139" i="1" s="1"/>
  <c r="U132" i="1"/>
  <c r="U24" i="1"/>
  <c r="U560" i="1"/>
  <c r="V781" i="1"/>
  <c r="V294" i="1"/>
  <c r="V290" i="1"/>
  <c r="V269" i="1"/>
  <c r="V258" i="1"/>
  <c r="U255" i="1"/>
  <c r="X255" i="1" s="1"/>
  <c r="V251" i="1"/>
  <c r="V245" i="1"/>
  <c r="V238" i="1"/>
  <c r="V221" i="1"/>
  <c r="V206" i="1"/>
  <c r="V180" i="1"/>
  <c r="V177" i="1"/>
  <c r="V174" i="1"/>
  <c r="V149" i="1"/>
  <c r="V135" i="1"/>
  <c r="V124" i="1"/>
  <c r="V106" i="1"/>
  <c r="V43" i="1"/>
  <c r="V39" i="1"/>
  <c r="V35" i="1"/>
  <c r="V31" i="1"/>
  <c r="V27" i="1"/>
  <c r="V16" i="1"/>
  <c r="V12" i="1"/>
  <c r="V566" i="1"/>
  <c r="V767" i="1"/>
  <c r="V763" i="1"/>
  <c r="V759" i="1"/>
  <c r="V755" i="1"/>
  <c r="V751" i="1"/>
  <c r="V747" i="1"/>
  <c r="V743" i="1"/>
  <c r="V739" i="1"/>
  <c r="V735" i="1"/>
  <c r="V731" i="1"/>
  <c r="V727" i="1"/>
  <c r="V723" i="1"/>
  <c r="V719" i="1"/>
  <c r="V715" i="1"/>
  <c r="V711" i="1"/>
  <c r="V707" i="1"/>
  <c r="V703" i="1"/>
  <c r="V699" i="1"/>
  <c r="V695" i="1"/>
  <c r="V691" i="1"/>
  <c r="V687" i="1"/>
  <c r="V683" i="1"/>
  <c r="V679" i="1"/>
  <c r="V675" i="1"/>
  <c r="V671" i="1"/>
  <c r="V667" i="1"/>
  <c r="V663" i="1"/>
  <c r="V659" i="1"/>
  <c r="V655" i="1"/>
  <c r="V651" i="1"/>
  <c r="V647" i="1"/>
  <c r="V643" i="1"/>
  <c r="V639" i="1"/>
  <c r="V635" i="1"/>
  <c r="V631" i="1"/>
  <c r="U177" i="1"/>
  <c r="V145" i="1"/>
  <c r="U43" i="1"/>
  <c r="U39" i="1"/>
  <c r="U35" i="1"/>
  <c r="U31" i="1"/>
  <c r="Z31" i="1" s="1"/>
  <c r="U16" i="1"/>
  <c r="Z16" i="1" s="1"/>
  <c r="U12" i="1"/>
  <c r="U566" i="1"/>
  <c r="V261" i="1"/>
  <c r="V254" i="1"/>
  <c r="V234" i="1"/>
  <c r="U231" i="1"/>
  <c r="U224" i="1"/>
  <c r="V209" i="1"/>
  <c r="V192" i="1"/>
  <c r="U183" i="1"/>
  <c r="Z183" i="1" s="1"/>
  <c r="V166" i="1"/>
  <c r="V155" i="1"/>
  <c r="V138" i="1"/>
  <c r="U131" i="1"/>
  <c r="V127" i="1"/>
  <c r="V120" i="1"/>
  <c r="U98" i="1"/>
  <c r="V94" i="1"/>
  <c r="V90" i="1"/>
  <c r="V86" i="1"/>
  <c r="V82" i="1"/>
  <c r="V78" i="1"/>
  <c r="V74" i="1"/>
  <c r="V70" i="1"/>
  <c r="V66" i="1"/>
  <c r="V62" i="1"/>
  <c r="V58" i="1"/>
  <c r="V54" i="1"/>
  <c r="V50" i="1"/>
  <c r="V46" i="1"/>
  <c r="V562" i="1"/>
  <c r="V268" i="1"/>
  <c r="U261" i="1"/>
  <c r="Z261" i="1" s="1"/>
  <c r="V257" i="1"/>
  <c r="U254" i="1"/>
  <c r="Z254" i="1" s="1"/>
  <c r="V244" i="1"/>
  <c r="V237" i="1"/>
  <c r="U234" i="1"/>
  <c r="V227" i="1"/>
  <c r="V220" i="1"/>
  <c r="U209" i="1"/>
  <c r="V205" i="1"/>
  <c r="V179" i="1"/>
  <c r="V148" i="1"/>
  <c r="U138" i="1"/>
  <c r="V134" i="1"/>
  <c r="U127" i="1"/>
  <c r="Z127" i="1" s="1"/>
  <c r="V116" i="1"/>
  <c r="V105" i="1"/>
  <c r="V42" i="1"/>
  <c r="V38" i="1"/>
  <c r="V34" i="1"/>
  <c r="V30" i="1"/>
  <c r="V26" i="1"/>
  <c r="V19" i="1"/>
  <c r="V15" i="1"/>
  <c r="V571" i="1"/>
  <c r="V766" i="1"/>
  <c r="V762" i="1"/>
  <c r="V758" i="1"/>
  <c r="V754" i="1"/>
  <c r="V750" i="1"/>
  <c r="V746" i="1"/>
  <c r="V742" i="1"/>
  <c r="V738" i="1"/>
  <c r="V734" i="1"/>
  <c r="V730" i="1"/>
  <c r="V726" i="1"/>
  <c r="V722" i="1"/>
  <c r="V718" i="1"/>
  <c r="V714" i="1"/>
  <c r="V710" i="1"/>
  <c r="V706" i="1"/>
  <c r="V702" i="1"/>
  <c r="V698" i="1"/>
  <c r="V694" i="1"/>
  <c r="V690" i="1"/>
  <c r="V686" i="1"/>
  <c r="V682" i="1"/>
  <c r="V678" i="1"/>
  <c r="V674" i="1"/>
  <c r="V670" i="1"/>
  <c r="V666" i="1"/>
  <c r="V662" i="1"/>
  <c r="V658" i="1"/>
  <c r="V654" i="1"/>
  <c r="V650" i="1"/>
  <c r="V646" i="1"/>
  <c r="V642" i="1"/>
  <c r="V638" i="1"/>
  <c r="V634" i="1"/>
  <c r="V630" i="1"/>
  <c r="V626" i="1"/>
  <c r="V622" i="1"/>
  <c r="V618" i="1"/>
  <c r="V614" i="1"/>
  <c r="V610" i="1"/>
  <c r="V606" i="1"/>
  <c r="V602" i="1"/>
  <c r="V173" i="1"/>
  <c r="V123" i="1"/>
  <c r="V565" i="1"/>
  <c r="U585" i="1"/>
  <c r="V577" i="1"/>
  <c r="V932" i="1"/>
  <c r="V928" i="1"/>
  <c r="V924" i="1"/>
  <c r="V920" i="1"/>
  <c r="V901" i="1"/>
  <c r="V874" i="1"/>
  <c r="V870" i="1"/>
  <c r="V843" i="1"/>
  <c r="V824" i="1"/>
  <c r="V820" i="1"/>
  <c r="V816" i="1"/>
  <c r="V812" i="1"/>
  <c r="V797" i="1"/>
  <c r="V885" i="1"/>
  <c r="V839" i="1"/>
  <c r="V785" i="1"/>
  <c r="U648" i="1"/>
  <c r="U644" i="1"/>
  <c r="X644" i="1" s="1"/>
  <c r="U640" i="1"/>
  <c r="U636" i="1"/>
  <c r="Z636" i="1" s="1"/>
  <c r="U632" i="1"/>
  <c r="U628" i="1"/>
  <c r="U624" i="1"/>
  <c r="U620" i="1"/>
  <c r="U616" i="1"/>
  <c r="X616" i="1" s="1"/>
  <c r="U612" i="1"/>
  <c r="Z612" i="1" s="1"/>
  <c r="U608" i="1"/>
  <c r="Z608" i="1" s="1"/>
  <c r="U604" i="1"/>
  <c r="Z604" i="1" s="1"/>
  <c r="U600" i="1"/>
  <c r="U596" i="1"/>
  <c r="U592" i="1"/>
  <c r="U588" i="1"/>
  <c r="V584" i="1"/>
  <c r="V580" i="1"/>
  <c r="U782" i="1"/>
  <c r="V778" i="1"/>
  <c r="U775" i="1"/>
  <c r="X775" i="1" s="1"/>
  <c r="V771" i="1"/>
  <c r="V959" i="1"/>
  <c r="V955" i="1"/>
  <c r="V951" i="1"/>
  <c r="V947" i="1"/>
  <c r="V943" i="1"/>
  <c r="V939" i="1"/>
  <c r="V935" i="1"/>
  <c r="U916" i="1"/>
  <c r="U912" i="1"/>
  <c r="V908" i="1"/>
  <c r="U897" i="1"/>
  <c r="Z897" i="1" s="1"/>
  <c r="V881" i="1"/>
  <c r="V877" i="1"/>
  <c r="U866" i="1"/>
  <c r="U862" i="1"/>
  <c r="V858" i="1"/>
  <c r="V854" i="1"/>
  <c r="V850" i="1"/>
  <c r="U839" i="1"/>
  <c r="U835" i="1"/>
  <c r="V831" i="1"/>
  <c r="V827" i="1"/>
  <c r="U804" i="1"/>
  <c r="Z804" i="1" s="1"/>
  <c r="U793" i="1"/>
  <c r="Z793" i="1" s="1"/>
  <c r="U789" i="1"/>
  <c r="Z789" i="1" s="1"/>
  <c r="U943" i="1"/>
  <c r="U939" i="1"/>
  <c r="V919" i="1"/>
  <c r="U908" i="1"/>
  <c r="V904" i="1"/>
  <c r="U858" i="1"/>
  <c r="U854" i="1"/>
  <c r="U831" i="1"/>
  <c r="V811" i="1"/>
  <c r="V627" i="1"/>
  <c r="V623" i="1"/>
  <c r="V619" i="1"/>
  <c r="V615" i="1"/>
  <c r="V611" i="1"/>
  <c r="V607" i="1"/>
  <c r="V603" i="1"/>
  <c r="V599" i="1"/>
  <c r="V595" i="1"/>
  <c r="V591" i="1"/>
  <c r="V587" i="1"/>
  <c r="V774" i="1"/>
  <c r="V915" i="1"/>
  <c r="U904" i="1"/>
  <c r="X904" i="1" s="1"/>
  <c r="V896" i="1"/>
  <c r="V892" i="1"/>
  <c r="V888" i="1"/>
  <c r="V884" i="1"/>
  <c r="V865" i="1"/>
  <c r="V838" i="1"/>
  <c r="V834" i="1"/>
  <c r="V807" i="1"/>
  <c r="V796" i="1"/>
  <c r="V792" i="1"/>
  <c r="V788" i="1"/>
  <c r="U915" i="1"/>
  <c r="X915" i="1" s="1"/>
  <c r="V911" i="1"/>
  <c r="U884" i="1"/>
  <c r="U865" i="1"/>
  <c r="V857" i="1"/>
  <c r="U838" i="1"/>
  <c r="V803" i="1"/>
  <c r="U796" i="1"/>
  <c r="V777" i="1"/>
  <c r="V930" i="1"/>
  <c r="V926" i="1"/>
  <c r="V922" i="1"/>
  <c r="U911" i="1"/>
  <c r="Z911" i="1" s="1"/>
  <c r="V903" i="1"/>
  <c r="V899" i="1"/>
  <c r="V872" i="1"/>
  <c r="U861" i="1"/>
  <c r="V845" i="1"/>
  <c r="V841" i="1"/>
  <c r="U830" i="1"/>
  <c r="V822" i="1"/>
  <c r="V818" i="1"/>
  <c r="V814" i="1"/>
  <c r="U803" i="1"/>
  <c r="Z803" i="1" s="1"/>
  <c r="V799" i="1"/>
  <c r="V914" i="1"/>
  <c r="V883" i="1"/>
  <c r="V582" i="1"/>
  <c r="V578" i="1"/>
  <c r="V780" i="1"/>
  <c r="V773" i="1"/>
  <c r="V769" i="1"/>
  <c r="V957" i="1"/>
  <c r="V953" i="1"/>
  <c r="V949" i="1"/>
  <c r="V945" i="1"/>
  <c r="V941" i="1"/>
  <c r="V937" i="1"/>
  <c r="V910" i="1"/>
  <c r="V906" i="1"/>
  <c r="V879" i="1"/>
  <c r="U868" i="1"/>
  <c r="V860" i="1"/>
  <c r="V856" i="1"/>
  <c r="V852" i="1"/>
  <c r="V848" i="1"/>
  <c r="V829" i="1"/>
  <c r="V802" i="1"/>
  <c r="V798" i="1"/>
  <c r="V609" i="1"/>
  <c r="V605" i="1"/>
  <c r="V601" i="1"/>
  <c r="V597" i="1"/>
  <c r="V593" i="1"/>
  <c r="V589" i="1"/>
  <c r="V783" i="1"/>
  <c r="U776" i="1"/>
  <c r="U933" i="1"/>
  <c r="U929" i="1"/>
  <c r="V917" i="1"/>
  <c r="V913" i="1"/>
  <c r="U902" i="1"/>
  <c r="Z902" i="1" s="1"/>
  <c r="U898" i="1"/>
  <c r="V894" i="1"/>
  <c r="V890" i="1"/>
  <c r="V886" i="1"/>
  <c r="U875" i="1"/>
  <c r="U871" i="1"/>
  <c r="V867" i="1"/>
  <c r="V863" i="1"/>
  <c r="U840" i="1"/>
  <c r="V836" i="1"/>
  <c r="U825" i="1"/>
  <c r="X825" i="1" s="1"/>
  <c r="U813" i="1"/>
  <c r="Z813" i="1" s="1"/>
  <c r="V809" i="1"/>
  <c r="V805" i="1"/>
  <c r="V794" i="1"/>
  <c r="V790" i="1"/>
  <c r="V786" i="1"/>
  <c r="U609" i="1"/>
  <c r="U601" i="1"/>
  <c r="U597" i="1"/>
  <c r="V581" i="1"/>
  <c r="V779" i="1"/>
  <c r="V772" i="1"/>
  <c r="V768" i="1"/>
  <c r="V956" i="1"/>
  <c r="V952" i="1"/>
  <c r="V948" i="1"/>
  <c r="V944" i="1"/>
  <c r="V940" i="1"/>
  <c r="V936" i="1"/>
  <c r="U917" i="1"/>
  <c r="U913" i="1"/>
  <c r="V909" i="1"/>
  <c r="V905" i="1"/>
  <c r="U894" i="1"/>
  <c r="X894" i="1" s="1"/>
  <c r="U890" i="1"/>
  <c r="Z890" i="1" s="1"/>
  <c r="U886" i="1"/>
  <c r="V882" i="1"/>
  <c r="V878" i="1"/>
  <c r="V859" i="1"/>
  <c r="V855" i="1"/>
  <c r="V851" i="1"/>
  <c r="V847" i="1"/>
  <c r="U836" i="1"/>
  <c r="V832" i="1"/>
  <c r="V828" i="1"/>
  <c r="U809" i="1"/>
  <c r="U805" i="1"/>
  <c r="Z805" i="1" s="1"/>
  <c r="U794" i="1"/>
  <c r="X531" i="1"/>
  <c r="Z531" i="1"/>
  <c r="X527" i="1"/>
  <c r="Z527" i="1"/>
  <c r="X512" i="1"/>
  <c r="Z512" i="1"/>
  <c r="Z478" i="1"/>
  <c r="X478" i="1"/>
  <c r="U474" i="1"/>
  <c r="Z470" i="1"/>
  <c r="X470" i="1"/>
  <c r="Z466" i="1"/>
  <c r="X466" i="1"/>
  <c r="Z442" i="1"/>
  <c r="X442" i="1"/>
  <c r="X370" i="1"/>
  <c r="Z370" i="1"/>
  <c r="Z366" i="1"/>
  <c r="X366" i="1"/>
  <c r="Z328" i="1"/>
  <c r="X328" i="1"/>
  <c r="X526" i="1"/>
  <c r="Z526" i="1"/>
  <c r="Z515" i="1"/>
  <c r="X515" i="1"/>
  <c r="X511" i="1"/>
  <c r="Z511" i="1"/>
  <c r="Z488" i="1"/>
  <c r="X488" i="1"/>
  <c r="Z477" i="1"/>
  <c r="X477" i="1"/>
  <c r="X369" i="1"/>
  <c r="Z369" i="1"/>
  <c r="Z518" i="1"/>
  <c r="X518" i="1"/>
  <c r="Z454" i="1"/>
  <c r="X454" i="1"/>
  <c r="Z379" i="1"/>
  <c r="X379" i="1"/>
  <c r="U351" i="1"/>
  <c r="X525" i="1"/>
  <c r="Z525" i="1"/>
  <c r="Z514" i="1"/>
  <c r="X514" i="1"/>
  <c r="Z503" i="1"/>
  <c r="X503" i="1"/>
  <c r="Z375" i="1"/>
  <c r="X375" i="1"/>
  <c r="Z483" i="1"/>
  <c r="X483" i="1"/>
  <c r="Z479" i="1"/>
  <c r="X479" i="1"/>
  <c r="Z467" i="1"/>
  <c r="X467" i="1"/>
  <c r="Z502" i="1"/>
  <c r="X502" i="1"/>
  <c r="Z463" i="1"/>
  <c r="X463" i="1"/>
  <c r="X559" i="1"/>
  <c r="Z559" i="1"/>
  <c r="Z555" i="1"/>
  <c r="X555" i="1"/>
  <c r="Z551" i="1"/>
  <c r="X551" i="1"/>
  <c r="X547" i="1"/>
  <c r="Z547" i="1"/>
  <c r="X543" i="1"/>
  <c r="Z543" i="1"/>
  <c r="X539" i="1"/>
  <c r="Z539" i="1"/>
  <c r="Z523" i="1"/>
  <c r="X523" i="1"/>
  <c r="X508" i="1"/>
  <c r="Z508" i="1"/>
  <c r="U436" i="1"/>
  <c r="U422" i="1"/>
  <c r="U419" i="1"/>
  <c r="Z394" i="1"/>
  <c r="X394" i="1"/>
  <c r="U388" i="1"/>
  <c r="U363" i="1"/>
  <c r="U360" i="1"/>
  <c r="U334" i="1"/>
  <c r="U318" i="1"/>
  <c r="X308" i="1"/>
  <c r="Z308" i="1"/>
  <c r="X304" i="1"/>
  <c r="Z304" i="1"/>
  <c r="Z149" i="1"/>
  <c r="X149" i="1"/>
  <c r="U535" i="1"/>
  <c r="U529" i="1"/>
  <c r="U520" i="1"/>
  <c r="U517" i="1"/>
  <c r="U499" i="1"/>
  <c r="U484" i="1"/>
  <c r="U451" i="1"/>
  <c r="U448" i="1"/>
  <c r="U445" i="1"/>
  <c r="X397" i="1"/>
  <c r="Z397" i="1"/>
  <c r="U337" i="1"/>
  <c r="Z279" i="1"/>
  <c r="X279" i="1"/>
  <c r="X231" i="1"/>
  <c r="Z231" i="1"/>
  <c r="Z113" i="1"/>
  <c r="X113" i="1"/>
  <c r="U505" i="1"/>
  <c r="U496" i="1"/>
  <c r="U493" i="1"/>
  <c r="U490" i="1"/>
  <c r="Z487" i="1"/>
  <c r="U475" i="1"/>
  <c r="U460" i="1"/>
  <c r="U439" i="1"/>
  <c r="Z406" i="1"/>
  <c r="X406" i="1"/>
  <c r="U381" i="1"/>
  <c r="Z372" i="1"/>
  <c r="X372" i="1"/>
  <c r="Z356" i="1"/>
  <c r="X356" i="1"/>
  <c r="X324" i="1"/>
  <c r="Z324" i="1"/>
  <c r="X311" i="1"/>
  <c r="Z311" i="1"/>
  <c r="X261" i="1"/>
  <c r="U155" i="1"/>
  <c r="X554" i="1"/>
  <c r="Z554" i="1"/>
  <c r="Z550" i="1"/>
  <c r="X550" i="1"/>
  <c r="Z546" i="1"/>
  <c r="X546" i="1"/>
  <c r="Z542" i="1"/>
  <c r="X542" i="1"/>
  <c r="Z538" i="1"/>
  <c r="X538" i="1"/>
  <c r="U481" i="1"/>
  <c r="U472" i="1"/>
  <c r="X469" i="1"/>
  <c r="Z469" i="1"/>
  <c r="U457" i="1"/>
  <c r="X430" i="1"/>
  <c r="Z430" i="1"/>
  <c r="Z424" i="1"/>
  <c r="X424" i="1"/>
  <c r="Z415" i="1"/>
  <c r="X415" i="1"/>
  <c r="X399" i="1"/>
  <c r="Z399" i="1"/>
  <c r="X390" i="1"/>
  <c r="Z390" i="1"/>
  <c r="X387" i="1"/>
  <c r="Z387" i="1"/>
  <c r="U384" i="1"/>
  <c r="Z378" i="1"/>
  <c r="X378" i="1"/>
  <c r="Z359" i="1"/>
  <c r="X359" i="1"/>
  <c r="U327" i="1"/>
  <c r="X314" i="1"/>
  <c r="Z314" i="1"/>
  <c r="X275" i="1"/>
  <c r="Z275" i="1"/>
  <c r="X237" i="1"/>
  <c r="Z237" i="1"/>
  <c r="Z227" i="1"/>
  <c r="X227" i="1"/>
  <c r="X105" i="1"/>
  <c r="Z105" i="1"/>
  <c r="Z534" i="1"/>
  <c r="X534" i="1"/>
  <c r="X507" i="1"/>
  <c r="Z507" i="1"/>
  <c r="Z435" i="1"/>
  <c r="X435" i="1"/>
  <c r="X421" i="1"/>
  <c r="Z421" i="1"/>
  <c r="X418" i="1"/>
  <c r="Z418" i="1"/>
  <c r="Z412" i="1"/>
  <c r="X412" i="1"/>
  <c r="U396" i="1"/>
  <c r="U393" i="1"/>
  <c r="Z346" i="1"/>
  <c r="X346" i="1"/>
  <c r="U340" i="1"/>
  <c r="U333" i="1"/>
  <c r="Z173" i="1"/>
  <c r="X173" i="1"/>
  <c r="Z516" i="1"/>
  <c r="X516" i="1"/>
  <c r="Z513" i="1"/>
  <c r="X513" i="1"/>
  <c r="X504" i="1"/>
  <c r="Z504" i="1"/>
  <c r="U402" i="1"/>
  <c r="X355" i="1"/>
  <c r="Z355" i="1"/>
  <c r="U349" i="1"/>
  <c r="Z317" i="1"/>
  <c r="X317" i="1"/>
  <c r="X285" i="1"/>
  <c r="Z285" i="1"/>
  <c r="U191" i="1"/>
  <c r="Z557" i="1"/>
  <c r="X557" i="1"/>
  <c r="X553" i="1"/>
  <c r="Z553" i="1"/>
  <c r="Z549" i="1"/>
  <c r="X549" i="1"/>
  <c r="Z545" i="1"/>
  <c r="X545" i="1"/>
  <c r="X541" i="1"/>
  <c r="Z541" i="1"/>
  <c r="Z537" i="1"/>
  <c r="X537" i="1"/>
  <c r="U510" i="1"/>
  <c r="Z501" i="1"/>
  <c r="X501" i="1"/>
  <c r="Z498" i="1"/>
  <c r="X498" i="1"/>
  <c r="X495" i="1"/>
  <c r="Z495" i="1"/>
  <c r="Z492" i="1"/>
  <c r="X492" i="1"/>
  <c r="U489" i="1"/>
  <c r="U480" i="1"/>
  <c r="Z459" i="1"/>
  <c r="X459" i="1"/>
  <c r="U456" i="1"/>
  <c r="U450" i="1"/>
  <c r="Z441" i="1"/>
  <c r="X441" i="1"/>
  <c r="U438" i="1"/>
  <c r="U432" i="1"/>
  <c r="U429" i="1"/>
  <c r="U414" i="1"/>
  <c r="U408" i="1"/>
  <c r="U405" i="1"/>
  <c r="Z365" i="1"/>
  <c r="X365" i="1"/>
  <c r="Z358" i="1"/>
  <c r="X358" i="1"/>
  <c r="Z267" i="1"/>
  <c r="X267" i="1"/>
  <c r="U161" i="1"/>
  <c r="U486" i="1"/>
  <c r="U471" i="1"/>
  <c r="U468" i="1"/>
  <c r="U465" i="1"/>
  <c r="U453" i="1"/>
  <c r="U426" i="1"/>
  <c r="U423" i="1"/>
  <c r="U411" i="1"/>
  <c r="U361" i="1"/>
  <c r="U342" i="1"/>
  <c r="U339" i="1"/>
  <c r="X243" i="1"/>
  <c r="Z243" i="1"/>
  <c r="U215" i="1"/>
  <c r="U533" i="1"/>
  <c r="U420" i="1"/>
  <c r="U417" i="1"/>
  <c r="U401" i="1"/>
  <c r="U348" i="1"/>
  <c r="U345" i="1"/>
  <c r="X332" i="1"/>
  <c r="Z332" i="1"/>
  <c r="X556" i="1"/>
  <c r="Z556" i="1"/>
  <c r="Z548" i="1"/>
  <c r="X548" i="1"/>
  <c r="Z544" i="1"/>
  <c r="X544" i="1"/>
  <c r="Z536" i="1"/>
  <c r="X536" i="1"/>
  <c r="U530" i="1"/>
  <c r="Z521" i="1"/>
  <c r="X521" i="1"/>
  <c r="Z509" i="1"/>
  <c r="X509" i="1"/>
  <c r="Z455" i="1"/>
  <c r="X455" i="1"/>
  <c r="Z449" i="1"/>
  <c r="X449" i="1"/>
  <c r="X446" i="1"/>
  <c r="Z446" i="1"/>
  <c r="Z443" i="1"/>
  <c r="X443" i="1"/>
  <c r="Z437" i="1"/>
  <c r="X437" i="1"/>
  <c r="Z431" i="1"/>
  <c r="X431" i="1"/>
  <c r="Z407" i="1"/>
  <c r="X376" i="1"/>
  <c r="Z376" i="1"/>
  <c r="X367" i="1"/>
  <c r="Z367" i="1"/>
  <c r="Z364" i="1"/>
  <c r="X364" i="1"/>
  <c r="Z335" i="1"/>
  <c r="X335" i="1"/>
  <c r="X319" i="1"/>
  <c r="Z319" i="1"/>
  <c r="Z291" i="1"/>
  <c r="X291" i="1"/>
  <c r="U506" i="1"/>
  <c r="Z500" i="1"/>
  <c r="X500" i="1"/>
  <c r="Z497" i="1"/>
  <c r="X497" i="1"/>
  <c r="Z494" i="1"/>
  <c r="X494" i="1"/>
  <c r="X491" i="1"/>
  <c r="Z491" i="1"/>
  <c r="Z485" i="1"/>
  <c r="X485" i="1"/>
  <c r="Z464" i="1"/>
  <c r="X464" i="1"/>
  <c r="X452" i="1"/>
  <c r="Z452" i="1"/>
  <c r="Z434" i="1"/>
  <c r="X434" i="1"/>
  <c r="Z428" i="1"/>
  <c r="X428" i="1"/>
  <c r="X404" i="1"/>
  <c r="Z404" i="1"/>
  <c r="Z385" i="1"/>
  <c r="X385" i="1"/>
  <c r="Z382" i="1"/>
  <c r="X382" i="1"/>
  <c r="U357" i="1"/>
  <c r="X354" i="1"/>
  <c r="Z354" i="1"/>
  <c r="Z338" i="1"/>
  <c r="X338" i="1"/>
  <c r="U322" i="1"/>
  <c r="Z203" i="1"/>
  <c r="U532" i="1"/>
  <c r="U482" i="1"/>
  <c r="U476" i="1"/>
  <c r="U473" i="1"/>
  <c r="U461" i="1"/>
  <c r="U458" i="1"/>
  <c r="U425" i="1"/>
  <c r="U416" i="1"/>
  <c r="U413" i="1"/>
  <c r="U400" i="1"/>
  <c r="U373" i="1"/>
  <c r="U331" i="1"/>
  <c r="U325" i="1"/>
  <c r="Z163" i="1"/>
  <c r="X163" i="1"/>
  <c r="Z121" i="1"/>
  <c r="X121" i="1"/>
  <c r="U313" i="1"/>
  <c r="U310" i="1"/>
  <c r="U272" i="1"/>
  <c r="Z266" i="1"/>
  <c r="X266" i="1"/>
  <c r="Z230" i="1"/>
  <c r="X230" i="1"/>
  <c r="U208" i="1"/>
  <c r="U205" i="1"/>
  <c r="U202" i="1"/>
  <c r="U199" i="1"/>
  <c r="U196" i="1"/>
  <c r="Z182" i="1"/>
  <c r="X182" i="1"/>
  <c r="U170" i="1"/>
  <c r="U140" i="1"/>
  <c r="U137" i="1"/>
  <c r="U134" i="1"/>
  <c r="U107" i="1"/>
  <c r="U93" i="1"/>
  <c r="U89" i="1"/>
  <c r="U85" i="1"/>
  <c r="U81" i="1"/>
  <c r="U77" i="1"/>
  <c r="U73" i="1"/>
  <c r="U69" i="1"/>
  <c r="U65" i="1"/>
  <c r="U61" i="1"/>
  <c r="U57" i="1"/>
  <c r="U53" i="1"/>
  <c r="U49" i="1"/>
  <c r="U26" i="1"/>
  <c r="U767" i="1"/>
  <c r="U763" i="1"/>
  <c r="U759" i="1"/>
  <c r="U755" i="1"/>
  <c r="U751" i="1"/>
  <c r="U747" i="1"/>
  <c r="U743" i="1"/>
  <c r="U739" i="1"/>
  <c r="U735" i="1"/>
  <c r="U731" i="1"/>
  <c r="U727" i="1"/>
  <c r="U723" i="1"/>
  <c r="U719" i="1"/>
  <c r="U715" i="1"/>
  <c r="U711" i="1"/>
  <c r="U703" i="1"/>
  <c r="U695" i="1"/>
  <c r="Z683" i="1"/>
  <c r="X683" i="1"/>
  <c r="X671" i="1"/>
  <c r="Z671" i="1"/>
  <c r="Z667" i="1"/>
  <c r="X667" i="1"/>
  <c r="Z659" i="1"/>
  <c r="X659" i="1"/>
  <c r="Z655" i="1"/>
  <c r="X655" i="1"/>
  <c r="Z643" i="1"/>
  <c r="X643" i="1"/>
  <c r="X631" i="1"/>
  <c r="Z631" i="1"/>
  <c r="Z623" i="1"/>
  <c r="X623" i="1"/>
  <c r="Z595" i="1"/>
  <c r="X595" i="1"/>
  <c r="Z915" i="1"/>
  <c r="X884" i="1"/>
  <c r="Z884" i="1"/>
  <c r="Z838" i="1"/>
  <c r="X838" i="1"/>
  <c r="X796" i="1"/>
  <c r="Z796" i="1"/>
  <c r="U316" i="1"/>
  <c r="U295" i="1"/>
  <c r="U269" i="1"/>
  <c r="U211" i="1"/>
  <c r="U151" i="1"/>
  <c r="U120" i="1"/>
  <c r="U110" i="1"/>
  <c r="U100" i="1"/>
  <c r="U45" i="1"/>
  <c r="U19" i="1"/>
  <c r="U15" i="1"/>
  <c r="U569" i="1"/>
  <c r="X583" i="1"/>
  <c r="Z583" i="1"/>
  <c r="Z579" i="1"/>
  <c r="X579" i="1"/>
  <c r="Z958" i="1"/>
  <c r="X958" i="1"/>
  <c r="Z950" i="1"/>
  <c r="X950" i="1"/>
  <c r="X942" i="1"/>
  <c r="Z942" i="1"/>
  <c r="Z938" i="1"/>
  <c r="X938" i="1"/>
  <c r="X907" i="1"/>
  <c r="Z907" i="1"/>
  <c r="X861" i="1"/>
  <c r="Z861" i="1"/>
  <c r="Z830" i="1"/>
  <c r="X830" i="1"/>
  <c r="U301" i="1"/>
  <c r="U298" i="1"/>
  <c r="U284" i="1"/>
  <c r="U281" i="1"/>
  <c r="U278" i="1"/>
  <c r="U253" i="1"/>
  <c r="U247" i="1"/>
  <c r="U244" i="1"/>
  <c r="U220" i="1"/>
  <c r="U217" i="1"/>
  <c r="U214" i="1"/>
  <c r="U193" i="1"/>
  <c r="U190" i="1"/>
  <c r="U187" i="1"/>
  <c r="U184" i="1"/>
  <c r="U166" i="1"/>
  <c r="U160" i="1"/>
  <c r="U157" i="1"/>
  <c r="U154" i="1"/>
  <c r="U130" i="1"/>
  <c r="U123" i="1"/>
  <c r="U103" i="1"/>
  <c r="U41" i="1"/>
  <c r="U37" i="1"/>
  <c r="U33" i="1"/>
  <c r="U29" i="1"/>
  <c r="U22" i="1"/>
  <c r="U568" i="1"/>
  <c r="U562" i="1"/>
  <c r="X930" i="1"/>
  <c r="Z930" i="1"/>
  <c r="Z926" i="1"/>
  <c r="X926" i="1"/>
  <c r="U899" i="1"/>
  <c r="X872" i="1"/>
  <c r="Z872" i="1"/>
  <c r="Z845" i="1"/>
  <c r="X845" i="1"/>
  <c r="X818" i="1"/>
  <c r="Z818" i="1"/>
  <c r="X814" i="1"/>
  <c r="Z814" i="1"/>
  <c r="X799" i="1"/>
  <c r="Z799" i="1"/>
  <c r="Z287" i="1"/>
  <c r="X287" i="1"/>
  <c r="U262" i="1"/>
  <c r="U259" i="1"/>
  <c r="U256" i="1"/>
  <c r="U250" i="1"/>
  <c r="U241" i="1"/>
  <c r="U238" i="1"/>
  <c r="U235" i="1"/>
  <c r="U232" i="1"/>
  <c r="X229" i="1"/>
  <c r="Z229" i="1"/>
  <c r="U223" i="1"/>
  <c r="X204" i="1"/>
  <c r="Z204" i="1"/>
  <c r="U148" i="1"/>
  <c r="U145" i="1"/>
  <c r="Z133" i="1"/>
  <c r="X133" i="1"/>
  <c r="U126" i="1"/>
  <c r="U116" i="1"/>
  <c r="Z96" i="1"/>
  <c r="X96" i="1"/>
  <c r="Z92" i="1"/>
  <c r="X92" i="1"/>
  <c r="Z84" i="1"/>
  <c r="X84" i="1"/>
  <c r="X80" i="1"/>
  <c r="Z80" i="1"/>
  <c r="X76" i="1"/>
  <c r="Z76" i="1"/>
  <c r="U72" i="1"/>
  <c r="U68" i="1"/>
  <c r="U64" i="1"/>
  <c r="U60" i="1"/>
  <c r="U56" i="1"/>
  <c r="U52" i="1"/>
  <c r="U48" i="1"/>
  <c r="U565" i="1"/>
  <c r="U571" i="1"/>
  <c r="U766" i="1"/>
  <c r="U762" i="1"/>
  <c r="U758" i="1"/>
  <c r="U754" i="1"/>
  <c r="U750" i="1"/>
  <c r="U746" i="1"/>
  <c r="U742" i="1"/>
  <c r="U738" i="1"/>
  <c r="U734" i="1"/>
  <c r="U730" i="1"/>
  <c r="U726" i="1"/>
  <c r="U722" i="1"/>
  <c r="U718" i="1"/>
  <c r="U714" i="1"/>
  <c r="U710" i="1"/>
  <c r="U706" i="1"/>
  <c r="U698" i="1"/>
  <c r="U686" i="1"/>
  <c r="U682" i="1"/>
  <c r="U674" i="1"/>
  <c r="U670" i="1"/>
  <c r="U666" i="1"/>
  <c r="Z654" i="1"/>
  <c r="X654" i="1"/>
  <c r="Z642" i="1"/>
  <c r="X642" i="1"/>
  <c r="X638" i="1"/>
  <c r="Z638" i="1"/>
  <c r="Z630" i="1"/>
  <c r="X630" i="1"/>
  <c r="Z626" i="1"/>
  <c r="X610" i="1"/>
  <c r="Z610" i="1"/>
  <c r="Z598" i="1"/>
  <c r="X598" i="1"/>
  <c r="X594" i="1"/>
  <c r="Z594" i="1"/>
  <c r="Z784" i="1"/>
  <c r="X784" i="1"/>
  <c r="Z895" i="1"/>
  <c r="X895" i="1"/>
  <c r="U887" i="1"/>
  <c r="Z883" i="1"/>
  <c r="X883" i="1"/>
  <c r="Z868" i="1"/>
  <c r="X868" i="1"/>
  <c r="Z833" i="1"/>
  <c r="X833" i="1"/>
  <c r="U791" i="1"/>
  <c r="Z787" i="1"/>
  <c r="X787" i="1"/>
  <c r="U395" i="1"/>
  <c r="U386" i="1"/>
  <c r="U336" i="1"/>
  <c r="U330" i="1"/>
  <c r="U321" i="1"/>
  <c r="U315" i="1"/>
  <c r="U309" i="1"/>
  <c r="U303" i="1"/>
  <c r="U294" i="1"/>
  <c r="U271" i="1"/>
  <c r="U268" i="1"/>
  <c r="U265" i="1"/>
  <c r="U226" i="1"/>
  <c r="U207" i="1"/>
  <c r="U201" i="1"/>
  <c r="U181" i="1"/>
  <c r="U178" i="1"/>
  <c r="U169" i="1"/>
  <c r="U142" i="1"/>
  <c r="U119" i="1"/>
  <c r="U109" i="1"/>
  <c r="U106" i="1"/>
  <c r="U44" i="1"/>
  <c r="U25" i="1"/>
  <c r="U18" i="1"/>
  <c r="U14" i="1"/>
  <c r="U574" i="1"/>
  <c r="Z582" i="1"/>
  <c r="X582" i="1"/>
  <c r="Z578" i="1"/>
  <c r="X578" i="1"/>
  <c r="Z773" i="1"/>
  <c r="X773" i="1"/>
  <c r="U769" i="1"/>
  <c r="Z957" i="1"/>
  <c r="X957" i="1"/>
  <c r="X945" i="1"/>
  <c r="Z945" i="1"/>
  <c r="Z941" i="1"/>
  <c r="X941" i="1"/>
  <c r="X937" i="1"/>
  <c r="Z937" i="1"/>
  <c r="Z906" i="1"/>
  <c r="X906" i="1"/>
  <c r="X829" i="1"/>
  <c r="Z829" i="1"/>
  <c r="U398" i="1"/>
  <c r="U392" i="1"/>
  <c r="U389" i="1"/>
  <c r="U383" i="1"/>
  <c r="U380" i="1"/>
  <c r="U377" i="1"/>
  <c r="U371" i="1"/>
  <c r="U362" i="1"/>
  <c r="U312" i="1"/>
  <c r="U306" i="1"/>
  <c r="U300" i="1"/>
  <c r="U297" i="1"/>
  <c r="U290" i="1"/>
  <c r="U280" i="1"/>
  <c r="U277" i="1"/>
  <c r="U216" i="1"/>
  <c r="U213" i="1"/>
  <c r="U198" i="1"/>
  <c r="U195" i="1"/>
  <c r="U192" i="1"/>
  <c r="U175" i="1"/>
  <c r="U165" i="1"/>
  <c r="U162" i="1"/>
  <c r="U159" i="1"/>
  <c r="U156" i="1"/>
  <c r="U136" i="1"/>
  <c r="U129" i="1"/>
  <c r="U99" i="1"/>
  <c r="U40" i="1"/>
  <c r="U36" i="1"/>
  <c r="U32" i="1"/>
  <c r="U28" i="1"/>
  <c r="X933" i="1"/>
  <c r="Z933" i="1"/>
  <c r="Z929" i="1"/>
  <c r="X929" i="1"/>
  <c r="X898" i="1"/>
  <c r="Z898" i="1"/>
  <c r="X875" i="1"/>
  <c r="Z875" i="1"/>
  <c r="X871" i="1"/>
  <c r="Z871" i="1"/>
  <c r="U844" i="1"/>
  <c r="Z840" i="1"/>
  <c r="X840" i="1"/>
  <c r="X813" i="1"/>
  <c r="U462" i="1"/>
  <c r="U433" i="1"/>
  <c r="U427" i="1"/>
  <c r="U368" i="1"/>
  <c r="U353" i="1"/>
  <c r="U347" i="1"/>
  <c r="U274" i="1"/>
  <c r="U252" i="1"/>
  <c r="U249" i="1"/>
  <c r="U240" i="1"/>
  <c r="U210" i="1"/>
  <c r="U189" i="1"/>
  <c r="U172" i="1"/>
  <c r="U153" i="1"/>
  <c r="U150" i="1"/>
  <c r="U147" i="1"/>
  <c r="U125" i="1"/>
  <c r="U122" i="1"/>
  <c r="U112" i="1"/>
  <c r="U102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U21" i="1"/>
  <c r="U564" i="1"/>
  <c r="U570" i="1"/>
  <c r="U761" i="1"/>
  <c r="U757" i="1"/>
  <c r="X753" i="1"/>
  <c r="Z753" i="1"/>
  <c r="Z745" i="1"/>
  <c r="X745" i="1"/>
  <c r="Z741" i="1"/>
  <c r="X741" i="1"/>
  <c r="Z729" i="1"/>
  <c r="X729" i="1"/>
  <c r="Z725" i="1"/>
  <c r="X725" i="1"/>
  <c r="Z713" i="1"/>
  <c r="X713" i="1"/>
  <c r="X709" i="1"/>
  <c r="Z709" i="1"/>
  <c r="Z701" i="1"/>
  <c r="X701" i="1"/>
  <c r="Z689" i="1"/>
  <c r="X689" i="1"/>
  <c r="Z685" i="1"/>
  <c r="X685" i="1"/>
  <c r="Z681" i="1"/>
  <c r="X681" i="1"/>
  <c r="Z669" i="1"/>
  <c r="X669" i="1"/>
  <c r="Z657" i="1"/>
  <c r="X657" i="1"/>
  <c r="Z653" i="1"/>
  <c r="X653" i="1"/>
  <c r="X641" i="1"/>
  <c r="Z629" i="1"/>
  <c r="X629" i="1"/>
  <c r="X625" i="1"/>
  <c r="Z625" i="1"/>
  <c r="Z617" i="1"/>
  <c r="X617" i="1"/>
  <c r="Z609" i="1"/>
  <c r="X609" i="1"/>
  <c r="X601" i="1"/>
  <c r="Z601" i="1"/>
  <c r="Z597" i="1"/>
  <c r="X597" i="1"/>
  <c r="Z917" i="1"/>
  <c r="X917" i="1"/>
  <c r="X913" i="1"/>
  <c r="Z913" i="1"/>
  <c r="Z886" i="1"/>
  <c r="X886" i="1"/>
  <c r="Z836" i="1"/>
  <c r="X836" i="1"/>
  <c r="Z809" i="1"/>
  <c r="X809" i="1"/>
  <c r="X794" i="1"/>
  <c r="Z794" i="1"/>
  <c r="U374" i="1"/>
  <c r="X344" i="1"/>
  <c r="Z344" i="1"/>
  <c r="Z329" i="1"/>
  <c r="X329" i="1"/>
  <c r="U323" i="1"/>
  <c r="Z293" i="1"/>
  <c r="X293" i="1"/>
  <c r="U286" i="1"/>
  <c r="U283" i="1"/>
  <c r="X264" i="1"/>
  <c r="Z264" i="1"/>
  <c r="U246" i="1"/>
  <c r="U228" i="1"/>
  <c r="Z225" i="1"/>
  <c r="X225" i="1"/>
  <c r="Z200" i="1"/>
  <c r="X200" i="1"/>
  <c r="U186" i="1"/>
  <c r="X180" i="1"/>
  <c r="Z180" i="1"/>
  <c r="Z168" i="1"/>
  <c r="X168" i="1"/>
  <c r="Z141" i="1"/>
  <c r="X141" i="1"/>
  <c r="X132" i="1"/>
  <c r="Z132" i="1"/>
  <c r="X115" i="1"/>
  <c r="Z115" i="1"/>
  <c r="X24" i="1"/>
  <c r="Z24" i="1"/>
  <c r="Z17" i="1"/>
  <c r="X17" i="1"/>
  <c r="Z13" i="1"/>
  <c r="X13" i="1"/>
  <c r="U567" i="1"/>
  <c r="U561" i="1"/>
  <c r="Z585" i="1"/>
  <c r="X585" i="1"/>
  <c r="Z581" i="1"/>
  <c r="X581" i="1"/>
  <c r="Z772" i="1"/>
  <c r="X772" i="1"/>
  <c r="Z956" i="1"/>
  <c r="X956" i="1"/>
  <c r="Z944" i="1"/>
  <c r="X944" i="1"/>
  <c r="Z936" i="1"/>
  <c r="X936" i="1"/>
  <c r="Z905" i="1"/>
  <c r="X905" i="1"/>
  <c r="X882" i="1"/>
  <c r="Z882" i="1"/>
  <c r="Z847" i="1"/>
  <c r="X847" i="1"/>
  <c r="Z350" i="1"/>
  <c r="X350" i="1"/>
  <c r="Z320" i="1"/>
  <c r="X320" i="1"/>
  <c r="Z305" i="1"/>
  <c r="X305" i="1"/>
  <c r="X289" i="1"/>
  <c r="Z289" i="1"/>
  <c r="X258" i="1"/>
  <c r="Z258" i="1"/>
  <c r="Z234" i="1"/>
  <c r="X234" i="1"/>
  <c r="Z222" i="1"/>
  <c r="X222" i="1"/>
  <c r="Z212" i="1"/>
  <c r="X212" i="1"/>
  <c r="Z177" i="1"/>
  <c r="X177" i="1"/>
  <c r="Z144" i="1"/>
  <c r="X144" i="1"/>
  <c r="Z138" i="1"/>
  <c r="X138" i="1"/>
  <c r="X135" i="1"/>
  <c r="Z135" i="1"/>
  <c r="X128" i="1"/>
  <c r="Z128" i="1"/>
  <c r="U118" i="1"/>
  <c r="Z98" i="1"/>
  <c r="X98" i="1"/>
  <c r="Z43" i="1"/>
  <c r="X43" i="1"/>
  <c r="Z39" i="1"/>
  <c r="X39" i="1"/>
  <c r="Z35" i="1"/>
  <c r="X35" i="1"/>
  <c r="Z573" i="1"/>
  <c r="X573" i="1"/>
  <c r="Z577" i="1"/>
  <c r="X577" i="1"/>
  <c r="U928" i="1"/>
  <c r="Z870" i="1"/>
  <c r="X870" i="1"/>
  <c r="X812" i="1"/>
  <c r="Z812" i="1"/>
  <c r="Z801" i="1"/>
  <c r="X801" i="1"/>
  <c r="Z797" i="1"/>
  <c r="X797" i="1"/>
  <c r="U299" i="1"/>
  <c r="X276" i="1"/>
  <c r="Z276" i="1"/>
  <c r="X273" i="1"/>
  <c r="Z273" i="1"/>
  <c r="X270" i="1"/>
  <c r="Z270" i="1"/>
  <c r="Z248" i="1"/>
  <c r="X248" i="1"/>
  <c r="Z209" i="1"/>
  <c r="X209" i="1"/>
  <c r="Z206" i="1"/>
  <c r="X206" i="1"/>
  <c r="U197" i="1"/>
  <c r="X188" i="1"/>
  <c r="Z188" i="1"/>
  <c r="Z171" i="1"/>
  <c r="X171" i="1"/>
  <c r="Z164" i="1"/>
  <c r="X164" i="1"/>
  <c r="X111" i="1"/>
  <c r="Z111" i="1"/>
  <c r="Z101" i="1"/>
  <c r="X101" i="1"/>
  <c r="Z94" i="1"/>
  <c r="X94" i="1"/>
  <c r="Z90" i="1"/>
  <c r="X90" i="1"/>
  <c r="Z86" i="1"/>
  <c r="X86" i="1"/>
  <c r="Z82" i="1"/>
  <c r="X82" i="1"/>
  <c r="Z78" i="1"/>
  <c r="X78" i="1"/>
  <c r="Z74" i="1"/>
  <c r="X74" i="1"/>
  <c r="Z70" i="1"/>
  <c r="X70" i="1"/>
  <c r="X66" i="1"/>
  <c r="Z66" i="1"/>
  <c r="Z62" i="1"/>
  <c r="X62" i="1"/>
  <c r="Z58" i="1"/>
  <c r="X58" i="1"/>
  <c r="Z54" i="1"/>
  <c r="X54" i="1"/>
  <c r="Z50" i="1"/>
  <c r="X50" i="1"/>
  <c r="X46" i="1"/>
  <c r="Z46" i="1"/>
  <c r="U27" i="1"/>
  <c r="X20" i="1"/>
  <c r="Z20" i="1"/>
  <c r="X764" i="1"/>
  <c r="Z764" i="1"/>
  <c r="X756" i="1"/>
  <c r="Z756" i="1"/>
  <c r="Z752" i="1"/>
  <c r="X752" i="1"/>
  <c r="Z748" i="1"/>
  <c r="X748" i="1"/>
  <c r="Z744" i="1"/>
  <c r="X744" i="1"/>
  <c r="Z740" i="1"/>
  <c r="X740" i="1"/>
  <c r="Z736" i="1"/>
  <c r="X736" i="1"/>
  <c r="X732" i="1"/>
  <c r="Z732" i="1"/>
  <c r="X728" i="1"/>
  <c r="Z728" i="1"/>
  <c r="X720" i="1"/>
  <c r="Z716" i="1"/>
  <c r="X716" i="1"/>
  <c r="Z708" i="1"/>
  <c r="X708" i="1"/>
  <c r="X704" i="1"/>
  <c r="Z704" i="1"/>
  <c r="Z700" i="1"/>
  <c r="X700" i="1"/>
  <c r="X696" i="1"/>
  <c r="Z696" i="1"/>
  <c r="Z692" i="1"/>
  <c r="X692" i="1"/>
  <c r="X688" i="1"/>
  <c r="Z688" i="1"/>
  <c r="X684" i="1"/>
  <c r="Z684" i="1"/>
  <c r="Z680" i="1"/>
  <c r="X680" i="1"/>
  <c r="X668" i="1"/>
  <c r="Z668" i="1"/>
  <c r="Z656" i="1"/>
  <c r="X656" i="1"/>
  <c r="Z640" i="1"/>
  <c r="X640" i="1"/>
  <c r="Z628" i="1"/>
  <c r="X628" i="1"/>
  <c r="Z596" i="1"/>
  <c r="X596" i="1"/>
  <c r="X782" i="1"/>
  <c r="Z782" i="1"/>
  <c r="X916" i="1"/>
  <c r="Z916" i="1"/>
  <c r="Z839" i="1"/>
  <c r="X839" i="1"/>
  <c r="Z835" i="1"/>
  <c r="X835" i="1"/>
  <c r="Z785" i="1"/>
  <c r="X785" i="1"/>
  <c r="U302" i="1"/>
  <c r="X292" i="1"/>
  <c r="Z292" i="1"/>
  <c r="U251" i="1"/>
  <c r="U239" i="1"/>
  <c r="X224" i="1"/>
  <c r="Z224" i="1"/>
  <c r="U174" i="1"/>
  <c r="U158" i="1"/>
  <c r="U152" i="1"/>
  <c r="Z131" i="1"/>
  <c r="X131" i="1"/>
  <c r="U124" i="1"/>
  <c r="X12" i="1"/>
  <c r="Z12" i="1"/>
  <c r="Z566" i="1"/>
  <c r="X566" i="1"/>
  <c r="Z560" i="1"/>
  <c r="X560" i="1"/>
  <c r="Z580" i="1"/>
  <c r="X580" i="1"/>
  <c r="X959" i="1"/>
  <c r="Z947" i="1"/>
  <c r="X947" i="1"/>
  <c r="Z943" i="1"/>
  <c r="X943" i="1"/>
  <c r="U935" i="1"/>
  <c r="X858" i="1"/>
  <c r="Z858" i="1"/>
  <c r="X854" i="1"/>
  <c r="Z854" i="1"/>
  <c r="X288" i="1"/>
  <c r="Z288" i="1"/>
  <c r="X282" i="1"/>
  <c r="Z282" i="1"/>
  <c r="U263" i="1"/>
  <c r="Z257" i="1"/>
  <c r="X257" i="1"/>
  <c r="U245" i="1"/>
  <c r="X242" i="1"/>
  <c r="Z242" i="1"/>
  <c r="Z233" i="1"/>
  <c r="X233" i="1"/>
  <c r="Z221" i="1"/>
  <c r="X221" i="1"/>
  <c r="X218" i="1"/>
  <c r="Z218" i="1"/>
  <c r="U185" i="1"/>
  <c r="U179" i="1"/>
  <c r="U167" i="1"/>
  <c r="U146" i="1"/>
  <c r="Z143" i="1"/>
  <c r="X143" i="1"/>
  <c r="X117" i="1"/>
  <c r="Z117" i="1"/>
  <c r="U114" i="1"/>
  <c r="X104" i="1"/>
  <c r="Z104" i="1"/>
  <c r="Z97" i="1"/>
  <c r="X97" i="1"/>
  <c r="Z42" i="1"/>
  <c r="X42" i="1"/>
  <c r="Z38" i="1"/>
  <c r="X38" i="1"/>
  <c r="Z34" i="1"/>
  <c r="X34" i="1"/>
  <c r="Z30" i="1"/>
  <c r="X30" i="1"/>
  <c r="U23" i="1"/>
  <c r="U563" i="1"/>
  <c r="X572" i="1"/>
  <c r="Z572" i="1"/>
  <c r="X576" i="1"/>
  <c r="Z576" i="1"/>
  <c r="X931" i="1"/>
  <c r="Z931" i="1"/>
  <c r="Z919" i="1"/>
  <c r="X919" i="1"/>
  <c r="Z904" i="1"/>
  <c r="Z873" i="1"/>
  <c r="X873" i="1"/>
  <c r="Z869" i="1"/>
  <c r="X869" i="1"/>
  <c r="X842" i="1"/>
  <c r="Z842" i="1"/>
  <c r="Z823" i="1"/>
  <c r="X823" i="1"/>
  <c r="U815" i="1"/>
  <c r="X811" i="1"/>
  <c r="Z811" i="1"/>
  <c r="U702" i="1"/>
  <c r="U694" i="1"/>
  <c r="U690" i="1"/>
  <c r="U678" i="1"/>
  <c r="U662" i="1"/>
  <c r="U658" i="1"/>
  <c r="U650" i="1"/>
  <c r="U646" i="1"/>
  <c r="U634" i="1"/>
  <c r="U622" i="1"/>
  <c r="U618" i="1"/>
  <c r="U606" i="1"/>
  <c r="U602" i="1"/>
  <c r="U590" i="1"/>
  <c r="U586" i="1"/>
  <c r="U771" i="1"/>
  <c r="U932" i="1"/>
  <c r="U896" i="1"/>
  <c r="U878" i="1"/>
  <c r="U860" i="1"/>
  <c r="Z824" i="1"/>
  <c r="X824" i="1"/>
  <c r="U806" i="1"/>
  <c r="U786" i="1"/>
  <c r="X857" i="1"/>
  <c r="U781" i="1"/>
  <c r="Z951" i="1"/>
  <c r="X951" i="1"/>
  <c r="X939" i="1"/>
  <c r="Z939" i="1"/>
  <c r="U921" i="1"/>
  <c r="Z910" i="1"/>
  <c r="X910" i="1"/>
  <c r="Z903" i="1"/>
  <c r="X903" i="1"/>
  <c r="Z874" i="1"/>
  <c r="X874" i="1"/>
  <c r="U849" i="1"/>
  <c r="Z831" i="1"/>
  <c r="X831" i="1"/>
  <c r="X802" i="1"/>
  <c r="Z802" i="1"/>
  <c r="Z876" i="1"/>
  <c r="U924" i="1"/>
  <c r="U892" i="1"/>
  <c r="U888" i="1"/>
  <c r="U881" i="1"/>
  <c r="U863" i="1"/>
  <c r="U852" i="1"/>
  <c r="U820" i="1"/>
  <c r="U816" i="1"/>
  <c r="Z798" i="1"/>
  <c r="U765" i="1"/>
  <c r="U749" i="1"/>
  <c r="U737" i="1"/>
  <c r="U733" i="1"/>
  <c r="U721" i="1"/>
  <c r="U705" i="1"/>
  <c r="U693" i="1"/>
  <c r="U677" i="1"/>
  <c r="U673" i="1"/>
  <c r="U665" i="1"/>
  <c r="U661" i="1"/>
  <c r="U649" i="1"/>
  <c r="U637" i="1"/>
  <c r="U633" i="1"/>
  <c r="U621" i="1"/>
  <c r="U605" i="1"/>
  <c r="U593" i="1"/>
  <c r="U589" i="1"/>
  <c r="U777" i="1"/>
  <c r="U877" i="1"/>
  <c r="U834" i="1"/>
  <c r="X636" i="1"/>
  <c r="X780" i="1"/>
  <c r="Z780" i="1"/>
  <c r="X954" i="1"/>
  <c r="Z954" i="1"/>
  <c r="X946" i="1"/>
  <c r="Z946" i="1"/>
  <c r="Z920" i="1"/>
  <c r="X920" i="1"/>
  <c r="Z866" i="1"/>
  <c r="X866" i="1"/>
  <c r="Z848" i="1"/>
  <c r="X848" i="1"/>
  <c r="Z795" i="1"/>
  <c r="Z934" i="1"/>
  <c r="X934" i="1"/>
  <c r="X927" i="1"/>
  <c r="Z927" i="1"/>
  <c r="Z909" i="1"/>
  <c r="X909" i="1"/>
  <c r="Z891" i="1"/>
  <c r="X891" i="1"/>
  <c r="X862" i="1"/>
  <c r="Z862" i="1"/>
  <c r="X819" i="1"/>
  <c r="Z819" i="1"/>
  <c r="U790" i="1"/>
  <c r="Z660" i="1"/>
  <c r="X660" i="1"/>
  <c r="X652" i="1"/>
  <c r="Z652" i="1"/>
  <c r="X648" i="1"/>
  <c r="Z648" i="1"/>
  <c r="X632" i="1"/>
  <c r="Z632" i="1"/>
  <c r="Z624" i="1"/>
  <c r="X624" i="1"/>
  <c r="Z620" i="1"/>
  <c r="X620" i="1"/>
  <c r="X604" i="1"/>
  <c r="Z600" i="1"/>
  <c r="X600" i="1"/>
  <c r="Z592" i="1"/>
  <c r="X592" i="1"/>
  <c r="X588" i="1"/>
  <c r="Z588" i="1"/>
  <c r="U783" i="1"/>
  <c r="X776" i="1"/>
  <c r="Z776" i="1"/>
  <c r="U923" i="1"/>
  <c r="X912" i="1"/>
  <c r="Z912" i="1"/>
  <c r="U880" i="1"/>
  <c r="U851" i="1"/>
  <c r="U808" i="1"/>
  <c r="Z584" i="1"/>
  <c r="X584" i="1"/>
  <c r="X953" i="1"/>
  <c r="Z953" i="1"/>
  <c r="Z949" i="1"/>
  <c r="X949" i="1"/>
  <c r="X865" i="1"/>
  <c r="Z865" i="1"/>
  <c r="X822" i="1"/>
  <c r="Z822" i="1"/>
  <c r="U914" i="1"/>
  <c r="X885" i="1"/>
  <c r="U827" i="1"/>
  <c r="U770" i="1"/>
  <c r="X867" i="1"/>
  <c r="Z867" i="1"/>
  <c r="U779" i="1"/>
  <c r="Z908" i="1"/>
  <c r="X908" i="1"/>
  <c r="U856" i="1"/>
  <c r="X826" i="1"/>
  <c r="Z826" i="1"/>
  <c r="U707" i="1"/>
  <c r="U699" i="1"/>
  <c r="U691" i="1"/>
  <c r="U687" i="1"/>
  <c r="U679" i="1"/>
  <c r="U675" i="1"/>
  <c r="U663" i="1"/>
  <c r="U651" i="1"/>
  <c r="U647" i="1"/>
  <c r="U639" i="1"/>
  <c r="U635" i="1"/>
  <c r="U627" i="1"/>
  <c r="U619" i="1"/>
  <c r="U607" i="1"/>
  <c r="U603" i="1"/>
  <c r="U599" i="1"/>
  <c r="U591" i="1"/>
  <c r="U587" i="1"/>
  <c r="U922" i="1"/>
  <c r="U879" i="1"/>
  <c r="U850" i="1"/>
  <c r="U843" i="1"/>
  <c r="U807" i="1"/>
  <c r="U768" i="1"/>
  <c r="U952" i="1"/>
  <c r="U948" i="1"/>
  <c r="U940" i="1"/>
  <c r="U900" i="1"/>
  <c r="U893" i="1"/>
  <c r="U864" i="1"/>
  <c r="U832" i="1"/>
  <c r="U828" i="1"/>
  <c r="U821" i="1"/>
  <c r="U792" i="1"/>
  <c r="U778" i="1"/>
  <c r="U925" i="1"/>
  <c r="U918" i="1"/>
  <c r="U889" i="1"/>
  <c r="U853" i="1"/>
  <c r="U846" i="1"/>
  <c r="U817" i="1"/>
  <c r="U810" i="1"/>
  <c r="U788" i="1"/>
  <c r="Z644" i="1"/>
  <c r="X176" i="1" l="1"/>
  <c r="X837" i="1"/>
  <c r="X902" i="1"/>
  <c r="X391" i="1"/>
  <c r="Z672" i="1"/>
  <c r="X724" i="1"/>
  <c r="X645" i="1"/>
  <c r="Z825" i="1"/>
  <c r="Z219" i="1"/>
  <c r="Z528" i="1"/>
  <c r="X307" i="1"/>
  <c r="X855" i="1"/>
  <c r="X194" i="1"/>
  <c r="X901" i="1"/>
  <c r="X859" i="1"/>
  <c r="X410" i="1"/>
  <c r="X789" i="1"/>
  <c r="X676" i="1"/>
  <c r="X805" i="1"/>
  <c r="Z326" i="1"/>
  <c r="X911" i="1"/>
  <c r="X611" i="1"/>
  <c r="X558" i="1"/>
  <c r="Z894" i="1"/>
  <c r="X608" i="1"/>
  <c r="Z774" i="1"/>
  <c r="X793" i="1"/>
  <c r="X890" i="1"/>
  <c r="Z524" i="1"/>
  <c r="Z519" i="1"/>
  <c r="Z403" i="1"/>
  <c r="Z841" i="1"/>
  <c r="X615" i="1"/>
  <c r="Z343" i="1"/>
  <c r="X612" i="1"/>
  <c r="X108" i="1"/>
  <c r="Z255" i="1"/>
  <c r="Z444" i="1"/>
  <c r="Z409" i="1"/>
  <c r="Z955" i="1"/>
  <c r="Z260" i="1"/>
  <c r="X614" i="1"/>
  <c r="X183" i="1"/>
  <c r="Z800" i="1"/>
  <c r="Z575" i="1"/>
  <c r="X31" i="1"/>
  <c r="Z717" i="1"/>
  <c r="X88" i="1"/>
  <c r="Z447" i="1"/>
  <c r="X552" i="1"/>
  <c r="X804" i="1"/>
  <c r="Z616" i="1"/>
  <c r="X254" i="1"/>
  <c r="Z139" i="1"/>
  <c r="Z664" i="1"/>
  <c r="X897" i="1"/>
  <c r="X296" i="1"/>
  <c r="X440" i="1"/>
  <c r="X712" i="1"/>
  <c r="X760" i="1"/>
  <c r="Z352" i="1"/>
  <c r="X803" i="1"/>
  <c r="Z775" i="1"/>
  <c r="Z613" i="1"/>
  <c r="Z697" i="1"/>
  <c r="X341" i="1"/>
  <c r="X16" i="1"/>
  <c r="X236" i="1"/>
  <c r="X522" i="1"/>
  <c r="X127" i="1"/>
  <c r="X540" i="1"/>
  <c r="X846" i="1"/>
  <c r="Z846" i="1"/>
  <c r="Z900" i="1"/>
  <c r="X900" i="1"/>
  <c r="Z599" i="1"/>
  <c r="X599" i="1"/>
  <c r="Z687" i="1"/>
  <c r="X687" i="1"/>
  <c r="Z770" i="1"/>
  <c r="X770" i="1"/>
  <c r="X923" i="1"/>
  <c r="Z923" i="1"/>
  <c r="X633" i="1"/>
  <c r="Z633" i="1"/>
  <c r="Z749" i="1"/>
  <c r="X749" i="1"/>
  <c r="X860" i="1"/>
  <c r="Z860" i="1"/>
  <c r="Z646" i="1"/>
  <c r="X646" i="1"/>
  <c r="Z815" i="1"/>
  <c r="X815" i="1"/>
  <c r="Z228" i="1"/>
  <c r="X228" i="1"/>
  <c r="X51" i="1"/>
  <c r="Z51" i="1"/>
  <c r="Z102" i="1"/>
  <c r="X102" i="1"/>
  <c r="Z252" i="1"/>
  <c r="X252" i="1"/>
  <c r="Z162" i="1"/>
  <c r="X162" i="1"/>
  <c r="Z300" i="1"/>
  <c r="X300" i="1"/>
  <c r="Z109" i="1"/>
  <c r="X109" i="1"/>
  <c r="Z294" i="1"/>
  <c r="X294" i="1"/>
  <c r="Z710" i="1"/>
  <c r="X710" i="1"/>
  <c r="Z758" i="1"/>
  <c r="X758" i="1"/>
  <c r="X116" i="1"/>
  <c r="Z116" i="1"/>
  <c r="Z123" i="1"/>
  <c r="X123" i="1"/>
  <c r="Z220" i="1"/>
  <c r="X220" i="1"/>
  <c r="Z110" i="1"/>
  <c r="X110" i="1"/>
  <c r="X747" i="1"/>
  <c r="Z747" i="1"/>
  <c r="X69" i="1"/>
  <c r="Z69" i="1"/>
  <c r="X373" i="1"/>
  <c r="Z373" i="1"/>
  <c r="Z532" i="1"/>
  <c r="X532" i="1"/>
  <c r="X339" i="1"/>
  <c r="Z339" i="1"/>
  <c r="Z490" i="1"/>
  <c r="X490" i="1"/>
  <c r="X337" i="1"/>
  <c r="Z337" i="1"/>
  <c r="Z529" i="1"/>
  <c r="X529" i="1"/>
  <c r="Z360" i="1"/>
  <c r="X360" i="1"/>
  <c r="Z853" i="1"/>
  <c r="X853" i="1"/>
  <c r="Z940" i="1"/>
  <c r="X940" i="1"/>
  <c r="X603" i="1"/>
  <c r="Z603" i="1"/>
  <c r="X691" i="1"/>
  <c r="Z691" i="1"/>
  <c r="X827" i="1"/>
  <c r="Z827" i="1"/>
  <c r="X637" i="1"/>
  <c r="Z637" i="1"/>
  <c r="Z765" i="1"/>
  <c r="X765" i="1"/>
  <c r="X878" i="1"/>
  <c r="Z878" i="1"/>
  <c r="X650" i="1"/>
  <c r="Z650" i="1"/>
  <c r="X124" i="1"/>
  <c r="Z124" i="1"/>
  <c r="X239" i="1"/>
  <c r="Z239" i="1"/>
  <c r="X561" i="1"/>
  <c r="Z561" i="1"/>
  <c r="Z246" i="1"/>
  <c r="X246" i="1"/>
  <c r="Z374" i="1"/>
  <c r="X374" i="1"/>
  <c r="Z55" i="1"/>
  <c r="X55" i="1"/>
  <c r="Z112" i="1"/>
  <c r="X112" i="1"/>
  <c r="X274" i="1"/>
  <c r="Z274" i="1"/>
  <c r="X165" i="1"/>
  <c r="Z165" i="1"/>
  <c r="Z306" i="1"/>
  <c r="X306" i="1"/>
  <c r="X119" i="1"/>
  <c r="Z119" i="1"/>
  <c r="Z303" i="1"/>
  <c r="X303" i="1"/>
  <c r="X714" i="1"/>
  <c r="Z714" i="1"/>
  <c r="Z762" i="1"/>
  <c r="X762" i="1"/>
  <c r="Z126" i="1"/>
  <c r="X126" i="1"/>
  <c r="X232" i="1"/>
  <c r="Z232" i="1"/>
  <c r="X130" i="1"/>
  <c r="Z130" i="1"/>
  <c r="Z244" i="1"/>
  <c r="X244" i="1"/>
  <c r="Z120" i="1"/>
  <c r="X120" i="1"/>
  <c r="X695" i="1"/>
  <c r="Z695" i="1"/>
  <c r="X751" i="1"/>
  <c r="Z751" i="1"/>
  <c r="X73" i="1"/>
  <c r="Z73" i="1"/>
  <c r="Z272" i="1"/>
  <c r="X272" i="1"/>
  <c r="Z345" i="1"/>
  <c r="X345" i="1"/>
  <c r="Z342" i="1"/>
  <c r="X342" i="1"/>
  <c r="X402" i="1"/>
  <c r="Z402" i="1"/>
  <c r="X472" i="1"/>
  <c r="Z472" i="1"/>
  <c r="X493" i="1"/>
  <c r="Z493" i="1"/>
  <c r="Z535" i="1"/>
  <c r="X535" i="1"/>
  <c r="Z363" i="1"/>
  <c r="X363" i="1"/>
  <c r="Z889" i="1"/>
  <c r="X889" i="1"/>
  <c r="Z948" i="1"/>
  <c r="X948" i="1"/>
  <c r="X607" i="1"/>
  <c r="Z607" i="1"/>
  <c r="Z699" i="1"/>
  <c r="X699" i="1"/>
  <c r="Z649" i="1"/>
  <c r="X649" i="1"/>
  <c r="Z896" i="1"/>
  <c r="X896" i="1"/>
  <c r="Z658" i="1"/>
  <c r="X658" i="1"/>
  <c r="Z251" i="1"/>
  <c r="X251" i="1"/>
  <c r="Z118" i="1"/>
  <c r="X118" i="1"/>
  <c r="Z567" i="1"/>
  <c r="X567" i="1"/>
  <c r="Z59" i="1"/>
  <c r="X59" i="1"/>
  <c r="X122" i="1"/>
  <c r="Z122" i="1"/>
  <c r="Z347" i="1"/>
  <c r="X347" i="1"/>
  <c r="X844" i="1"/>
  <c r="Z844" i="1"/>
  <c r="X175" i="1"/>
  <c r="Z175" i="1"/>
  <c r="Z312" i="1"/>
  <c r="X312" i="1"/>
  <c r="Z142" i="1"/>
  <c r="X142" i="1"/>
  <c r="X309" i="1"/>
  <c r="Z309" i="1"/>
  <c r="X718" i="1"/>
  <c r="Z718" i="1"/>
  <c r="Z766" i="1"/>
  <c r="X766" i="1"/>
  <c r="Z235" i="1"/>
  <c r="X235" i="1"/>
  <c r="Z154" i="1"/>
  <c r="X154" i="1"/>
  <c r="X247" i="1"/>
  <c r="Z247" i="1"/>
  <c r="X151" i="1"/>
  <c r="Z151" i="1"/>
  <c r="X703" i="1"/>
  <c r="Z703" i="1"/>
  <c r="Z755" i="1"/>
  <c r="X755" i="1"/>
  <c r="Z77" i="1"/>
  <c r="X77" i="1"/>
  <c r="X310" i="1"/>
  <c r="Z310" i="1"/>
  <c r="Z348" i="1"/>
  <c r="X348" i="1"/>
  <c r="X361" i="1"/>
  <c r="Z361" i="1"/>
  <c r="Z450" i="1"/>
  <c r="X450" i="1"/>
  <c r="Z327" i="1"/>
  <c r="X327" i="1"/>
  <c r="X481" i="1"/>
  <c r="Z481" i="1"/>
  <c r="Z381" i="1"/>
  <c r="X381" i="1"/>
  <c r="X496" i="1"/>
  <c r="Z496" i="1"/>
  <c r="Z388" i="1"/>
  <c r="X388" i="1"/>
  <c r="X918" i="1"/>
  <c r="Z918" i="1"/>
  <c r="X952" i="1"/>
  <c r="Z952" i="1"/>
  <c r="Z619" i="1"/>
  <c r="X619" i="1"/>
  <c r="Z707" i="1"/>
  <c r="X707" i="1"/>
  <c r="Z783" i="1"/>
  <c r="X783" i="1"/>
  <c r="Z661" i="1"/>
  <c r="X661" i="1"/>
  <c r="Z816" i="1"/>
  <c r="X816" i="1"/>
  <c r="Z932" i="1"/>
  <c r="X932" i="1"/>
  <c r="Z662" i="1"/>
  <c r="X662" i="1"/>
  <c r="Z63" i="1"/>
  <c r="X63" i="1"/>
  <c r="Z125" i="1"/>
  <c r="X125" i="1"/>
  <c r="Z353" i="1"/>
  <c r="X353" i="1"/>
  <c r="Z28" i="1"/>
  <c r="X28" i="1"/>
  <c r="Z192" i="1"/>
  <c r="X192" i="1"/>
  <c r="X362" i="1"/>
  <c r="Z362" i="1"/>
  <c r="Z169" i="1"/>
  <c r="X169" i="1"/>
  <c r="Z315" i="1"/>
  <c r="X315" i="1"/>
  <c r="X722" i="1"/>
  <c r="Z722" i="1"/>
  <c r="Z571" i="1"/>
  <c r="X571" i="1"/>
  <c r="X238" i="1"/>
  <c r="Z238" i="1"/>
  <c r="X157" i="1"/>
  <c r="Z157" i="1"/>
  <c r="X253" i="1"/>
  <c r="Z253" i="1"/>
  <c r="Z211" i="1"/>
  <c r="X211" i="1"/>
  <c r="X711" i="1"/>
  <c r="Z711" i="1"/>
  <c r="Z759" i="1"/>
  <c r="X759" i="1"/>
  <c r="X81" i="1"/>
  <c r="Z81" i="1"/>
  <c r="X313" i="1"/>
  <c r="Z313" i="1"/>
  <c r="Z400" i="1"/>
  <c r="X400" i="1"/>
  <c r="X322" i="1"/>
  <c r="Z322" i="1"/>
  <c r="Z401" i="1"/>
  <c r="X401" i="1"/>
  <c r="Z411" i="1"/>
  <c r="X411" i="1"/>
  <c r="Z456" i="1"/>
  <c r="X456" i="1"/>
  <c r="X155" i="1"/>
  <c r="Z155" i="1"/>
  <c r="X505" i="1"/>
  <c r="Z505" i="1"/>
  <c r="Z474" i="1"/>
  <c r="X474" i="1"/>
  <c r="Z925" i="1"/>
  <c r="X925" i="1"/>
  <c r="X768" i="1"/>
  <c r="Z768" i="1"/>
  <c r="X627" i="1"/>
  <c r="Z627" i="1"/>
  <c r="X914" i="1"/>
  <c r="Z914" i="1"/>
  <c r="Z665" i="1"/>
  <c r="X665" i="1"/>
  <c r="Z820" i="1"/>
  <c r="X820" i="1"/>
  <c r="Z849" i="1"/>
  <c r="X849" i="1"/>
  <c r="X771" i="1"/>
  <c r="Z771" i="1"/>
  <c r="Z678" i="1"/>
  <c r="X678" i="1"/>
  <c r="Z146" i="1"/>
  <c r="X146" i="1"/>
  <c r="Z245" i="1"/>
  <c r="X245" i="1"/>
  <c r="X152" i="1"/>
  <c r="Z152" i="1"/>
  <c r="X27" i="1"/>
  <c r="Z27" i="1"/>
  <c r="X283" i="1"/>
  <c r="Z283" i="1"/>
  <c r="Z67" i="1"/>
  <c r="X67" i="1"/>
  <c r="X147" i="1"/>
  <c r="Z147" i="1"/>
  <c r="X368" i="1"/>
  <c r="Z368" i="1"/>
  <c r="Z32" i="1"/>
  <c r="X32" i="1"/>
  <c r="Z195" i="1"/>
  <c r="X195" i="1"/>
  <c r="Z371" i="1"/>
  <c r="X371" i="1"/>
  <c r="Z178" i="1"/>
  <c r="X178" i="1"/>
  <c r="Z321" i="1"/>
  <c r="X321" i="1"/>
  <c r="Z726" i="1"/>
  <c r="X726" i="1"/>
  <c r="X565" i="1"/>
  <c r="Z565" i="1"/>
  <c r="Z241" i="1"/>
  <c r="X241" i="1"/>
  <c r="Z562" i="1"/>
  <c r="X562" i="1"/>
  <c r="X160" i="1"/>
  <c r="Z160" i="1"/>
  <c r="Z278" i="1"/>
  <c r="X278" i="1"/>
  <c r="Z269" i="1"/>
  <c r="X269" i="1"/>
  <c r="X715" i="1"/>
  <c r="Z715" i="1"/>
  <c r="Z763" i="1"/>
  <c r="X763" i="1"/>
  <c r="X85" i="1"/>
  <c r="Z85" i="1"/>
  <c r="Z196" i="1"/>
  <c r="X196" i="1"/>
  <c r="Z413" i="1"/>
  <c r="X413" i="1"/>
  <c r="X417" i="1"/>
  <c r="Z417" i="1"/>
  <c r="Z423" i="1"/>
  <c r="X423" i="1"/>
  <c r="X510" i="1"/>
  <c r="Z510" i="1"/>
  <c r="Z333" i="1"/>
  <c r="X333" i="1"/>
  <c r="Z778" i="1"/>
  <c r="X778" i="1"/>
  <c r="Z807" i="1"/>
  <c r="X807" i="1"/>
  <c r="Z635" i="1"/>
  <c r="X635" i="1"/>
  <c r="X834" i="1"/>
  <c r="Z834" i="1"/>
  <c r="Z673" i="1"/>
  <c r="X673" i="1"/>
  <c r="X852" i="1"/>
  <c r="Z852" i="1"/>
  <c r="Z586" i="1"/>
  <c r="X586" i="1"/>
  <c r="Z690" i="1"/>
  <c r="X690" i="1"/>
  <c r="X167" i="1"/>
  <c r="Z167" i="1"/>
  <c r="Z158" i="1"/>
  <c r="X158" i="1"/>
  <c r="Z197" i="1"/>
  <c r="X197" i="1"/>
  <c r="Z286" i="1"/>
  <c r="X286" i="1"/>
  <c r="Z71" i="1"/>
  <c r="X71" i="1"/>
  <c r="Z150" i="1"/>
  <c r="X150" i="1"/>
  <c r="X427" i="1"/>
  <c r="Z427" i="1"/>
  <c r="Z36" i="1"/>
  <c r="X36" i="1"/>
  <c r="Z198" i="1"/>
  <c r="X198" i="1"/>
  <c r="Z377" i="1"/>
  <c r="X377" i="1"/>
  <c r="Z181" i="1"/>
  <c r="X181" i="1"/>
  <c r="Z330" i="1"/>
  <c r="X330" i="1"/>
  <c r="X666" i="1"/>
  <c r="Z666" i="1"/>
  <c r="X730" i="1"/>
  <c r="Z730" i="1"/>
  <c r="X48" i="1"/>
  <c r="Z48" i="1"/>
  <c r="Z250" i="1"/>
  <c r="X250" i="1"/>
  <c r="Z568" i="1"/>
  <c r="X568" i="1"/>
  <c r="X166" i="1"/>
  <c r="Z166" i="1"/>
  <c r="Z281" i="1"/>
  <c r="X281" i="1"/>
  <c r="Z295" i="1"/>
  <c r="X295" i="1"/>
  <c r="X719" i="1"/>
  <c r="Z719" i="1"/>
  <c r="X767" i="1"/>
  <c r="Z767" i="1"/>
  <c r="Z89" i="1"/>
  <c r="X89" i="1"/>
  <c r="Z199" i="1"/>
  <c r="X199" i="1"/>
  <c r="Z416" i="1"/>
  <c r="X416" i="1"/>
  <c r="Z420" i="1"/>
  <c r="X420" i="1"/>
  <c r="X426" i="1"/>
  <c r="Z426" i="1"/>
  <c r="X191" i="1"/>
  <c r="Z191" i="1"/>
  <c r="X340" i="1"/>
  <c r="Z340" i="1"/>
  <c r="X445" i="1"/>
  <c r="Z445" i="1"/>
  <c r="Z419" i="1"/>
  <c r="X419" i="1"/>
  <c r="Z792" i="1"/>
  <c r="X792" i="1"/>
  <c r="Z843" i="1"/>
  <c r="X843" i="1"/>
  <c r="X639" i="1"/>
  <c r="Z639" i="1"/>
  <c r="Z856" i="1"/>
  <c r="X856" i="1"/>
  <c r="Z877" i="1"/>
  <c r="X877" i="1"/>
  <c r="Z677" i="1"/>
  <c r="X677" i="1"/>
  <c r="Z863" i="1"/>
  <c r="X863" i="1"/>
  <c r="Z781" i="1"/>
  <c r="X781" i="1"/>
  <c r="X590" i="1"/>
  <c r="Z590" i="1"/>
  <c r="Z694" i="1"/>
  <c r="X694" i="1"/>
  <c r="Z179" i="1"/>
  <c r="X179" i="1"/>
  <c r="Z935" i="1"/>
  <c r="X935" i="1"/>
  <c r="Z174" i="1"/>
  <c r="X174" i="1"/>
  <c r="X757" i="1"/>
  <c r="Z757" i="1"/>
  <c r="Z75" i="1"/>
  <c r="X75" i="1"/>
  <c r="Z153" i="1"/>
  <c r="X153" i="1"/>
  <c r="X433" i="1"/>
  <c r="Z433" i="1"/>
  <c r="Z40" i="1"/>
  <c r="X40" i="1"/>
  <c r="X213" i="1"/>
  <c r="Z213" i="1"/>
  <c r="Z380" i="1"/>
  <c r="X380" i="1"/>
  <c r="Z574" i="1"/>
  <c r="X574" i="1"/>
  <c r="Z201" i="1"/>
  <c r="X201" i="1"/>
  <c r="Z336" i="1"/>
  <c r="X336" i="1"/>
  <c r="Z887" i="1"/>
  <c r="X887" i="1"/>
  <c r="Z670" i="1"/>
  <c r="X670" i="1"/>
  <c r="Z734" i="1"/>
  <c r="X734" i="1"/>
  <c r="Z52" i="1"/>
  <c r="X52" i="1"/>
  <c r="X145" i="1"/>
  <c r="Z145" i="1"/>
  <c r="Z256" i="1"/>
  <c r="X256" i="1"/>
  <c r="X22" i="1"/>
  <c r="Z22" i="1"/>
  <c r="X184" i="1"/>
  <c r="Z184" i="1"/>
  <c r="Z284" i="1"/>
  <c r="X284" i="1"/>
  <c r="Z316" i="1"/>
  <c r="X316" i="1"/>
  <c r="Z723" i="1"/>
  <c r="X723" i="1"/>
  <c r="X26" i="1"/>
  <c r="Z26" i="1"/>
  <c r="X93" i="1"/>
  <c r="Z93" i="1"/>
  <c r="Z202" i="1"/>
  <c r="X202" i="1"/>
  <c r="Z425" i="1"/>
  <c r="X425" i="1"/>
  <c r="Z533" i="1"/>
  <c r="X533" i="1"/>
  <c r="Z453" i="1"/>
  <c r="X453" i="1"/>
  <c r="X405" i="1"/>
  <c r="Z405" i="1"/>
  <c r="Z480" i="1"/>
  <c r="X480" i="1"/>
  <c r="Z448" i="1"/>
  <c r="X448" i="1"/>
  <c r="Z422" i="1"/>
  <c r="X422" i="1"/>
  <c r="Z351" i="1"/>
  <c r="X351" i="1"/>
  <c r="Z821" i="1"/>
  <c r="X821" i="1"/>
  <c r="X850" i="1"/>
  <c r="Z850" i="1"/>
  <c r="Z647" i="1"/>
  <c r="X647" i="1"/>
  <c r="X808" i="1"/>
  <c r="Z808" i="1"/>
  <c r="Z777" i="1"/>
  <c r="X777" i="1"/>
  <c r="Z693" i="1"/>
  <c r="X693" i="1"/>
  <c r="Z881" i="1"/>
  <c r="X881" i="1"/>
  <c r="Z602" i="1"/>
  <c r="X602" i="1"/>
  <c r="X702" i="1"/>
  <c r="Z702" i="1"/>
  <c r="Z563" i="1"/>
  <c r="X563" i="1"/>
  <c r="Z185" i="1"/>
  <c r="X185" i="1"/>
  <c r="Z302" i="1"/>
  <c r="X302" i="1"/>
  <c r="X186" i="1"/>
  <c r="Z186" i="1"/>
  <c r="Z761" i="1"/>
  <c r="X761" i="1"/>
  <c r="X79" i="1"/>
  <c r="Z79" i="1"/>
  <c r="Z172" i="1"/>
  <c r="X172" i="1"/>
  <c r="Z462" i="1"/>
  <c r="X462" i="1"/>
  <c r="X99" i="1"/>
  <c r="Z99" i="1"/>
  <c r="Z216" i="1"/>
  <c r="X216" i="1"/>
  <c r="X383" i="1"/>
  <c r="Z383" i="1"/>
  <c r="Z14" i="1"/>
  <c r="X14" i="1"/>
  <c r="X207" i="1"/>
  <c r="Z207" i="1"/>
  <c r="X386" i="1"/>
  <c r="Z386" i="1"/>
  <c r="X674" i="1"/>
  <c r="Z674" i="1"/>
  <c r="Z738" i="1"/>
  <c r="X738" i="1"/>
  <c r="Z56" i="1"/>
  <c r="X56" i="1"/>
  <c r="Z148" i="1"/>
  <c r="X148" i="1"/>
  <c r="X259" i="1"/>
  <c r="Z259" i="1"/>
  <c r="Z29" i="1"/>
  <c r="X29" i="1"/>
  <c r="X187" i="1"/>
  <c r="Z187" i="1"/>
  <c r="Z298" i="1"/>
  <c r="X298" i="1"/>
  <c r="Z569" i="1"/>
  <c r="X569" i="1"/>
  <c r="Z727" i="1"/>
  <c r="X727" i="1"/>
  <c r="Z49" i="1"/>
  <c r="X49" i="1"/>
  <c r="X107" i="1"/>
  <c r="Z107" i="1"/>
  <c r="X205" i="1"/>
  <c r="Z205" i="1"/>
  <c r="Z458" i="1"/>
  <c r="X458" i="1"/>
  <c r="Z215" i="1"/>
  <c r="X215" i="1"/>
  <c r="X465" i="1"/>
  <c r="Z465" i="1"/>
  <c r="X408" i="1"/>
  <c r="Z408" i="1"/>
  <c r="Z489" i="1"/>
  <c r="X489" i="1"/>
  <c r="Z439" i="1"/>
  <c r="X439" i="1"/>
  <c r="Z451" i="1"/>
  <c r="X451" i="1"/>
  <c r="Z436" i="1"/>
  <c r="X436" i="1"/>
  <c r="X828" i="1"/>
  <c r="Z828" i="1"/>
  <c r="Z879" i="1"/>
  <c r="X879" i="1"/>
  <c r="X651" i="1"/>
  <c r="Z651" i="1"/>
  <c r="X851" i="1"/>
  <c r="Z851" i="1"/>
  <c r="X790" i="1"/>
  <c r="Z790" i="1"/>
  <c r="X589" i="1"/>
  <c r="Z589" i="1"/>
  <c r="Z705" i="1"/>
  <c r="X705" i="1"/>
  <c r="X888" i="1"/>
  <c r="Z888" i="1"/>
  <c r="Z786" i="1"/>
  <c r="X786" i="1"/>
  <c r="Z606" i="1"/>
  <c r="X606" i="1"/>
  <c r="Z23" i="1"/>
  <c r="X23" i="1"/>
  <c r="Z299" i="1"/>
  <c r="X299" i="1"/>
  <c r="X323" i="1"/>
  <c r="Z323" i="1"/>
  <c r="Z570" i="1"/>
  <c r="X570" i="1"/>
  <c r="Z83" i="1"/>
  <c r="X83" i="1"/>
  <c r="Z189" i="1"/>
  <c r="X189" i="1"/>
  <c r="X129" i="1"/>
  <c r="Z129" i="1"/>
  <c r="Z277" i="1"/>
  <c r="X277" i="1"/>
  <c r="Z389" i="1"/>
  <c r="X389" i="1"/>
  <c r="Z18" i="1"/>
  <c r="X18" i="1"/>
  <c r="Z226" i="1"/>
  <c r="X226" i="1"/>
  <c r="Z395" i="1"/>
  <c r="X395" i="1"/>
  <c r="Z682" i="1"/>
  <c r="X682" i="1"/>
  <c r="X742" i="1"/>
  <c r="Z742" i="1"/>
  <c r="X60" i="1"/>
  <c r="Z60" i="1"/>
  <c r="Z262" i="1"/>
  <c r="X262" i="1"/>
  <c r="X33" i="1"/>
  <c r="Z33" i="1"/>
  <c r="X190" i="1"/>
  <c r="Z190" i="1"/>
  <c r="X301" i="1"/>
  <c r="Z301" i="1"/>
  <c r="Z15" i="1"/>
  <c r="X15" i="1"/>
  <c r="X731" i="1"/>
  <c r="Z731" i="1"/>
  <c r="Z53" i="1"/>
  <c r="X53" i="1"/>
  <c r="Z134" i="1"/>
  <c r="X134" i="1"/>
  <c r="X208" i="1"/>
  <c r="Z208" i="1"/>
  <c r="Z461" i="1"/>
  <c r="X461" i="1"/>
  <c r="Z357" i="1"/>
  <c r="X357" i="1"/>
  <c r="Z468" i="1"/>
  <c r="X468" i="1"/>
  <c r="Z414" i="1"/>
  <c r="X414" i="1"/>
  <c r="X460" i="1"/>
  <c r="Z460" i="1"/>
  <c r="X484" i="1"/>
  <c r="Z484" i="1"/>
  <c r="Z318" i="1"/>
  <c r="X318" i="1"/>
  <c r="Z788" i="1"/>
  <c r="X788" i="1"/>
  <c r="Z832" i="1"/>
  <c r="X832" i="1"/>
  <c r="Z922" i="1"/>
  <c r="X922" i="1"/>
  <c r="Z663" i="1"/>
  <c r="X663" i="1"/>
  <c r="X779" i="1"/>
  <c r="Z779" i="1"/>
  <c r="X880" i="1"/>
  <c r="Z880" i="1"/>
  <c r="Z593" i="1"/>
  <c r="X593" i="1"/>
  <c r="Z721" i="1"/>
  <c r="X721" i="1"/>
  <c r="Z892" i="1"/>
  <c r="X892" i="1"/>
  <c r="Z806" i="1"/>
  <c r="X806" i="1"/>
  <c r="X618" i="1"/>
  <c r="Z618" i="1"/>
  <c r="Z114" i="1"/>
  <c r="X114" i="1"/>
  <c r="Z263" i="1"/>
  <c r="X263" i="1"/>
  <c r="Z928" i="1"/>
  <c r="X928" i="1"/>
  <c r="X564" i="1"/>
  <c r="Z564" i="1"/>
  <c r="X87" i="1"/>
  <c r="Z87" i="1"/>
  <c r="Z210" i="1"/>
  <c r="X210" i="1"/>
  <c r="Z136" i="1"/>
  <c r="X136" i="1"/>
  <c r="Z280" i="1"/>
  <c r="X280" i="1"/>
  <c r="Z392" i="1"/>
  <c r="X392" i="1"/>
  <c r="Z25" i="1"/>
  <c r="X25" i="1"/>
  <c r="X265" i="1"/>
  <c r="Z265" i="1"/>
  <c r="Z686" i="1"/>
  <c r="X686" i="1"/>
  <c r="X746" i="1"/>
  <c r="Z746" i="1"/>
  <c r="Z64" i="1"/>
  <c r="X64" i="1"/>
  <c r="X37" i="1"/>
  <c r="Z37" i="1"/>
  <c r="Z193" i="1"/>
  <c r="X193" i="1"/>
  <c r="Z19" i="1"/>
  <c r="X19" i="1"/>
  <c r="X735" i="1"/>
  <c r="Z735" i="1"/>
  <c r="X57" i="1"/>
  <c r="Z57" i="1"/>
  <c r="Z137" i="1"/>
  <c r="X137" i="1"/>
  <c r="Z473" i="1"/>
  <c r="X473" i="1"/>
  <c r="X471" i="1"/>
  <c r="Z471" i="1"/>
  <c r="X429" i="1"/>
  <c r="Z429" i="1"/>
  <c r="X384" i="1"/>
  <c r="Z384" i="1"/>
  <c r="X475" i="1"/>
  <c r="Z475" i="1"/>
  <c r="Z499" i="1"/>
  <c r="X499" i="1"/>
  <c r="Z334" i="1"/>
  <c r="X334" i="1"/>
  <c r="Z810" i="1"/>
  <c r="X810" i="1"/>
  <c r="Z864" i="1"/>
  <c r="X864" i="1"/>
  <c r="X587" i="1"/>
  <c r="Z587" i="1"/>
  <c r="X675" i="1"/>
  <c r="Z675" i="1"/>
  <c r="Z605" i="1"/>
  <c r="X605" i="1"/>
  <c r="X733" i="1"/>
  <c r="Z733" i="1"/>
  <c r="Z924" i="1"/>
  <c r="X924" i="1"/>
  <c r="X622" i="1"/>
  <c r="Z622" i="1"/>
  <c r="Z21" i="1"/>
  <c r="X21" i="1"/>
  <c r="Z91" i="1"/>
  <c r="X91" i="1"/>
  <c r="Z240" i="1"/>
  <c r="X240" i="1"/>
  <c r="Z156" i="1"/>
  <c r="X156" i="1"/>
  <c r="X290" i="1"/>
  <c r="Z290" i="1"/>
  <c r="Z398" i="1"/>
  <c r="X398" i="1"/>
  <c r="X44" i="1"/>
  <c r="Z44" i="1"/>
  <c r="X268" i="1"/>
  <c r="Z268" i="1"/>
  <c r="X698" i="1"/>
  <c r="Z698" i="1"/>
  <c r="X750" i="1"/>
  <c r="Z750" i="1"/>
  <c r="X68" i="1"/>
  <c r="Z68" i="1"/>
  <c r="X223" i="1"/>
  <c r="Z223" i="1"/>
  <c r="Z41" i="1"/>
  <c r="X41" i="1"/>
  <c r="Z214" i="1"/>
  <c r="X214" i="1"/>
  <c r="Z45" i="1"/>
  <c r="X45" i="1"/>
  <c r="Z739" i="1"/>
  <c r="X739" i="1"/>
  <c r="X61" i="1"/>
  <c r="Z61" i="1"/>
  <c r="X140" i="1"/>
  <c r="Z140" i="1"/>
  <c r="X325" i="1"/>
  <c r="Z325" i="1"/>
  <c r="Z476" i="1"/>
  <c r="X476" i="1"/>
  <c r="X530" i="1"/>
  <c r="Z530" i="1"/>
  <c r="X486" i="1"/>
  <c r="Z486" i="1"/>
  <c r="Z432" i="1"/>
  <c r="X432" i="1"/>
  <c r="Z349" i="1"/>
  <c r="X349" i="1"/>
  <c r="X393" i="1"/>
  <c r="Z393" i="1"/>
  <c r="X457" i="1"/>
  <c r="Z457" i="1"/>
  <c r="X517" i="1"/>
  <c r="Z517" i="1"/>
  <c r="Z817" i="1"/>
  <c r="X817" i="1"/>
  <c r="Z893" i="1"/>
  <c r="X893" i="1"/>
  <c r="Z591" i="1"/>
  <c r="X591" i="1"/>
  <c r="X679" i="1"/>
  <c r="Z679" i="1"/>
  <c r="Z621" i="1"/>
  <c r="X621" i="1"/>
  <c r="Z737" i="1"/>
  <c r="X737" i="1"/>
  <c r="Z921" i="1"/>
  <c r="X921" i="1"/>
  <c r="Z634" i="1"/>
  <c r="X634" i="1"/>
  <c r="X47" i="1"/>
  <c r="Z47" i="1"/>
  <c r="Z95" i="1"/>
  <c r="X95" i="1"/>
  <c r="Z249" i="1"/>
  <c r="X249" i="1"/>
  <c r="Z159" i="1"/>
  <c r="X159" i="1"/>
  <c r="Z297" i="1"/>
  <c r="X297" i="1"/>
  <c r="X769" i="1"/>
  <c r="Z769" i="1"/>
  <c r="Z106" i="1"/>
  <c r="X106" i="1"/>
  <c r="X271" i="1"/>
  <c r="Z271" i="1"/>
  <c r="Z791" i="1"/>
  <c r="X791" i="1"/>
  <c r="Z706" i="1"/>
  <c r="X706" i="1"/>
  <c r="Z754" i="1"/>
  <c r="X754" i="1"/>
  <c r="Z72" i="1"/>
  <c r="X72" i="1"/>
  <c r="X899" i="1"/>
  <c r="Z899" i="1"/>
  <c r="Z103" i="1"/>
  <c r="X103" i="1"/>
  <c r="X217" i="1"/>
  <c r="Z217" i="1"/>
  <c r="Z100" i="1"/>
  <c r="X100" i="1"/>
  <c r="X743" i="1"/>
  <c r="Z743" i="1"/>
  <c r="Z65" i="1"/>
  <c r="X65" i="1"/>
  <c r="X170" i="1"/>
  <c r="Z170" i="1"/>
  <c r="Z331" i="1"/>
  <c r="X331" i="1"/>
  <c r="Z482" i="1"/>
  <c r="X482" i="1"/>
  <c r="Z506" i="1"/>
  <c r="X506" i="1"/>
  <c r="Z161" i="1"/>
  <c r="X161" i="1"/>
  <c r="Z438" i="1"/>
  <c r="X438" i="1"/>
  <c r="Z396" i="1"/>
  <c r="X396" i="1"/>
  <c r="Z520" i="1"/>
  <c r="X520" i="1"/>
  <c r="P4" i="1" l="1"/>
  <c r="P5" i="1"/>
  <c r="P6" i="1"/>
  <c r="P7" i="1"/>
  <c r="P8" i="1"/>
  <c r="P9" i="1"/>
  <c r="P10" i="1"/>
  <c r="P11" i="1"/>
  <c r="P3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84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729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3" i="1"/>
  <c r="U3" i="1" l="1"/>
  <c r="V3" i="1"/>
  <c r="U11" i="1"/>
  <c r="V11" i="1"/>
  <c r="U10" i="1"/>
  <c r="V10" i="1"/>
  <c r="U9" i="1"/>
  <c r="Z9" i="1" s="1"/>
  <c r="V9" i="1"/>
  <c r="U8" i="1"/>
  <c r="Z8" i="1" s="1"/>
  <c r="V8" i="1"/>
  <c r="U7" i="1"/>
  <c r="Z7" i="1" s="1"/>
  <c r="V7" i="1"/>
  <c r="U6" i="1"/>
  <c r="V6" i="1"/>
  <c r="U5" i="1"/>
  <c r="V5" i="1"/>
  <c r="U4" i="1"/>
  <c r="V4" i="1"/>
  <c r="Z3" i="1"/>
  <c r="X3" i="1"/>
  <c r="X11" i="1"/>
  <c r="Z11" i="1"/>
  <c r="Z10" i="1"/>
  <c r="X10" i="1"/>
  <c r="Z6" i="1"/>
  <c r="X6" i="1"/>
  <c r="Z5" i="1"/>
  <c r="X5" i="1"/>
  <c r="Z4" i="1"/>
  <c r="X4" i="1"/>
  <c r="X7" i="1" l="1"/>
  <c r="X9" i="1"/>
  <c r="X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Kelvin CHIAR</author>
  </authors>
  <commentList>
    <comment ref="E6" authorId="0" shapeId="0" xr:uid="{E0FA3064-DCA5-493C-8791-41B9F3055115}">
      <text>
        <r>
          <rPr>
            <b/>
            <sz val="9"/>
            <color indexed="81"/>
            <rFont val="Tahoma"/>
            <family val="2"/>
          </rPr>
          <t>ISBM / EBM / IM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<sst xmlns="http://schemas.openxmlformats.org/spreadsheetml/2006/main" count="4617" uniqueCount="1435">
  <si>
    <t>A5</t>
  </si>
  <si>
    <t>PET</t>
  </si>
  <si>
    <t>BC28-0375-K-R-CL</t>
  </si>
  <si>
    <t>A6</t>
  </si>
  <si>
    <t>BC28-0280-HD-R-CL-LW</t>
  </si>
  <si>
    <t>A7</t>
  </si>
  <si>
    <t>BC28-0250-Z-S-CL</t>
  </si>
  <si>
    <t>A8</t>
  </si>
  <si>
    <t>BX38-0330-Z-S-CL-HW</t>
  </si>
  <si>
    <t>A9</t>
  </si>
  <si>
    <t>BBX38-0150-R-AM</t>
  </si>
  <si>
    <t>A10</t>
  </si>
  <si>
    <t>rPET</t>
  </si>
  <si>
    <t>JJ63-0400-SH-S-CL</t>
  </si>
  <si>
    <t>A12</t>
  </si>
  <si>
    <t>JJ63-0400-SH-S-WH</t>
  </si>
  <si>
    <t>A13</t>
  </si>
  <si>
    <t>BX38-2000-GH-R-CL (GREEN) (ASEM)</t>
  </si>
  <si>
    <t>A23</t>
  </si>
  <si>
    <t>PPSB520Y</t>
  </si>
  <si>
    <t>NA</t>
  </si>
  <si>
    <t>SAMPLE RUNNING</t>
  </si>
  <si>
    <t>BC28-0500-GS2-R-GR</t>
  </si>
  <si>
    <t>A14</t>
  </si>
  <si>
    <t>BC28-0056-D-APH-LEB-604001-MOLD2</t>
  </si>
  <si>
    <t>A15</t>
  </si>
  <si>
    <t>BX38-2000-RH-R-CL(GREEN) (ASEM)</t>
  </si>
  <si>
    <t>A16</t>
  </si>
  <si>
    <t>BC28-0090-D-APH-5180-3538-PP-6 NOTCHES-MOLD4</t>
  </si>
  <si>
    <t>A17</t>
  </si>
  <si>
    <t>BC28-0750-K4-R-CL (55g)</t>
  </si>
  <si>
    <t>A18</t>
  </si>
  <si>
    <t>BC28-0056-D-APH-LEB-604001-MOLD4</t>
  </si>
  <si>
    <t>A19</t>
  </si>
  <si>
    <t>BC28-1200-K-R-CL</t>
  </si>
  <si>
    <t>A21</t>
  </si>
  <si>
    <t>BC28-0090-D-APH-5180-3538-PP-6 NOTCHES-MOLD1</t>
  </si>
  <si>
    <t>BC28-0355-SCC-A-Q-CL</t>
  </si>
  <si>
    <t>BC28-0130-R-R-AM</t>
  </si>
  <si>
    <t>BX38-0350-Z-C-CL</t>
  </si>
  <si>
    <t>BC28-0500-WNHP-R-BR</t>
  </si>
  <si>
    <t>JJ63-0400-RH-R-CL</t>
  </si>
  <si>
    <t>BX38-1000-HC-S-CL</t>
  </si>
  <si>
    <t>10:01AM - 6:00PM: NOZ CAV 2 PRQB</t>
  </si>
  <si>
    <t>6:00AM - 6:00PM: MAINT</t>
  </si>
  <si>
    <t>6:00PM - 6:28PM: MAINT</t>
  </si>
  <si>
    <t>6:00AM - 6:05AM: FULL SET</t>
  </si>
  <si>
    <t>6:00AM - 5:17PM: MAINT</t>
  </si>
  <si>
    <t>6:00PM - 6:00AM: MAINT</t>
  </si>
  <si>
    <t>6:00PM - 8:48PM: HALF SET</t>
  </si>
  <si>
    <t>6:00PM - 6:04PM: FULL SET</t>
  </si>
  <si>
    <t xml:space="preserve"> 6:16PM - 6:25PM: FULL SET</t>
  </si>
  <si>
    <t xml:space="preserve"> 6:25PM - 7:05PM: FULL SET</t>
  </si>
  <si>
    <t>6:00PM - 5:23AM: FULL SET</t>
  </si>
  <si>
    <t>6:09AM - 3:12PM: FULL SET</t>
  </si>
  <si>
    <t xml:space="preserve"> 3:12PM - 3:13PM: FULL SET</t>
  </si>
  <si>
    <t xml:space="preserve"> 3:17PM - 3:33PM: FULL SET</t>
  </si>
  <si>
    <t>6:01AM - 6:50AM: FULL SET</t>
  </si>
  <si>
    <t xml:space="preserve"> 7:31AM - 6:00PM: BLOW MOULD</t>
  </si>
  <si>
    <t>4:34PM - 6:00PM: FULL SET</t>
  </si>
  <si>
    <t>8:14AM - 8:41AM: CHILER PRO MAIN</t>
  </si>
  <si>
    <t>6:00AM - 12:12PM: HALF SET</t>
  </si>
  <si>
    <t>12:05AM - 5:00AM: HALF SET</t>
  </si>
  <si>
    <t xml:space="preserve"> 5:28AM - 6:00AM: HALF SET</t>
  </si>
  <si>
    <t>6:00AM - 11:29AM: MAINT</t>
  </si>
  <si>
    <t xml:space="preserve"> 11:29AM - 6:00PM: MAINT</t>
  </si>
  <si>
    <t>6:00AM - 11:29AM: BARREL</t>
  </si>
  <si>
    <t xml:space="preserve"> 11:29AM - 2:28PM: BARREL</t>
  </si>
  <si>
    <t>6:00PM - 6:00AM: BARREL</t>
  </si>
  <si>
    <t>6:00AM - 6:00PM: BARREL</t>
  </si>
  <si>
    <t>9:20AM - 10:07AM: BLOW MOULD</t>
  </si>
  <si>
    <t>6:00AM - 9:58AM: MAINT</t>
  </si>
  <si>
    <t>9:18PM - 11:34PM: BLOW MOULD</t>
  </si>
  <si>
    <t>6:00PM - 1:14AM: MAINT</t>
  </si>
  <si>
    <t>12:55PM - 2:31PM: NO PACKER</t>
  </si>
  <si>
    <t>12:54PM - 3:22PM: FREE CYCLE RUN</t>
  </si>
  <si>
    <t>11:59AM - 12:25PM: BARREL SPEED PROBLEM</t>
  </si>
  <si>
    <t xml:space="preserve"> 6:00AM - 11:37AM: BARREL SPEED PROBLEM</t>
  </si>
  <si>
    <t>10:12AM - 11:30AM: ALARM OILY HOT</t>
  </si>
  <si>
    <t>6:00PM - 6:00AM: LIP CHANGE</t>
  </si>
  <si>
    <t>6:00PM - 6:00AM: BARREL SPEED PROBLEM</t>
  </si>
  <si>
    <t>6:00AM - 6:00PM: LIP CHANGE</t>
  </si>
  <si>
    <t>6:00AM - 6:06AM: BARREL SPEED PROBLEM</t>
  </si>
  <si>
    <t>6:00PM - 6:24PM: H.R BLOCK CAV 1 PROBLEM</t>
  </si>
  <si>
    <t>6:00PM - 1:16AM: BARREL SPEED PROBLEM</t>
  </si>
  <si>
    <t>6:00AM - 10:50AM: H.R BLOCK CAV 1 PROBLEM</t>
  </si>
  <si>
    <t>6:00AM - 8:39AM: BARREL SPEED PROBLEM</t>
  </si>
  <si>
    <t>7:58PM - 12:25AM: WAIT METERIAL LOUD</t>
  </si>
  <si>
    <t>6:00PM - 9:40PM: CLOUDY-DRAYER PROBLEM</t>
  </si>
  <si>
    <t xml:space="preserve"> 10:01PM - 6:00AM: H.R BLOCK CAV 1 PROBLEM</t>
  </si>
  <si>
    <t>6:00PM - 6:09PM: BARREL SPEED PROBLEM</t>
  </si>
  <si>
    <t>6:00AM - 9:37AM: MATERIAL LEAKING</t>
  </si>
  <si>
    <t>6:00AM - 2:32PM: HALF SET</t>
  </si>
  <si>
    <t>6:00AM - 9:00AM: BARREL SPEED PROBLEM</t>
  </si>
  <si>
    <t>6:00PM - 6:21PM: MATERIAL LEAKING</t>
  </si>
  <si>
    <t>6:00PM - 6:00AM: HALF SET</t>
  </si>
  <si>
    <t>6:00PM - 9:33PM: BARREL SPEED PROBLEM</t>
  </si>
  <si>
    <t>6:00AM - 3:06PM: MATERIAL LEAKING</t>
  </si>
  <si>
    <t>5:04PM - 6:00PM: HALF SET</t>
  </si>
  <si>
    <t>6:00AM - 10:33AM: H.R NOZZLE CAV1 PROBLEM</t>
  </si>
  <si>
    <t>6:00AM - 6:00PM: MATEREAL CHANGE</t>
  </si>
  <si>
    <t>6:00AM - 4:18PM: BARREL SPEED PROBLEM</t>
  </si>
  <si>
    <t>6:00PM - 6:00AM: MATERIAL LEAKING</t>
  </si>
  <si>
    <t>BC28-0060-M-R-AM-LW</t>
  </si>
  <si>
    <t>9:15PM - 1:59AM: FULL SET</t>
  </si>
  <si>
    <t xml:space="preserve"> 1:59AM - 2:21AM: FULL SET</t>
  </si>
  <si>
    <t xml:space="preserve"> 2:21AM - 2:28AM: FULL SET</t>
  </si>
  <si>
    <t>BX38-1000-RN-R-CL-rPET</t>
  </si>
  <si>
    <t>12:11AM - 1:39AM: BLOW MOULD</t>
  </si>
  <si>
    <t xml:space="preserve"> 1:58AM - 6:00AM: H.R NOZZLE CAV1 PROBLEM</t>
  </si>
  <si>
    <t>6:00PM - 6:00AM: MATEREAL CHANGE</t>
  </si>
  <si>
    <t>7:19PM - 6:00AM: BARREL SPEED PROBLEM</t>
  </si>
  <si>
    <t>10:20AM - 11:44AM: NO LEAK TEST</t>
  </si>
  <si>
    <t>10:20AM - 6:00PM: MATEREAL CHANGE</t>
  </si>
  <si>
    <t>10:20AM - 6:00PM: LIP CHANGE</t>
  </si>
  <si>
    <t>10:20AM - 6:00PM: MATERIAL LEAKING</t>
  </si>
  <si>
    <t>8:57AM - 8:57AM: FULL SET</t>
  </si>
  <si>
    <t xml:space="preserve"> 8:57AM - 9:16AM: FULL SET</t>
  </si>
  <si>
    <t xml:space="preserve"> 9:22AM - 9:22AM: FULL SET</t>
  </si>
  <si>
    <t>10:55PM - 10:55PM: FULL SET</t>
  </si>
  <si>
    <t xml:space="preserve"> 10:55PM - 11:01PM: FULL SET</t>
  </si>
  <si>
    <t xml:space="preserve"> 11:01PM - 11:02PM: FULL SET</t>
  </si>
  <si>
    <t>10:43AM - 6:00PM: MATEREAL CHANGE</t>
  </si>
  <si>
    <t>10:37AM - 4:23PM: MATERIAL LEAKING</t>
  </si>
  <si>
    <t>9:18AM - 10:37AM: MATERIAL LEAKING</t>
  </si>
  <si>
    <t>6:51AM - 7:06AM: NO PACKER</t>
  </si>
  <si>
    <t xml:space="preserve"> 7:06AM - 7:08AM: NO PACKER</t>
  </si>
  <si>
    <t xml:space="preserve"> 6:00AM - 6:35AM: BLOW MOULD</t>
  </si>
  <si>
    <t>6:00AM - 8:53AM: MATEREAL CHANGE</t>
  </si>
  <si>
    <t>6:12AM - 8:22AM: LIP CHANGE</t>
  </si>
  <si>
    <t>BW38-0280-LS-R-RED</t>
  </si>
  <si>
    <t>BC28-0265-A-Q-CL</t>
  </si>
  <si>
    <t>5:46AM - 6:00AM: BLOW MOULD</t>
  </si>
  <si>
    <t>BX38-1000-GH-R-CL(GREEN) (ASEM)</t>
  </si>
  <si>
    <t>6:00PM - 6:21PM: FULL SET</t>
  </si>
  <si>
    <t>11:15PM - 6:00AM: METERIAL DONT LOUD</t>
  </si>
  <si>
    <t>8:58AM - 6:00PM: FULL SET</t>
  </si>
  <si>
    <t xml:space="preserve"> 8:26AM - 8:26AM: FULL SET</t>
  </si>
  <si>
    <t xml:space="preserve"> 8:26AM - 8:58AM: FULL SET</t>
  </si>
  <si>
    <t>8:58AM - 8:58AM: FULL SET</t>
  </si>
  <si>
    <t xml:space="preserve"> 3:44PM - 6:00PM: MATEREAL CHANGE</t>
  </si>
  <si>
    <t>11:11AM - 2:56PM: BLOW MOULD</t>
  </si>
  <si>
    <t>8:26AM - 8:26AM: FULL SET</t>
  </si>
  <si>
    <t>6:00AM - 8:26AM: FULL SET</t>
  </si>
  <si>
    <t>6:00PM - 6:00AM: FULL SET</t>
  </si>
  <si>
    <t>6:00AM - 6:00PM: FULL SET</t>
  </si>
  <si>
    <t>2:08PM - 2:08PM: FULL SET</t>
  </si>
  <si>
    <t xml:space="preserve"> 2:08PM - 2:08PM: FULL SET</t>
  </si>
  <si>
    <t xml:space="preserve"> 2:08PM - 3:23PM: FULL SET</t>
  </si>
  <si>
    <t>7:18AM - 6:00PM: FULL SET</t>
  </si>
  <si>
    <t>6:00PM - 4:26AM: FULL SET</t>
  </si>
  <si>
    <t xml:space="preserve"> 4:26AM - 6:00AM: FULL SET</t>
  </si>
  <si>
    <t>6:00AM - 6:00PM: OIL PROBLEM</t>
  </si>
  <si>
    <t>11:26PM - 6:00AM: FULL SET</t>
  </si>
  <si>
    <t xml:space="preserve"> 6:00PM - 11:26PM: FULL SET</t>
  </si>
  <si>
    <t>10:35AM - 1:12PM: EJECOR CY PRO</t>
  </si>
  <si>
    <t>12:18PM - 12:49PM: BLOW MOULD</t>
  </si>
  <si>
    <t>12:59AM - 1:17AM: BLOW MOULD</t>
  </si>
  <si>
    <t xml:space="preserve"> 12:04AM - 12:42AM: BLOW MOULD</t>
  </si>
  <si>
    <t>6:25PM - 6:00AM: FULL SET</t>
  </si>
  <si>
    <t>6:00PM - 8:00PM: LEAK TEST</t>
  </si>
  <si>
    <t>6:00AM - 9:04AM: BLOW MOULD</t>
  </si>
  <si>
    <t xml:space="preserve"> 9:32AM - 11:10AM: BLOW MOULD</t>
  </si>
  <si>
    <t xml:space="preserve"> 11:10AM - 11:19AM: OILY AND CLAMPING PROBLEM</t>
  </si>
  <si>
    <t>6:00AM - 10:57AM: PACKER PROBLEM</t>
  </si>
  <si>
    <t>5:16AM - 6:00AM: BLOW MOULD</t>
  </si>
  <si>
    <t>6:00PM - 8:30PM: OILY</t>
  </si>
  <si>
    <t xml:space="preserve"> 1:27PM - 6:00PM: FULL SET</t>
  </si>
  <si>
    <t>9:10AM - 9:10AM: BARREL PROBLEM</t>
  </si>
  <si>
    <t xml:space="preserve"> 9:10AM - 1:27PM: BARREL PROBLEM</t>
  </si>
  <si>
    <t>3:40PM - 4:02PM: NO PACKER</t>
  </si>
  <si>
    <t xml:space="preserve"> 9:09AM - 9:10AM: BLOW MOULD</t>
  </si>
  <si>
    <t xml:space="preserve"> 9:10AM - 9:10AM: BLOW MOULD</t>
  </si>
  <si>
    <t>6:00PM - 6:13PM: LIPS PROBLEM</t>
  </si>
  <si>
    <t>6:00PM - 8:34PM: BLOCK INSET CAV3 LEAKING</t>
  </si>
  <si>
    <t>6:00PM - 6:49PM: MAINT</t>
  </si>
  <si>
    <t xml:space="preserve"> 8:32PM - 9:10AM: FULL SET</t>
  </si>
  <si>
    <t>3:55AM - 9:10AM: HALF SET</t>
  </si>
  <si>
    <t>10:56PM - 9:10AM: FULL SET</t>
  </si>
  <si>
    <t xml:space="preserve"> 6:00PM - 10:38PM: BARREL PROBLEM</t>
  </si>
  <si>
    <t xml:space="preserve"> 10:38PM - 10:56PM: FULL SET</t>
  </si>
  <si>
    <t>10:33AM - 11:28AM: CHILER PROB</t>
  </si>
  <si>
    <t>7:42AM - 7:42AM: BARREL PROBLEM</t>
  </si>
  <si>
    <t xml:space="preserve"> 7:42AM - 6:00PM: BARREL PROBLEM</t>
  </si>
  <si>
    <t>7:42AM - 11:19AM: MOTOR CANT ON</t>
  </si>
  <si>
    <t>2:57PM - 6:00PM: MAINT</t>
  </si>
  <si>
    <t>8:51AM - 8:57AM: CHILLER 32"</t>
  </si>
  <si>
    <t>7:41AM - 7:41AM: BLOCK INSET CAV3 LEAKING</t>
  </si>
  <si>
    <t xml:space="preserve"> 7:41AM - 11:00AM: BLOCK INSET CAV3 LEAKING</t>
  </si>
  <si>
    <t>7:41AM - 7:41AM: LIPS PROBLEM</t>
  </si>
  <si>
    <t xml:space="preserve"> 7:41AM - 5:55PM: LIPS PROBLEM</t>
  </si>
  <si>
    <t>6:00PM - 7:42AM: BARREL PROBLEM</t>
  </si>
  <si>
    <t>6:00PM - 7:41AM: LIPS PROBLEM</t>
  </si>
  <si>
    <t>6:00PM - 7:41AM: BLOCK INSET CAV3 LEAKING</t>
  </si>
  <si>
    <t>6:00AM - 6:00PM: LIPS PROBLEM</t>
  </si>
  <si>
    <t>6:00AM - 6:00PM: BLOCK INSET CAV3 LEAKING</t>
  </si>
  <si>
    <t>6:00AM - 7:47AM: CHILLER</t>
  </si>
  <si>
    <t>6:00AM - 6:00PM: BARREL PROBLEM</t>
  </si>
  <si>
    <t>6:00PM - 9:01PM: HALF SET</t>
  </si>
  <si>
    <t xml:space="preserve"> 9:45PM - 11:52PM: BLOCK INSET 2 LEAKING</t>
  </si>
  <si>
    <t xml:space="preserve"> 12:56AM - 6:00AM: LIPS PROBLEM</t>
  </si>
  <si>
    <t>6:00PM - 7:17PM: H R</t>
  </si>
  <si>
    <t xml:space="preserve"> 7:26PM - 2:52AM: BLOCK INSET CAV3 LEAKING</t>
  </si>
  <si>
    <t>6:00PM - 7:06PM: DOTS(CORE)</t>
  </si>
  <si>
    <t xml:space="preserve"> 5:24AM - 5:48AM: CHILLER</t>
  </si>
  <si>
    <t>6:00PM - 6:00AM: BARREL PROBLEM</t>
  </si>
  <si>
    <t>6:00AM - 2:16PM: HALF SET</t>
  </si>
  <si>
    <t xml:space="preserve"> 2:16PM - 6:00PM: HALF SET</t>
  </si>
  <si>
    <t>2:16PM - 6:00PM: H R</t>
  </si>
  <si>
    <t>3:22PM - 3:41PM: DOTS(CORE)</t>
  </si>
  <si>
    <t xml:space="preserve"> 2:16PM - 2:54PM: DOTS(CORE)</t>
  </si>
  <si>
    <t>2:16PM - 6:00PM: BARREL PROBLEM</t>
  </si>
  <si>
    <t>6:00PM - 12:30AM: DOME HEIGHT &amp; BODY GAP</t>
  </si>
  <si>
    <t>9:17AM - 9:27AM: HR NOZZLE CAV3</t>
  </si>
  <si>
    <t>10:20AM - 6:00PM: HALF SET</t>
  </si>
  <si>
    <t xml:space="preserve"> 9:52AM - 10:00AM: HALF SET</t>
  </si>
  <si>
    <t xml:space="preserve"> 10:00AM - 10:12AM: HALF SET</t>
  </si>
  <si>
    <t>3:42PM - 6:00PM: FULL SET</t>
  </si>
  <si>
    <t>6:00AM - 6:00PM: DOME HEIGHT &amp; BODY GAP</t>
  </si>
  <si>
    <t>6:00PM - 6:00AM: DOME HEIGHT &amp; BODY GAP</t>
  </si>
  <si>
    <t>11:43AM - 2:23PM: HALF SET</t>
  </si>
  <si>
    <t xml:space="preserve"> 3:52PM - 3:52PM: HALF SET</t>
  </si>
  <si>
    <t>6:00AM - 6:00AM: BLOW MOULD</t>
  </si>
  <si>
    <t>6:00AM - 9:53AM: BLOCK PROBLEM</t>
  </si>
  <si>
    <t>6:00AM - 6:00PM: DOME HEIGHT PROBLEM</t>
  </si>
  <si>
    <t>6:00PM - 6:00AM: TOP FLATNESS NG</t>
  </si>
  <si>
    <t>2:12AM - 2:13AM: BLOW MOULD</t>
  </si>
  <si>
    <t xml:space="preserve"> 3:02AM - 4:00AM: BLOW MOULD</t>
  </si>
  <si>
    <t>4:48AM - 6:00AM: MANY TIME ALARM OIL</t>
  </si>
  <si>
    <t>7:31PM - 7:31PM: HALF SET</t>
  </si>
  <si>
    <t xml:space="preserve"> 7:31PM - 8:48PM: HALF SET</t>
  </si>
  <si>
    <t>4:56PM - 5:06PM: SET NO STANBY</t>
  </si>
  <si>
    <t xml:space="preserve"> 7:30AM - 7:33AM: FULL SET</t>
  </si>
  <si>
    <t xml:space="preserve"> 7:33AM - 11:16AM: SET NO STANBY</t>
  </si>
  <si>
    <t>9:06AM - 9:06AM: HALF SET</t>
  </si>
  <si>
    <t xml:space="preserve"> 9:08AM - 4:35PM: HALF SET</t>
  </si>
  <si>
    <t>7:30AM - 9:19AM: MOULD NO STANBY</t>
  </si>
  <si>
    <t xml:space="preserve"> 7:04AM - 7:30AM: BLOW MOULD</t>
  </si>
  <si>
    <t>6:00AM - 6:00PM: TOP FLATNESS NG</t>
  </si>
  <si>
    <t>6:53PM - 6:53PM: BLOW MOULD</t>
  </si>
  <si>
    <t xml:space="preserve"> 6:53PM - 9:02PM: BLOW MOULD</t>
  </si>
  <si>
    <t>6:00AM - 10:04AM: BLOCK PROBLEM</t>
  </si>
  <si>
    <t>Production Date</t>
  </si>
  <si>
    <t>Shift</t>
  </si>
  <si>
    <t>Machine Name</t>
  </si>
  <si>
    <t>Material</t>
  </si>
  <si>
    <t>SAP No</t>
  </si>
  <si>
    <t>Mould No</t>
  </si>
  <si>
    <t>Type</t>
  </si>
  <si>
    <t>Jo No</t>
  </si>
  <si>
    <t>Shot</t>
  </si>
  <si>
    <t>Qty Order</t>
  </si>
  <si>
    <t>WIP Opening</t>
  </si>
  <si>
    <t>WIP Closing</t>
  </si>
  <si>
    <t>Shift Output</t>
  </si>
  <si>
    <t>Finish Good</t>
  </si>
  <si>
    <t>Inward</t>
  </si>
  <si>
    <t>Qty Accumulate</t>
  </si>
  <si>
    <t>Qty Balance</t>
  </si>
  <si>
    <t>Material Used</t>
  </si>
  <si>
    <t>Runner</t>
  </si>
  <si>
    <t>Reject Startup (%)</t>
  </si>
  <si>
    <t>Reject Startup (kg)</t>
  </si>
  <si>
    <t>Reject Prod (kg)</t>
  </si>
  <si>
    <t>Reject Prod (%)</t>
  </si>
  <si>
    <t>Act Ct</t>
  </si>
  <si>
    <t>Production Running (hrs)</t>
  </si>
  <si>
    <t>SAP Ct</t>
  </si>
  <si>
    <t>Change Full Set</t>
  </si>
  <si>
    <t>Change Half Set</t>
  </si>
  <si>
    <t>Change Parts</t>
  </si>
  <si>
    <t>Maintenance Dt</t>
  </si>
  <si>
    <t>Technician Dt</t>
  </si>
  <si>
    <t>Production Dt</t>
  </si>
  <si>
    <t>Unallocated</t>
  </si>
  <si>
    <t>Remark</t>
  </si>
  <si>
    <t>Part Scrap</t>
  </si>
  <si>
    <t>Reject Labelling</t>
  </si>
  <si>
    <t>Reject Purging (kg)</t>
  </si>
  <si>
    <t>Reject Preform (kg)</t>
  </si>
  <si>
    <t>Reject Total (pcs)</t>
  </si>
  <si>
    <t>Reference Card for Production Report</t>
  </si>
  <si>
    <t xml:space="preserve">Last Updated: </t>
  </si>
  <si>
    <t xml:space="preserve">Next Update by: </t>
  </si>
  <si>
    <t>Cavity, pc/shot</t>
  </si>
  <si>
    <t>Part Weight, g/pc</t>
  </si>
  <si>
    <t>Gross Weight, g/pc</t>
  </si>
  <si>
    <t>Cycle Time, s/shot</t>
  </si>
  <si>
    <t>Mould</t>
  </si>
  <si>
    <t>Material Description</t>
  </si>
  <si>
    <t>SAP Routing</t>
  </si>
  <si>
    <t>Process</t>
  </si>
  <si>
    <t>Material (Resin)</t>
  </si>
  <si>
    <t>SAP BOM</t>
  </si>
  <si>
    <t>QAQC w/ tolerance</t>
  </si>
  <si>
    <t>Engineering Flow Chart</t>
  </si>
  <si>
    <t xml:space="preserve">SAP Routing </t>
  </si>
  <si>
    <t>INSERT SAP NO.</t>
  </si>
  <si>
    <t>ISBM</t>
  </si>
  <si>
    <t>BC28-0060-M-R-BR</t>
  </si>
  <si>
    <t>BC28-0060-M-R-WH-LW</t>
  </si>
  <si>
    <t>BC28-0060-M-R-CL-LW</t>
  </si>
  <si>
    <t>BB38-0060-R-R-CL</t>
  </si>
  <si>
    <t>BB38-0060-R-R-AM</t>
  </si>
  <si>
    <t>BX38-0075-R-R-CL</t>
  </si>
  <si>
    <t>BX38-0075-R-R-AM</t>
  </si>
  <si>
    <t>BX38-0075-R-R-WH</t>
  </si>
  <si>
    <t>BC28-0080-M-R-BR</t>
  </si>
  <si>
    <t>BB38-0090-R-R-CL</t>
  </si>
  <si>
    <t>BB38-0090-R-R-AM</t>
  </si>
  <si>
    <t>BX38-0100-BM-R-AM</t>
  </si>
  <si>
    <t>BX38-0100-BM-R-CL</t>
  </si>
  <si>
    <t>BX38-0100-BM-R-BR</t>
  </si>
  <si>
    <t>BX38-0100-C-R-AM</t>
  </si>
  <si>
    <t>BX38-0100C-B WHITE</t>
  </si>
  <si>
    <t>BX38-2000-H-S-CL</t>
  </si>
  <si>
    <t>BC28-0120-M-R-CL</t>
  </si>
  <si>
    <t>BC28-0100-M-R-CL-HW</t>
  </si>
  <si>
    <t>BX38-0100-R-R-CL</t>
  </si>
  <si>
    <t>BX38-0100-S-R-WH</t>
  </si>
  <si>
    <t>BB38-0145-C-R-CL</t>
  </si>
  <si>
    <t>BB38-0150-C-R-CL</t>
  </si>
  <si>
    <t>BX38-0150-C-R-CL</t>
  </si>
  <si>
    <t>BC28-0150-M-R-CL</t>
  </si>
  <si>
    <t>BC28-0155-M-R-CL</t>
  </si>
  <si>
    <t>BB38-0165-RH-R-CL</t>
  </si>
  <si>
    <t>JJ63-0190-E-Q-CL-LW</t>
  </si>
  <si>
    <t>JJ63-0200-S-Q-CL</t>
  </si>
  <si>
    <t>JJ63-0200-R-R-CL</t>
  </si>
  <si>
    <t>BC28-0200-M-R-CL</t>
  </si>
  <si>
    <t>BX38-0200-S-R-CL</t>
  </si>
  <si>
    <t>BX38-0225-C-R-AM</t>
  </si>
  <si>
    <t>JJ63-0235-R-R-CL</t>
  </si>
  <si>
    <t>JJ63-0235-RN-R-CL</t>
  </si>
  <si>
    <t>BD24-0240-R-R-CL</t>
  </si>
  <si>
    <t>JJ63-0240-R-R-CL</t>
  </si>
  <si>
    <t>JJ63-0240-RS-R-CL</t>
  </si>
  <si>
    <t>BC28-0250-M-R-CL LW</t>
  </si>
  <si>
    <t>JJ63-0250-S-Q-CL-HW</t>
  </si>
  <si>
    <t>BC28-0265-RB-Q-CL</t>
  </si>
  <si>
    <t>JJ63-0270-E-Q-CL</t>
  </si>
  <si>
    <t>JJ63-0275-R-R-CL</t>
  </si>
  <si>
    <t>BB38-0300-C-R-CL</t>
  </si>
  <si>
    <t>BX38-0300-C-R-CL</t>
  </si>
  <si>
    <t>BC28-0300-PC-R-CL</t>
  </si>
  <si>
    <t>JJ63-0300-R-R-CL</t>
  </si>
  <si>
    <t>JJ63-0300-RH-R-CL</t>
  </si>
  <si>
    <t>JJ63-0310-R-R-CL</t>
  </si>
  <si>
    <t>JJ63-0320-S-Q-CL</t>
  </si>
  <si>
    <t>JJ63-0320-R-R-CL</t>
  </si>
  <si>
    <t>BC28-0350-GE-R-BL</t>
  </si>
  <si>
    <t>JJ63-0350-NH-R-CL</t>
  </si>
  <si>
    <t>JJ63-0350-R-R-CL</t>
  </si>
  <si>
    <t>BX38-0350-SB-R-CL</t>
  </si>
  <si>
    <t>BC28-0355-A-Q-CL</t>
  </si>
  <si>
    <t>BA28-0355-A-Q-CL</t>
  </si>
  <si>
    <t>BAA28-0355-FFN-Q-CL</t>
  </si>
  <si>
    <t>JJ63-0375-SH-Q-CL</t>
  </si>
  <si>
    <t>JJ63-0400-EH-R-CL</t>
  </si>
  <si>
    <t>JJ63-0400-HX-H-CL</t>
  </si>
  <si>
    <t>BC28-0430-A-Q-CL</t>
  </si>
  <si>
    <t>BB38-1500-H-R-CL</t>
  </si>
  <si>
    <t>BCY28-0500-W-R-CL</t>
  </si>
  <si>
    <t>BC28-0500-W-R-CL</t>
  </si>
  <si>
    <t>BC28-0500-WHF-R-CL</t>
  </si>
  <si>
    <t>JJ63-0500-RH-R-CL</t>
  </si>
  <si>
    <t>JJ63-0500-M-R-CL</t>
  </si>
  <si>
    <t>JJ63-0500-S-Q-CL</t>
  </si>
  <si>
    <t>BC28-0500-RF-R-TB</t>
  </si>
  <si>
    <t>BA28-0500-S-Q-CL</t>
  </si>
  <si>
    <t>BCY28-0500-T-R-CL</t>
  </si>
  <si>
    <t>BC28-0500-TT-R-CL</t>
  </si>
  <si>
    <t>BCY28-0500-TR-R-CL</t>
  </si>
  <si>
    <t>JJ63-0550-R-R-CL</t>
  </si>
  <si>
    <t>BA28-0550-UP-S-CL</t>
  </si>
  <si>
    <t>BA28-0600-R-R-CL</t>
  </si>
  <si>
    <t>JJ63-0600-HX-H-CL</t>
  </si>
  <si>
    <t>BA28-0640-R-R-CL</t>
  </si>
  <si>
    <t>BB38-2000-H-R-CL</t>
  </si>
  <si>
    <t>JJ63-0650-S-S-CL</t>
  </si>
  <si>
    <t>BCX32-0750-W-R-CL</t>
  </si>
  <si>
    <t>JJ63-0750-HX-H-CL-LW</t>
  </si>
  <si>
    <t>JJ63-0850-RH-R-CL</t>
  </si>
  <si>
    <t>BCX32-1000-E-R-CL</t>
  </si>
  <si>
    <t>JJ63-1000-E-R-CL</t>
  </si>
  <si>
    <t>BA32-1000-S-S-CL</t>
  </si>
  <si>
    <t>BA28-1100-UP-S-CL</t>
  </si>
  <si>
    <t>JW110-5000-S-S-CL</t>
  </si>
  <si>
    <t>BX38-0250-FM-R-CL</t>
  </si>
  <si>
    <t>BB38-0250-RM-R-CL</t>
  </si>
  <si>
    <t>BB38-0250-R-R-CL</t>
  </si>
  <si>
    <t>BB38-0250-FS-R-CL</t>
  </si>
  <si>
    <t>BB38-0250-SS-R-CL</t>
  </si>
  <si>
    <t>BB38-0250-RJ-R-CL</t>
  </si>
  <si>
    <t>BB38-0250-FN-R-CL</t>
  </si>
  <si>
    <t>BX38-0250-SM-R-CL</t>
  </si>
  <si>
    <t>BB38-0300-RJ-R-CL</t>
  </si>
  <si>
    <t>BC28-0330-CSD-R-CL-LW</t>
  </si>
  <si>
    <t>BC28-0330-HF-S-CL</t>
  </si>
  <si>
    <t>BC28-0330-HD-Q-CL-LW</t>
  </si>
  <si>
    <t>BC28-0330-P-R-CL</t>
  </si>
  <si>
    <t>BC28-0350-AB-R-CL</t>
  </si>
  <si>
    <t>BC28-0350-P-R-CL</t>
  </si>
  <si>
    <t>BX38-0375-S-R-CL-LW</t>
  </si>
  <si>
    <t>BC28-0500-CSD-R-CL</t>
  </si>
  <si>
    <t>BC28-0500-P-R-CL</t>
  </si>
  <si>
    <t>BB38-0500-PM-R-CL</t>
  </si>
  <si>
    <t>BB38-0500-R-R-CL</t>
  </si>
  <si>
    <t>BB38-0500-RC-R-CL</t>
  </si>
  <si>
    <t>BC28-0500-KE-S-CL-LW</t>
  </si>
  <si>
    <t>BB38-0500-S-S-CL</t>
  </si>
  <si>
    <t>BB38-0750-H-R-CL</t>
  </si>
  <si>
    <t>BB38-0750-RJ-R-CL</t>
  </si>
  <si>
    <t>BB38-0810-SV-R-CL</t>
  </si>
  <si>
    <t>BB38-03000-RB3-S-CL</t>
  </si>
  <si>
    <t>BB38-1000-H-S-CL</t>
  </si>
  <si>
    <t>BB38-1000-HC-S-CL</t>
  </si>
  <si>
    <t>BX38-1000-RR-R-CL</t>
  </si>
  <si>
    <t>BB38-1000-C-R-CL</t>
  </si>
  <si>
    <t>BB38-1000-N-R-CL</t>
  </si>
  <si>
    <t>BB38-1000-GH-S-CL</t>
  </si>
  <si>
    <t>BB38-1000-CN-R-CL</t>
  </si>
  <si>
    <t>BB38-1000-S-S-CL</t>
  </si>
  <si>
    <t>BC28-1000-S-S-CL</t>
  </si>
  <si>
    <t>BC28-1000-SQ-S-CL</t>
  </si>
  <si>
    <t>BC28-1000-SS-S-CL</t>
  </si>
  <si>
    <t>BX38-1083-RN-R-CL</t>
  </si>
  <si>
    <t>BB38-1500-S-S-CL (DEL)</t>
  </si>
  <si>
    <t>Z-HANDLE - YELLOW</t>
  </si>
  <si>
    <t>INJ</t>
  </si>
  <si>
    <t>PP2300</t>
  </si>
  <si>
    <t>Z-HANDLE - RED</t>
  </si>
  <si>
    <t>BB38-2000-H-S-CL(RED) (ASEM)</t>
  </si>
  <si>
    <t>Z-HANDLE - GREEN</t>
  </si>
  <si>
    <t>BX38-2000-H-S-CL(GREEN) (ASEM)</t>
  </si>
  <si>
    <t>Z-HANDLE - WHITE</t>
  </si>
  <si>
    <t>BX38-2000-GH-S-CL</t>
  </si>
  <si>
    <t>BX28-2000-RH-S-CL</t>
  </si>
  <si>
    <t>BB38-2000-K2-S-CL</t>
  </si>
  <si>
    <t>C38-T/E-C/S-WHITE</t>
  </si>
  <si>
    <t>HDPE1010J</t>
  </si>
  <si>
    <t>C63-T/E-R/S-WHITE</t>
  </si>
  <si>
    <t>C38-T/E-I/L-R/S-WHITE</t>
  </si>
  <si>
    <t>BX38-1000-GH-R-CL</t>
  </si>
  <si>
    <t>C63-T/E-R/S-WHITE WITH P.E WAD (ASEM) -V</t>
  </si>
  <si>
    <t>C38-T/E-I/L-C/S-WHITE</t>
  </si>
  <si>
    <t>BB38-2000-HR-R-CL</t>
  </si>
  <si>
    <t>C38-T/E-R/S-WHITE WITH PE WAD (ASEM)</t>
  </si>
  <si>
    <t>C38-T/E-R/S-WHITE</t>
  </si>
  <si>
    <t>C38-TEAR SEAL WHITE CAP</t>
  </si>
  <si>
    <t>LLDPE6201</t>
  </si>
  <si>
    <t>C38-T/E-I/L-R/S-WHITE WITH P.E WAD (ASEM</t>
  </si>
  <si>
    <t>C38-T/E-C/S-YELLOW - V</t>
  </si>
  <si>
    <t>C63-T/E-R/S-YELLOW</t>
  </si>
  <si>
    <t>C63-T/E-R/S-YELLOW WITH P.E WAD (ASEM)</t>
  </si>
  <si>
    <t>C38-T/E-I/L-R/S-YELLOW – V</t>
  </si>
  <si>
    <t>C38-T/E-I/L-C/S-YELLOW</t>
  </si>
  <si>
    <t>C38-T/E-I/L-C/S-YELLOW(24433374)NESTLE V</t>
  </si>
  <si>
    <t>C38-T/E-R/S-YELLOW</t>
  </si>
  <si>
    <t>C38-T/E-I/L-R/S-GOLD</t>
  </si>
  <si>
    <t>C38-T/E-C/S-ORANGE</t>
  </si>
  <si>
    <t>C63-T/E-R/S-ORANGE</t>
  </si>
  <si>
    <t>C38-T/E-I/L-R/S-ORANGE</t>
  </si>
  <si>
    <t>C38-T/E-I/L-C/S-ORANGE</t>
  </si>
  <si>
    <t>C38-T/E-R/S-ORANGE</t>
  </si>
  <si>
    <t>C28-R/S-FLIP TOP RED</t>
  </si>
  <si>
    <t>C28-C/S-FLIP TOP RED</t>
  </si>
  <si>
    <t>SM398</t>
  </si>
  <si>
    <t>C28-R/S-FLIP TOP YELLOW</t>
  </si>
  <si>
    <t>C28-C/S-FLIP TOP YELLOW (V)</t>
  </si>
  <si>
    <t>C28-R/S-FLIP TOP WHITE</t>
  </si>
  <si>
    <t>C28-C/S-FLIP TOP WHITE</t>
  </si>
  <si>
    <t>C28-C/S-FLIP TOP D.GREEN</t>
  </si>
  <si>
    <t>C28-R/S-FLIP TOP GREEN (C287185058)</t>
  </si>
  <si>
    <t>C28-C/S-FLIP TOP BLACK</t>
  </si>
  <si>
    <t>C28-R/S-FLIP TOP BLUE</t>
  </si>
  <si>
    <t>C28-C/S-FLIP TOP BLUE</t>
  </si>
  <si>
    <t>C28-R/S-FLIP TOP VIOLET</t>
  </si>
  <si>
    <t>C28-C/S-FLIP TOP VIOLET</t>
  </si>
  <si>
    <t>C28-R/S-FLIP TOP ORANGE</t>
  </si>
  <si>
    <t>C28-C/S-FLIP TOP ORANGE</t>
  </si>
  <si>
    <t>C28-R/S-FLIP TOP D.GREEN</t>
  </si>
  <si>
    <t>C28-CHILD PROFF CAP WHITE (INNER)</t>
  </si>
  <si>
    <t>C38-T/E-C/S-RED</t>
  </si>
  <si>
    <t>C110-HANDLE CAP RED</t>
  </si>
  <si>
    <t>C38-T/E-R/S-RED</t>
  </si>
  <si>
    <t>C63-T/E-R/S-RED</t>
  </si>
  <si>
    <t>C38-T/E-I/L-R/S-RED</t>
  </si>
  <si>
    <t>C38-T/E-I/L-C/S-RED</t>
  </si>
  <si>
    <t>C110-HANDLE CAP PINK</t>
  </si>
  <si>
    <t>C38-T/E-C/S-VIOLET</t>
  </si>
  <si>
    <t>C38-T/E-R/S-VIOLET</t>
  </si>
  <si>
    <t>C63-T/E-R/S-VIOLET</t>
  </si>
  <si>
    <t>C38-T/E-I/L-R/S-VIOLET</t>
  </si>
  <si>
    <t>C63-T/E-R/S-GOLD</t>
  </si>
  <si>
    <t>C38-T/E-C/S-BLUE</t>
  </si>
  <si>
    <t>C38-T/E-R/S-BLUE</t>
  </si>
  <si>
    <t>C63-T/E-R/S-BLUE</t>
  </si>
  <si>
    <t>C38-T/E-I/L-R/S-BLUE</t>
  </si>
  <si>
    <t>C38-T/E-I/L-C/S-BLUE</t>
  </si>
  <si>
    <t>C38-T/E-C/S-GREEN</t>
  </si>
  <si>
    <t>C63-T/E-R/S-GREEN</t>
  </si>
  <si>
    <t>C38-T/E-I/L-R/S-GREEN</t>
  </si>
  <si>
    <t>C38-T/E-I/L-C/S-GREEN</t>
  </si>
  <si>
    <t>C38-T/E-R/S-GREEN - V</t>
  </si>
  <si>
    <t>C63-D/C 7H RED</t>
  </si>
  <si>
    <t>C63-D/C 7H BLACK</t>
  </si>
  <si>
    <t>C63-D/C 7H WHITE</t>
  </si>
  <si>
    <t>C63-D/C 7H YELLOW</t>
  </si>
  <si>
    <t>C63-D/C 7H BLUE</t>
  </si>
  <si>
    <t>C63-D/C 7H RED MAGGI</t>
  </si>
  <si>
    <t>C63-D/C 7H RED MAGGI WITH UNI-GARD (ASEM</t>
  </si>
  <si>
    <t>C63-D/C 3H YELLOW</t>
  </si>
  <si>
    <t>C63-D/C 3H RED</t>
  </si>
  <si>
    <t>C63-D/C 3H WHITE</t>
  </si>
  <si>
    <t>C63-D/C 3H ORANGE</t>
  </si>
  <si>
    <t>C63-D/C 3H BLUE</t>
  </si>
  <si>
    <t>C63-D/C 7H GREY</t>
  </si>
  <si>
    <t>C63-D/C 7H SILVER</t>
  </si>
  <si>
    <t>C38-T/E-C/S-BROWN</t>
  </si>
  <si>
    <t>C38-T/E-R/S-BLACK</t>
  </si>
  <si>
    <t>C38-T/E-C/S-BLACK - V</t>
  </si>
  <si>
    <t>C63-T/E-R/S-BLACK</t>
  </si>
  <si>
    <t>C63-T/E-R/S BLACK WITH P.E WAD (ASEM)</t>
  </si>
  <si>
    <t>C38-T/E-I/L-R/S-BLACK</t>
  </si>
  <si>
    <t>C38-T/E-I/L-C/S-BLACK</t>
  </si>
  <si>
    <t>C38-T/E-C/S-BRONZE</t>
  </si>
  <si>
    <t>C63-T/E-R/S-BRONZE</t>
  </si>
  <si>
    <t>C63-T/E-R/S BERYLS BRONZE</t>
  </si>
  <si>
    <t>C38-T/E-I/L-C/S-BRONZE</t>
  </si>
  <si>
    <t>C38-T/E-R/S-SILVER</t>
  </si>
  <si>
    <t>C38-T/E-C/S-SILVER</t>
  </si>
  <si>
    <t>C28-EZY CAP YELLOW</t>
  </si>
  <si>
    <t>C28-EZY CAP RED</t>
  </si>
  <si>
    <t>C38-EZY CAP YELLOW</t>
  </si>
  <si>
    <t>C38-T/E-I/L-R/S-SP GOLD</t>
  </si>
  <si>
    <t>Z-COMM CUP</t>
  </si>
  <si>
    <t>C38-FILTER CLEAR SMALL HOLE - V</t>
  </si>
  <si>
    <t>PP2300K</t>
  </si>
  <si>
    <t>C63-BUNG CLEAR</t>
  </si>
  <si>
    <t>C63-BUNG WHITE</t>
  </si>
  <si>
    <t>C63-BUNG GOLD</t>
  </si>
  <si>
    <t>Z-28-EZY CAP COVER</t>
  </si>
  <si>
    <t>BC28-0270-CW-R-W</t>
  </si>
  <si>
    <t>BC28-0270-CW-R-W (ASEM)</t>
  </si>
  <si>
    <t>BB38-1000-RH-R-CL</t>
  </si>
  <si>
    <t>BX38-1000-RH-R-CL</t>
  </si>
  <si>
    <t>BX38-1500-H-R-CL-LW</t>
  </si>
  <si>
    <t>BX38-2000-H-R-CL-LW</t>
  </si>
  <si>
    <t>BX38-0250-FS-R-CL</t>
  </si>
  <si>
    <t>BC28-0330-POJ-R-CL</t>
  </si>
  <si>
    <t>BCY28-0400-T-R-WH</t>
  </si>
  <si>
    <t>JJ63-0475-FFN-R-CL</t>
  </si>
  <si>
    <t>JJ63-0650-CB-R-CL</t>
  </si>
  <si>
    <t>BX38-0750-H-R-CL(WHITE) (ASEM)</t>
  </si>
  <si>
    <t>JJ63-0750-R-R-CL-LW</t>
  </si>
  <si>
    <t>BB38-1000-H-R-CL(GREEN) (ASEM)</t>
  </si>
  <si>
    <t>BB38-1000-H-R-CL(RED) (ASEM)</t>
  </si>
  <si>
    <t>BB38-1000-H-R-CL(WHITE) (ASEM)</t>
  </si>
  <si>
    <t>BB38-1000-H-R-CL(YELLOW) (ASEM)</t>
  </si>
  <si>
    <t>Z-HANDLE - BLUE</t>
  </si>
  <si>
    <t>BB38-1000-RH-R-CL(YELLOW) (ASEM)</t>
  </si>
  <si>
    <t>BB38-1000-RH-R-CL(GREEN) (ASEM)</t>
  </si>
  <si>
    <t>BX38-1000-RH-R-CL(GREEN) (ASEM)</t>
  </si>
  <si>
    <t>BB38-1500-H-R-CL(GREEN) (ASEM)</t>
  </si>
  <si>
    <t>BX38-1500-H-R-CL-LW(GREEN) (ASEM)</t>
  </si>
  <si>
    <t>BX38-1500-H-R-CL-LW(YELLOW) (ASEM)</t>
  </si>
  <si>
    <t>BB38-2000-HR-R-CL(YELLOW) (ASEM)</t>
  </si>
  <si>
    <t>BB38-2000-HR-R-CL(RED) (ASEM)</t>
  </si>
  <si>
    <t>BB38-2000-H-R-CL(GREEN) (ASEM)</t>
  </si>
  <si>
    <t>BB38-2000-H-R-CL(WHITE) (ASEM)</t>
  </si>
  <si>
    <t>BB38-2000-H-R-CL(YELLOW) (ASEM)</t>
  </si>
  <si>
    <t>BX38-2000-H-R-CL-LW (YELLOW) (ASEM)</t>
  </si>
  <si>
    <t>BB38-2000-H-R-CL(RED) (ASEM)</t>
  </si>
  <si>
    <t>Z-HANDLE - BRONZE</t>
  </si>
  <si>
    <t>BX38-2000-RH-R-CL</t>
  </si>
  <si>
    <t>BX38-2000-RH-R-CL(YELLOW) (ASEM)</t>
  </si>
  <si>
    <t>C28-C/S-FLIP TOP GREEN</t>
  </si>
  <si>
    <t>JX63-0475-FFN-R-CL</t>
  </si>
  <si>
    <t>BC28-0330-P-R-AM</t>
  </si>
  <si>
    <t>BC28-0350-P-R-AM</t>
  </si>
  <si>
    <t>BS38-0250-RJ-R-CL</t>
  </si>
  <si>
    <t>JX63-0235-RN-R-BR</t>
  </si>
  <si>
    <t>JJ63-0681-BR-R-CL</t>
  </si>
  <si>
    <t>JJ63-0724-K-R-CL</t>
  </si>
  <si>
    <t>JJ63-0336-K-R-CL</t>
  </si>
  <si>
    <t>BX38-1000-RN-R-CL</t>
  </si>
  <si>
    <t>BW38-0375-K-Q-CL</t>
  </si>
  <si>
    <t>BW38-0500-KT-Q-CL</t>
  </si>
  <si>
    <t>C38-T/E-I/L-C/S-VIOLET</t>
  </si>
  <si>
    <t>C63-T/E-R/S-D.GREEN</t>
  </si>
  <si>
    <t>C63-T/E-R/S-BROWN</t>
  </si>
  <si>
    <t>C28-CHILD PROFF CAP RED (TOP)</t>
  </si>
  <si>
    <t>PP2301</t>
  </si>
  <si>
    <t>C28-EZY CAP BLACK</t>
  </si>
  <si>
    <t>C28-EZY CAP GREEN</t>
  </si>
  <si>
    <t>C28-CONICAL CAP YELLOW</t>
  </si>
  <si>
    <t>BAA28-0355-A-Q-CL</t>
  </si>
  <si>
    <t>JJ63-0400-EH-R-AM</t>
  </si>
  <si>
    <t>JJ63-0600-RH-R-WH</t>
  </si>
  <si>
    <t>JJ63-0500-M-R-AM</t>
  </si>
  <si>
    <t>JJ63-0235-RN-R-BR</t>
  </si>
  <si>
    <t>JJ63-0750-SHX-S-CL</t>
  </si>
  <si>
    <t>JJ63-0400-SH-S-AM</t>
  </si>
  <si>
    <t>JJ63-0750-BR-R-CL</t>
  </si>
  <si>
    <t>JJ63-0600-RH-R-CL</t>
  </si>
  <si>
    <t>JJ63-0250-R-R-CL</t>
  </si>
  <si>
    <t>JJ63-0660-S-S-CL</t>
  </si>
  <si>
    <t>JJ63-0550-HX-H-CL</t>
  </si>
  <si>
    <t>JJ63-0350-EH-R-CL</t>
  </si>
  <si>
    <t>BC28-0450-FB-R-CL</t>
  </si>
  <si>
    <t>BC28-0250-S-S-CL</t>
  </si>
  <si>
    <t>BC28-0280-HD-Q-AM</t>
  </si>
  <si>
    <t>BD24-0240-R-R-WH</t>
  </si>
  <si>
    <t>BD24-0150-C-R-AM</t>
  </si>
  <si>
    <t>BD24-0150-C-R-WH</t>
  </si>
  <si>
    <t>BD24-0150-C-R-CL (LOW NECK)</t>
  </si>
  <si>
    <t>BD24-0150-C-R-DBL</t>
  </si>
  <si>
    <t>BD24-0150-C-R-VL</t>
  </si>
  <si>
    <t>BD24-0240-R-R-AM</t>
  </si>
  <si>
    <t>BC28-0150-A-Q-CL-LW</t>
  </si>
  <si>
    <t>BCY28-0750-W-R-CL</t>
  </si>
  <si>
    <t>BC28-0100-M-R-BR</t>
  </si>
  <si>
    <t>BC28-0100-M-R-CL-LW</t>
  </si>
  <si>
    <t>BB38-0165-RH-R-AM</t>
  </si>
  <si>
    <t>BC28-0100-M-R-WH-HW</t>
  </si>
  <si>
    <t>BX38-0150-C-R-WH</t>
  </si>
  <si>
    <t>BC28-0100-M-R-WH-LW</t>
  </si>
  <si>
    <t>BX38-0100-C-R-CL</t>
  </si>
  <si>
    <t>BC28-0250-M-R-AM</t>
  </si>
  <si>
    <t>BX38-0150-C-R-AM</t>
  </si>
  <si>
    <t>BC28-0155-M-R-AM</t>
  </si>
  <si>
    <t>BX38-0300-C-R-AM</t>
  </si>
  <si>
    <t>BC28-0250-M-R-BR-HW</t>
  </si>
  <si>
    <t>BB38-1500-S-S-CL-HW</t>
  </si>
  <si>
    <t>BB38-0250-R-R-WH</t>
  </si>
  <si>
    <t>BX38-1000-C-R-WH</t>
  </si>
  <si>
    <t>BX38-1000-C-R-CL-LW</t>
  </si>
  <si>
    <t>BB38-1500-S-S-CL-LW</t>
  </si>
  <si>
    <t>BB38-0250-S-S-CL</t>
  </si>
  <si>
    <t>BX38-0250-RM-R-CL</t>
  </si>
  <si>
    <t>BX38-0250-RJ-R-CL-LW</t>
  </si>
  <si>
    <t>JW110-4100-R-R-AM</t>
  </si>
  <si>
    <t>BX38-2000-K2-S-CL</t>
  </si>
  <si>
    <t>BB38-2000-RH-R-CL(GREEN) (ASEM)</t>
  </si>
  <si>
    <t>C63-D/C 7H GREEN</t>
  </si>
  <si>
    <t>C28-CHILD PROFF CAP NATURAL (INNER)</t>
  </si>
  <si>
    <t>C28-CHILD PROFF CAP YELLOW (TOP)</t>
  </si>
  <si>
    <t>C63-D/C 6H ORANGE (BOTTOM)</t>
  </si>
  <si>
    <t>C63-D/C 6H L.BLUE (BOTTOM)</t>
  </si>
  <si>
    <t>C63-D/C 6H YELLOW (BOTTOM)</t>
  </si>
  <si>
    <t>C63-D/C 6H YELLOW (NEMAR) (TOP)</t>
  </si>
  <si>
    <t>C32-2PIECE-YELLOW</t>
  </si>
  <si>
    <t>BX38-1000-CN-R-CL</t>
  </si>
  <si>
    <t>BCY28-0500-T2-R-CL</t>
  </si>
  <si>
    <t>C28-SPOUT CAP YELLOW (WIP)</t>
  </si>
  <si>
    <t>C63-D/C 7H RED W IND SEAL W/EAR (ASEM)</t>
  </si>
  <si>
    <t>BX38-2000-GH-R-CL (WIP)</t>
  </si>
  <si>
    <t>BB38-0500-R-R-WH</t>
  </si>
  <si>
    <t>BW38-0500-K-Q-CL</t>
  </si>
  <si>
    <t>BW38-0300-K-Q-CL</t>
  </si>
  <si>
    <t>C38-T/E-C/S ORANGE (LOOSE PACKING)</t>
  </si>
  <si>
    <t>BAA28-0355-FFN3-Q-CL</t>
  </si>
  <si>
    <t>BB38-1000-R-R-CL</t>
  </si>
  <si>
    <t>JJ63-0190-EH-Q-CL-HW</t>
  </si>
  <si>
    <t>BC28-0060-M-CL-HW</t>
  </si>
  <si>
    <t>C63-D/C 7H WH W/O LOGO I/S WIV EAR(ASEM)</t>
  </si>
  <si>
    <t>BB38-2000-HR-R-CL (GREEN) (ASEM)</t>
  </si>
  <si>
    <t>JX63-0240-RSN-R-CL</t>
  </si>
  <si>
    <t>C63-T/E-R/S-APPLE GREEN</t>
  </si>
  <si>
    <t>JX63-0235-R-R-CL</t>
  </si>
  <si>
    <t>JJ63-0250-S-Q-BR</t>
  </si>
  <si>
    <t>BC28-0150-M-R-BR</t>
  </si>
  <si>
    <t>BC28-0330-CSD-R-BR</t>
  </si>
  <si>
    <t>BC28-0500-WHF-R-AM</t>
  </si>
  <si>
    <t>BB38-0350-SB-Q-CL</t>
  </si>
  <si>
    <t>JX63-0531-RN-R-CL</t>
  </si>
  <si>
    <t>C63-D/C 7H BLACK W IND SEAL W/EAR (ASEM)</t>
  </si>
  <si>
    <t>BX38-0250-R-R-CL-LW</t>
  </si>
  <si>
    <t>C63-D/C 6H BLACK W IND SEAL W/EAR (ASEM)</t>
  </si>
  <si>
    <t>C38-T/E-R/S-GREEN WITH P.E WAD (ASEM)</t>
  </si>
  <si>
    <t>BX38-1000-RM-R-CL</t>
  </si>
  <si>
    <t>BW38-0510-K-Q-CL</t>
  </si>
  <si>
    <t>JJ63-1000-SR-S-CL (648)</t>
  </si>
  <si>
    <t>C63-T/E-R/S-WHITE WITH ACT SEAL (ASEM)</t>
  </si>
  <si>
    <t>BB38-1000-R-R-WH-HW</t>
  </si>
  <si>
    <t>BC28-0350-GE-R-AM</t>
  </si>
  <si>
    <t>BC28-0150-A-Q-CL-HW</t>
  </si>
  <si>
    <t>JJ63-0200-R-R-CL FANCY FONDANT (ASEM)</t>
  </si>
  <si>
    <t>C63-T/E-R/S-PINK</t>
  </si>
  <si>
    <t>JX63-0200-R-R-CL</t>
  </si>
  <si>
    <t>JJ63-0375-S-S-BR-HW</t>
  </si>
  <si>
    <t>BX38-1000-N-R-CL</t>
  </si>
  <si>
    <t>C38-T/E-R/S-BLUE WITH P.E WAD (ASEM)</t>
  </si>
  <si>
    <t>C28-CONICAL CAP RED WIP</t>
  </si>
  <si>
    <t>C28-SPOUT CAP RED (WIP)</t>
  </si>
  <si>
    <t>C90-T/E-I/L-R/S-A-GREEN</t>
  </si>
  <si>
    <t>C90-T/E-I/L-R/S-A-BLUE</t>
  </si>
  <si>
    <t>C90-T/E-I/L-R/S-A-ORANGE</t>
  </si>
  <si>
    <t>JN90-2480-N-R-CL MILO LABEL</t>
  </si>
  <si>
    <t>JN90-2480-N-R-CL POLO LABEL</t>
  </si>
  <si>
    <t>JN90-2480-N-R-CL FOX LABEL</t>
  </si>
  <si>
    <t>JN90-2480-R-R-CL</t>
  </si>
  <si>
    <t>JX63-0500-S-S-CL</t>
  </si>
  <si>
    <t>BC28-1000-S-S-COBALT BLUE</t>
  </si>
  <si>
    <t>C38-T/E-R/S-YELLOW WITH P.E. WAD (ASEM)</t>
  </si>
  <si>
    <t>JL63-1000-E-R-CL</t>
  </si>
  <si>
    <t>C63-D/C 7H MAROON W ACT SEAL (ASEM)</t>
  </si>
  <si>
    <t>C63-D/C 7H BLACK W ACT SEAL (ASEM)</t>
  </si>
  <si>
    <t>C63-D/C 7H MAROON</t>
  </si>
  <si>
    <t>C63-T/E-R/S-RED (BERYLS)</t>
  </si>
  <si>
    <t>BX38-0500-RC-R-CL</t>
  </si>
  <si>
    <t>C28-CHILD PROFF CAP WHITE (ASEM)</t>
  </si>
  <si>
    <t>C28-CHILD PROFF CAP WHITE (TOP)</t>
  </si>
  <si>
    <t>BX38-0640-R-R-CL</t>
  </si>
  <si>
    <t>BX38-2200-BL-R-CL</t>
  </si>
  <si>
    <t>BX38-2200-BL-H-R-CL (WHITE) ASEM</t>
  </si>
  <si>
    <t>BC28-1000-K-R-CL</t>
  </si>
  <si>
    <t>BC28-0750-K-R-CL</t>
  </si>
  <si>
    <t>C63-T/E-R/S BERYLS GOLD</t>
  </si>
  <si>
    <t>JN90-2480-N-R-CL MILO LABEL NEW</t>
  </si>
  <si>
    <t>BC28-0500-KE-S-CL-HW</t>
  </si>
  <si>
    <t>C63-D/C 6H L.BLUE (NEMAR) (TOP)</t>
  </si>
  <si>
    <t>C63-D/C 7H BLUE (NEMAR) (TOP)</t>
  </si>
  <si>
    <t>C63-D/C 6H D.BLUE (BOTTOM)</t>
  </si>
  <si>
    <t>C38-T/E-I/L-R/S-GREEN W IND SEAL (ASEM)</t>
  </si>
  <si>
    <t>C110-HANDLE CAP GREY</t>
  </si>
  <si>
    <t>JN90-2480-N-R-CL MILO LB + GRN CAP</t>
  </si>
  <si>
    <t>JN90-2480-N-R-CL POLO LB + BL CAP</t>
  </si>
  <si>
    <t>JN90-2480-N-R-CL FOX LB + ORG CAP</t>
  </si>
  <si>
    <t>BC28-0150-A3-Q-CL</t>
  </si>
  <si>
    <t>BAA28-0355-AR-Q-CL</t>
  </si>
  <si>
    <t>C38-T/E-R/S RED WITH P.E WAD (ASEM)</t>
  </si>
  <si>
    <t>BX38-0850-GH-R-CL-LW</t>
  </si>
  <si>
    <t>C28-C/S-FLIP TOP BROWN</t>
  </si>
  <si>
    <t>BC28-0200-SB-R-OPAQUE BROWN</t>
  </si>
  <si>
    <t>BAA28-0355-FFN4-Q-CL</t>
  </si>
  <si>
    <t>JJ63-0750-R-R-CL-HW</t>
  </si>
  <si>
    <t>BC28-0250-M-R-CL HW</t>
  </si>
  <si>
    <t>BX38-0100-S-S-CL</t>
  </si>
  <si>
    <t>C63-D/C 7H SILVER W IND SEAL W/EAR(ASEM)</t>
  </si>
  <si>
    <t>JJ63-0475-FFN-R-CL-PEACH MENGKUDU (ASEM)</t>
  </si>
  <si>
    <t>JJ63-0750-R-R-BR-HW</t>
  </si>
  <si>
    <t>C28-R/S-FLIP TOP YELLOW (ASEM)</t>
  </si>
  <si>
    <t>BC28-0750-K2-R-CL-LW</t>
  </si>
  <si>
    <t>BX38-1000-H-R-CL</t>
  </si>
  <si>
    <t>BX38-1000-H-R-CL(YELLOW) ASEM</t>
  </si>
  <si>
    <t>JJ63-0750-HX-H-CL-HW</t>
  </si>
  <si>
    <t>JX63-0400-S-S-AM</t>
  </si>
  <si>
    <t>JX63-0320-A-S-AM</t>
  </si>
  <si>
    <t>JJ63-0425-E-R-CL</t>
  </si>
  <si>
    <t>JJ63-0750-DH-H-CL</t>
  </si>
  <si>
    <t>C63-T/E-R/S PRO.BLUE WITH P.E WAD (ASEM)</t>
  </si>
  <si>
    <t>JJ63-0275-FB-R-CL</t>
  </si>
  <si>
    <t>C63-T/E-R/S PRO.BLUE</t>
  </si>
  <si>
    <t>BX38-2200-BL-H-R-CL (GREEN) ASEM</t>
  </si>
  <si>
    <t>JJ63-0250-S-Q-BR-HW</t>
  </si>
  <si>
    <t>BC28-0750-K2-R-CL-HW</t>
  </si>
  <si>
    <t>BC28-0300-RS-R-OM</t>
  </si>
  <si>
    <t>C63-D/C 7H WHITE W IND SEAL W/EAR (ASEM)</t>
  </si>
  <si>
    <t>BX38-2250-BL-R-CL</t>
  </si>
  <si>
    <t>JX63-1000-E-R-CL</t>
  </si>
  <si>
    <t>C63-D/C 7H BLUE W ACT SEAL (ASEM)</t>
  </si>
  <si>
    <t>C28-C/S-FLIP TOP GOLD</t>
  </si>
  <si>
    <t>BW38-0250-K-Q-CL</t>
  </si>
  <si>
    <t>BW38-0500-LS-R-RED</t>
  </si>
  <si>
    <t>JJ63-0813-FC-R-CL</t>
  </si>
  <si>
    <t>BX38-0320-KR-R-CL</t>
  </si>
  <si>
    <t>JJ63-0400-SH-S-CL (KIWI LOGO)</t>
  </si>
  <si>
    <t>JJ63-0400-SH-S-AM (KIWI LOGO)</t>
  </si>
  <si>
    <t>C63-D/C 6H ORANGE (TOP)</t>
  </si>
  <si>
    <t>C63-D/C 6H YELLOW (TOP)</t>
  </si>
  <si>
    <t>C63-D/C 6H D.BLUE (TOP)</t>
  </si>
  <si>
    <t>BC28-0500-W-R-VL</t>
  </si>
  <si>
    <t>C38-EZY CAP-T.R &amp; B.YEL W/ IND SEAL</t>
  </si>
  <si>
    <t>BA32-1000-R-R-CL</t>
  </si>
  <si>
    <t>BB38-1000-R-R-WH-LW</t>
  </si>
  <si>
    <t>C32-2PIECE-WHITE</t>
  </si>
  <si>
    <t>C28-EZY R/S CAP YELLOW</t>
  </si>
  <si>
    <t>JJ63-0300-DH-R-CL</t>
  </si>
  <si>
    <t>C38 EZY CAP -T.RED &amp; B.YELLOW (LPM)</t>
  </si>
  <si>
    <t>C38-SPOUT CAP YELLOW WIP</t>
  </si>
  <si>
    <t>C28-SPOUT CAP R/S YELLOW (WIP)</t>
  </si>
  <si>
    <t>C28-EZY R/S CAP YEL W PP IND SEAL (ASEM)</t>
  </si>
  <si>
    <t>C28-SPOUT CAP GOLD (WIP)</t>
  </si>
  <si>
    <t>C28-EZY CAP GOLD</t>
  </si>
  <si>
    <t>C28-CONICAL CAP GOLD</t>
  </si>
  <si>
    <t>C63-D/C 6H D.GREEN</t>
  </si>
  <si>
    <t>C63-D/C 6H D.GREEN (BOTTOM)</t>
  </si>
  <si>
    <t>C63-D/C 6H D.GREEN (TOP)</t>
  </si>
  <si>
    <t>C38-EZY CAP-T.R &amp; B.YEL W PE WAD (ASEM</t>
  </si>
  <si>
    <t>BC28-0120-M-R-BR</t>
  </si>
  <si>
    <t>C63-D/C 7H D.BLUE</t>
  </si>
  <si>
    <t>BC28-0500-WNHP-R-CL</t>
  </si>
  <si>
    <t>BX38-1000-C-R-CL-HW</t>
  </si>
  <si>
    <t>BX38-0250-R-R-CL-HW</t>
  </si>
  <si>
    <t>BX38-1000-RH-R-CL (YELLOW) (ASEM)</t>
  </si>
  <si>
    <t>BD24-0150-C-R-CL (HIGH NECK)</t>
  </si>
  <si>
    <t>BX38-0250-RJ-R-CL-HW</t>
  </si>
  <si>
    <t>BC28-0280-HD-R-CL-HW</t>
  </si>
  <si>
    <t>C28-CONICAL CAP BLUE</t>
  </si>
  <si>
    <t>C28- SPOUT R/S CAP BLUE (WIP)</t>
  </si>
  <si>
    <t>C28-EZY CAP BLUE</t>
  </si>
  <si>
    <t>C28-R/S-FLIP TOP CLEAR</t>
  </si>
  <si>
    <t>BX38-0500-S-S-CL-LW</t>
  </si>
  <si>
    <t>BX38-0500-S-S-CL-HW</t>
  </si>
  <si>
    <t>BC28-0280-N-CL</t>
  </si>
  <si>
    <t>BC28-0270-KPD-Q-CL</t>
  </si>
  <si>
    <t>BC28-0360-KPD-Q-CL</t>
  </si>
  <si>
    <t>BC28-0280-N-BR</t>
  </si>
  <si>
    <t>BC28-0500-GS-R-GOLD</t>
  </si>
  <si>
    <t>BC28-0750-GS-R-BR</t>
  </si>
  <si>
    <t>BX38-0330-LJ-R-CL</t>
  </si>
  <si>
    <t>JJ63-0500-HX-H-CL</t>
  </si>
  <si>
    <t>BX38-1000-RH-R-CL-WHT-ASEM</t>
  </si>
  <si>
    <t>BX38-0330-R-CL-MTB</t>
  </si>
  <si>
    <t>JX63-0350-R-R-CL</t>
  </si>
  <si>
    <t>C63-D/C 3H BROWN W ACT SEAL (ASEM)</t>
  </si>
  <si>
    <t>C38-T/E-I/L-C/S-GOLD - V</t>
  </si>
  <si>
    <t>BX38-1500-H-R-CL-BLK-ASEM</t>
  </si>
  <si>
    <t>Z-38MM-PP-HANDLE-BLK</t>
  </si>
  <si>
    <t>C63-D/C-3H-BROWN</t>
  </si>
  <si>
    <t>C38-T/E-I/L-C/S-APPLE GREEN</t>
  </si>
  <si>
    <t>JJ63-0330-EH-E-CL</t>
  </si>
  <si>
    <t>Z-HANDLE-ORANGE</t>
  </si>
  <si>
    <t>BX38-2000-RH-R-CL-ORG-ASEM</t>
  </si>
  <si>
    <t>BC28-0150-A1-Q-CL</t>
  </si>
  <si>
    <t>Z-HANDLE-VIOLET</t>
  </si>
  <si>
    <t>C38-T/E-I/L-C/S-PEARL VIOLET</t>
  </si>
  <si>
    <t>C28-CHILD PROFF CAP-NATURAL-YELLOW-ASEM</t>
  </si>
  <si>
    <t>BC28-0200-M-R-BR</t>
  </si>
  <si>
    <t>BC28-0250-M-R-BR LW</t>
  </si>
  <si>
    <t>BC28-0265-SCC-A-Q-CL</t>
  </si>
  <si>
    <t>BA32-0640-R-R-CL</t>
  </si>
  <si>
    <t>BX38-2000-HR-R-CL(RED)(ASEM)</t>
  </si>
  <si>
    <t>BX38-2000-HR-R-CL</t>
  </si>
  <si>
    <t>C38-T/E-I/L-C/S-LIGHT RED</t>
  </si>
  <si>
    <t>BX38-1000-S-S-CL</t>
  </si>
  <si>
    <t>C63-D/C 7H ORANGE</t>
  </si>
  <si>
    <t>BC28-0500-S-S-CL</t>
  </si>
  <si>
    <t>JJ63-0500-E-R-CL</t>
  </si>
  <si>
    <t>BX38-0500-S1-S-CL</t>
  </si>
  <si>
    <t>BX38-0330-RJ2-R-CL</t>
  </si>
  <si>
    <t>BC28-0330-CSD-R-CL-HW</t>
  </si>
  <si>
    <t>JJ63-0750-OT-H-CL</t>
  </si>
  <si>
    <t>BC28-0500-R-R-CL</t>
  </si>
  <si>
    <t>C63-T/E-R/S-YELLOW TAMIN W PPR WAD-ASEM</t>
  </si>
  <si>
    <t>C63-T/E-R/S-YELLOW TAMIN</t>
  </si>
  <si>
    <t>BC28-0030-M-CL</t>
  </si>
  <si>
    <t>BX38-0375-S-R-CL-HW</t>
  </si>
  <si>
    <t>BX38-0850-GH-R-CL HW</t>
  </si>
  <si>
    <t>BC28-0850-SQ-R-CL</t>
  </si>
  <si>
    <t>JJ63-1000-E-E-WH</t>
  </si>
  <si>
    <t>BW38-0150-Z-Z-CL-CJA</t>
  </si>
  <si>
    <t>C63-T/E-R/S-WHT W IND SEAL W/EAR (ASEM)</t>
  </si>
  <si>
    <t>BX38-2000-RH-R-CL (WHITE) (ASEM)</t>
  </si>
  <si>
    <t>JJ63-0550-S-Q-CL</t>
  </si>
  <si>
    <t>JJ63-0550-S-Q-CL ALMOND (ASEM)</t>
  </si>
  <si>
    <t>JJ63-0550-S-Q-CL HAZELNUTS (ASEM)</t>
  </si>
  <si>
    <t>JJ63-0550-S-Q-CL FRUIT&amp;NUTS (ASEM)</t>
  </si>
  <si>
    <t>C28-EZY CAP BLUE - PT.ATGN</t>
  </si>
  <si>
    <t>BC28-0750-GS-R-CL</t>
  </si>
  <si>
    <t>JJ63-0700-HX-H-CL</t>
  </si>
  <si>
    <t>BS2200-NA 2.2LTR HDPE BTL (NATURAL)</t>
  </si>
  <si>
    <t>EBM</t>
  </si>
  <si>
    <t>MARLEX6007</t>
  </si>
  <si>
    <t>C38-T/E-I/L-C/S-L.GOLD</t>
  </si>
  <si>
    <t>BX38-0350-RJ-R-CL</t>
  </si>
  <si>
    <t>C38-T/E-I/L-R/S-BLACK W P.E WAD (ASEM)</t>
  </si>
  <si>
    <t>BX38-0350-Z-R-CL-J3</t>
  </si>
  <si>
    <t>C63-D/C 7H BLUE W IND SEAL W/EAR (ASEM)</t>
  </si>
  <si>
    <t>AL0316-BR 28MM NO LOGO CAP (BROWN)</t>
  </si>
  <si>
    <t>PP6331</t>
  </si>
  <si>
    <t>AL0316-DBL 28MM NO LOGO CAP (D.BLUE)</t>
  </si>
  <si>
    <t>AL0316-WH 28MM NO LOGO CAP (WHITE)</t>
  </si>
  <si>
    <t>AL0316-YL 28MM NO LOGO CAP (YELLOW)</t>
  </si>
  <si>
    <t>AL0323-BR 37MM COVER (BROWN)</t>
  </si>
  <si>
    <t>SM240</t>
  </si>
  <si>
    <t>AL0323-NA 37MM COVER (NATURAL)</t>
  </si>
  <si>
    <t>AL0323-RD 37MM COVER (RED)</t>
  </si>
  <si>
    <t>AL0386-WH HERBAL JELLY LID (WHITE)</t>
  </si>
  <si>
    <t>AL0391-NA 15ML MEASURING CAP (NATURAL)</t>
  </si>
  <si>
    <t>AL0507-BL 500ML I/C LID (BLUE)</t>
  </si>
  <si>
    <t>LDPEG812</t>
  </si>
  <si>
    <t>AL0507-GR 500ML I/C LID (GREEN)</t>
  </si>
  <si>
    <t>AL0507-PK 500ML I/C LID (PINK)</t>
  </si>
  <si>
    <t>AL0507-WH 500ML I/C LID (WHITE)</t>
  </si>
  <si>
    <t>HDPE1010J/LDPEG812</t>
  </si>
  <si>
    <t>AL0512-BL 36MM CAP (BLUE)</t>
  </si>
  <si>
    <t>SM6331+SM240</t>
  </si>
  <si>
    <t>AL0512-DBE 36MM CAP (DARK BEIGE)</t>
  </si>
  <si>
    <t>AL0512-GD 36MM CAP (GOLD)</t>
  </si>
  <si>
    <t>AL0512-GR 36MM CAP (GREEN)</t>
  </si>
  <si>
    <t>AL0512-OR 36MM CAP (ORANGE)</t>
  </si>
  <si>
    <t>AL0512-PK 36MM CAP (PINK)</t>
  </si>
  <si>
    <t>AL0512-RD 36MM CAP (RED)</t>
  </si>
  <si>
    <t>AL0512-VL 36MM CAP (VIOLET)</t>
  </si>
  <si>
    <t>AL0512-WH 36MM CAP (WHITE)</t>
  </si>
  <si>
    <t>AL0512-YL 36MM CAP (YELLOW)</t>
  </si>
  <si>
    <t>AL0556-WH-L 500ML I/C LID (WHITE)</t>
  </si>
  <si>
    <t>AL0597-BE 473ML/500ML I/C LID (BEIGE)</t>
  </si>
  <si>
    <t>AL0597-BK 473ML/500ML I/C LID (BLACK)</t>
  </si>
  <si>
    <t>AL0597-GD 473ML/500ML I/C LID (GOLD)</t>
  </si>
  <si>
    <t>AL0597-GR 473ML/500ML I/C LID (GREEN)</t>
  </si>
  <si>
    <t>AL0597-NA 473ML/500ML I/C LID (NATURAL)</t>
  </si>
  <si>
    <t>AL0597-OR 473ML/500ML I/C LID (ORANGE)</t>
  </si>
  <si>
    <t>AL0597-WH 473ML/500ML I/C LID (WHITE)</t>
  </si>
  <si>
    <t>AL0712-GD 800ML I/C LID (GOLD)</t>
  </si>
  <si>
    <t>AL0712-VL 800ML I/C LID (VIOLET)</t>
  </si>
  <si>
    <t>AL0715-BR 1KG HONEY COVER (BROWN)</t>
  </si>
  <si>
    <t>AL0751-YL 1KG HONEY COVER (YELLOW) HD+LD</t>
  </si>
  <si>
    <t>AL1019-GR 38MM NOZZLE CAP (GREEN)</t>
  </si>
  <si>
    <t>AL1163-BK INSTANT NOODLE BOWL LID(BLACK)</t>
  </si>
  <si>
    <t>AL1203-WH 1.25LTR I/C LID (WHITE)</t>
  </si>
  <si>
    <t>AL1501-VL 1.25LTR I/C LID (VIOLET)</t>
  </si>
  <si>
    <t>AL1501-WH 1.5LTR I/C LID (WHITE)</t>
  </si>
  <si>
    <t>AL1509-WH 1.25/1.5LTR I/C LID (WHITE)</t>
  </si>
  <si>
    <t>AL1511-BL 1.2/1.5LTR I/C LID (BLUE)</t>
  </si>
  <si>
    <t>AL1511-BR 1.5LTR I/C LID (BROWN)</t>
  </si>
  <si>
    <t>AL1511-GR 1.5LTR I/C LID (GREEN)</t>
  </si>
  <si>
    <t>AL1511-WH 1.25/1.5LTR I/C LID (WHITE)</t>
  </si>
  <si>
    <t>AL1526-GR 1.3KG NDC COVER (GREEN)</t>
  </si>
  <si>
    <t>SM6331</t>
  </si>
  <si>
    <t>AL1526-GR-2 1.3KG NDC HOLDER (GREEN)</t>
  </si>
  <si>
    <t>AL1526-OR 1.3KG NDC COVER (ORANGE)</t>
  </si>
  <si>
    <t>AL1526-OR-2 1.3KG NDC HOLDER (ORANGE)</t>
  </si>
  <si>
    <t>AL1526-PK 1.3KG NDC COVER (PINK)</t>
  </si>
  <si>
    <t>AL1526-PK-2 1.3KG NDC HOLDER (PINK)</t>
  </si>
  <si>
    <t>AL1526-YL 1.3KG NDC COVER (YELLOW)</t>
  </si>
  <si>
    <t>AL1526-YL-2 1.3KG NDC HOLDER (YELLOW)</t>
  </si>
  <si>
    <t>AL1537-BK 1/1.5/2LTR I/C LID (BLACK)</t>
  </si>
  <si>
    <t>AL1537-BK-L 1/1.5/2LTR I/C LID (BLACK)</t>
  </si>
  <si>
    <t>AL1537-BL 1/1.5/2LTR I/C LID (BLUE)</t>
  </si>
  <si>
    <t>AL1537-GD 1/1.5/2LTR I/C LID (GOLD)</t>
  </si>
  <si>
    <t>AL1537-GR 1/1.5/2LTR I/C LID (GREEN)</t>
  </si>
  <si>
    <t>AL1586-VL 1.5LTR I/C LID (VIOLET)</t>
  </si>
  <si>
    <t>AL1586-YL 1.5LTR I/C LID (YELLOW)</t>
  </si>
  <si>
    <t>AL2012-BK 38MM CAP (BLACK) C/W SEAL ASEM</t>
  </si>
  <si>
    <t>AL2012-BK 38MM CAP (BLACK) W/O SEAL</t>
  </si>
  <si>
    <t>AL2013-BL 2LTR I/C LID (BLUE)</t>
  </si>
  <si>
    <t>AL2016-WH 2LTR I/C LID (WHITE)</t>
  </si>
  <si>
    <t>AL3016-BL 3KG COVER (BLUE)</t>
  </si>
  <si>
    <t>AL3016-SL 3KG COVER (SILVER)</t>
  </si>
  <si>
    <t>AL3016-YL 3KG COVER (YELLOW)</t>
  </si>
  <si>
    <t>AL4507-BL 38MM CAP (BLUE)</t>
  </si>
  <si>
    <t>AL4507-GR 38MM CAP (GREEN)</t>
  </si>
  <si>
    <t>AL4507-RD 38MM CAP (RED)</t>
  </si>
  <si>
    <t>AL4507-WH 38MM CAP (WHITE)</t>
  </si>
  <si>
    <t>AL6017-WH 6LTR I/C LID (WHITE)</t>
  </si>
  <si>
    <t>AL6021-NA 6LTR RECT I/C LID (NATURAL)</t>
  </si>
  <si>
    <t>BS0300-NA GBB0300 HDPE BTL (NATURAL)</t>
  </si>
  <si>
    <t>HDPE5403</t>
  </si>
  <si>
    <t>AT0137-WH 100GM NAZRI CONTAINER (WHITE)</t>
  </si>
  <si>
    <t>AT0151-NA 150ML I/C CUP (NATURAL)</t>
  </si>
  <si>
    <t>AT0161-BK 160ML I/C CUP (BLACK)</t>
  </si>
  <si>
    <t>AT0161-NA 160ML I/C CUP (NATURAL)</t>
  </si>
  <si>
    <t>AT0161-NA MINI SUNDAE CUP (NATURAL)</t>
  </si>
  <si>
    <t>AT0215-NA 200ML PP CUP (NATURAL)</t>
  </si>
  <si>
    <t>AT0386-WH HERBAL JELLY TUB (WHITE)</t>
  </si>
  <si>
    <t>AT0473-BK 473ML I/C TUB (BLACK)</t>
  </si>
  <si>
    <t>AT0473-WH 473ML I/C TUB (WHITE)</t>
  </si>
  <si>
    <t>AT0473-YL 473ML I/C TUB (YELLOW)</t>
  </si>
  <si>
    <t>AT0507-BL 500ML I/C TUB (BLUE)</t>
  </si>
  <si>
    <t>AT0507-GR 500ML I/C TUB (GREEN)</t>
  </si>
  <si>
    <t>AT0507-PK 500ML I/C TUB (PINK)</t>
  </si>
  <si>
    <t>AT0507-WH 500ML I/C TUB (WHITE)</t>
  </si>
  <si>
    <t>AT0507-YL 500ML I/C TUB (YELLOW)</t>
  </si>
  <si>
    <t>AT0556-GR 500ML I/C TUB (GREEN)</t>
  </si>
  <si>
    <t>AT0597-NA 500ML I/C TUB (NATURAL)</t>
  </si>
  <si>
    <t>AT0597-WH 500ML I/C TUB (WHITE)</t>
  </si>
  <si>
    <t>AT0712-NA 800ML I/C TUB (NATURAL)</t>
  </si>
  <si>
    <t>AT0926-BK 1LTR I/C TUB (BLACK)</t>
  </si>
  <si>
    <t>AT0926-GR 1LTR I/C TUB (GREEN)</t>
  </si>
  <si>
    <t>AT0926-NA 1LTR I/C TUB (NATURAL)</t>
  </si>
  <si>
    <t>AT1163-BK INSTANT NOODLE BOWL (BLACK)</t>
  </si>
  <si>
    <t>AT1203-WH 1.25LTR I/C TUB (WHITE)</t>
  </si>
  <si>
    <t>AT1255-VL 1.25LTR I/C TUB (VIOLET)</t>
  </si>
  <si>
    <t>AT1255-YL 1.25LTR I/C TUB (YELLOW)</t>
  </si>
  <si>
    <t>AT1257-OR 1.25LTR I/C TUB (ORANGE)</t>
  </si>
  <si>
    <t>AT1257-WH 1.25LTR I/C TUB (WHITE)</t>
  </si>
  <si>
    <t>AT1512-WH 1.5LTR I/C TUB (WHITE)</t>
  </si>
  <si>
    <t>AT1521-BR 1.5LTR I/C TUB (BROWN)</t>
  </si>
  <si>
    <t>AT1521-YL 1.5LTR I/C TUB (YELLOW)</t>
  </si>
  <si>
    <t>AT1537-BK 1.5LTR I/C TUB (BLACK)</t>
  </si>
  <si>
    <t>AT1537-GR 1.5LTR I/C TUB (GREEN)</t>
  </si>
  <si>
    <t>AT1556-GD 1.5LTR CREMO I/C TUB (GOLD)</t>
  </si>
  <si>
    <t>AT1586-VL 1.5LTR I/C TUB (VIOLET)</t>
  </si>
  <si>
    <t>AT1586-YL 1.5LTR I/C TUB (YELLOW)</t>
  </si>
  <si>
    <t>AT2012-BL 2LTR I/C TUB (BLUE)</t>
  </si>
  <si>
    <t>AT2016-WH 2LTR I/C TUB (WHITE)</t>
  </si>
  <si>
    <t>AT2017-BK 2LTR I/C TUB (BLACK)</t>
  </si>
  <si>
    <t>AT2017-BL 2LTR I/C TUB (BLUE)</t>
  </si>
  <si>
    <t>AT2017-GR 2LTR I/C TUB (GREEN)</t>
  </si>
  <si>
    <t>AT2017-NA 2LTR I/C TUB (NATURAL)</t>
  </si>
  <si>
    <t>AT3016-BL 3KG CONTAINER (BLUE)</t>
  </si>
  <si>
    <t>AT3016-YL 3KG CONTAINER (YELLOW)</t>
  </si>
  <si>
    <t>AY0715-BR 1KG HONEY HANDLE (BROWN)</t>
  </si>
  <si>
    <t>AY0751-YL 1KG HONEY HANDLE (YELLOW)</t>
  </si>
  <si>
    <t>BS0045-WH 45ML PE BTL (WHITE)</t>
  </si>
  <si>
    <t>PP855</t>
  </si>
  <si>
    <t>BS0112-DBR 60ML HDPE BTL (D.BROWN)</t>
  </si>
  <si>
    <t>BS0112-WH 60ML HDPE BTL (WHITE)</t>
  </si>
  <si>
    <t>BS0121-NA 120ML PE BTL (NATURAL)</t>
  </si>
  <si>
    <t>BS0155-NA 150ML PE BTL (NATURAL)</t>
  </si>
  <si>
    <t>BS0182-NA 180ML PP BTL (NATURAL)</t>
  </si>
  <si>
    <t>BS0207-NA 200ML PE BTL (NATURAL)</t>
  </si>
  <si>
    <t>BS0209-NA 200ML PE BTL (NATURAL)</t>
  </si>
  <si>
    <t>BS0213-NA 200ML PE BTL (NATURAL)</t>
  </si>
  <si>
    <t>BS0213-NA 200ML PP BTL (NATURAL)</t>
  </si>
  <si>
    <t>BS0215-NA 180ML PP BTL (NATURAL)</t>
  </si>
  <si>
    <t>BS0217-NA 200ML PE BTL (NATURAL)</t>
  </si>
  <si>
    <t>BS0239-NA 250ML PP BTL (NATURAL)</t>
  </si>
  <si>
    <t>BS0252-NA 250ML PE BTL (NATURAL)</t>
  </si>
  <si>
    <t>BS0255-NA 250ML PE BTL (NATURAL)</t>
  </si>
  <si>
    <t>BS0259-NA 250ML PE BTL (NATURAL)</t>
  </si>
  <si>
    <t>HDPE5404</t>
  </si>
  <si>
    <t>BS0267-BR 250ML PP BTL (BROWN)</t>
  </si>
  <si>
    <t>BS0267-NA 250ML PP BTL (NATURAL)</t>
  </si>
  <si>
    <t>BS0302-NA 300ML HDPE BTL (NATURAL)</t>
  </si>
  <si>
    <t>BS0302-NA 300ML PP BTL (NATURAL)</t>
  </si>
  <si>
    <t>BS0307-NA 300ML PP BTL (NATURAL)</t>
  </si>
  <si>
    <t>BS0308-NA 300ML PP BTL (NATURAL)</t>
  </si>
  <si>
    <t>BS0311-NA 300ML PP BTL (NATURAL)</t>
  </si>
  <si>
    <t>BS0312-NA 300ML PP BTL (NATURAL)</t>
  </si>
  <si>
    <t>BS0313-NA 250ML PP BTL (NATURAL)</t>
  </si>
  <si>
    <t>BS0315-NA 310ML PP BTL (NATURAL)</t>
  </si>
  <si>
    <t>BS0319-NA 310ML PP BTL (NATURAL)</t>
  </si>
  <si>
    <t>BS0323-BR 300ML PP BTL (BROWN)</t>
  </si>
  <si>
    <t>SM198</t>
  </si>
  <si>
    <t>BS0323-NA 300ML PP BTL (NATURAL)</t>
  </si>
  <si>
    <t>SM199</t>
  </si>
  <si>
    <t>BS0323-RD 300ML PP BTL (RED)</t>
  </si>
  <si>
    <t>BS0327-NA 350ML PP BTL (NATURAL)</t>
  </si>
  <si>
    <t>BS0332-NA 300ML PP BTL LW (NATURAL)</t>
  </si>
  <si>
    <t>BS0332-NA 300ML PP BTL HW (NATURAL)</t>
  </si>
  <si>
    <t>BS0332-NA 300ML PP BTL PRESS-ON(NATURAL)</t>
  </si>
  <si>
    <t>BS0336-NA 300ML PP BTL (NATURAL)</t>
  </si>
  <si>
    <t>BS0337-NA 300ML PP BTL (NATURAL)</t>
  </si>
  <si>
    <t>BS0339-NA 300ML PP BTL (NATURAL)</t>
  </si>
  <si>
    <t>BS0347-DBR 350ML PP BTL (D.BROWN)</t>
  </si>
  <si>
    <t>BS0352-NA 300ML PP BTL (NATURAL)</t>
  </si>
  <si>
    <t>BS0361-NA 350ML PP BTL (NATURAL)</t>
  </si>
  <si>
    <t>BS0362-NA 300ML PP BTL (NATURAL)</t>
  </si>
  <si>
    <t>BS0391-NA 300ML PP BTL (NATURAL)</t>
  </si>
  <si>
    <t>BS0507-NA 500ML PP BTL (NATURAL)</t>
  </si>
  <si>
    <t>BS0513-NA 500ML PP BTL (NATURAL)</t>
  </si>
  <si>
    <t>BS0521-NA 500ML PP BTL (NATURAL)</t>
  </si>
  <si>
    <t>BS0571-NA 500ML PP BTL (NATURAL)</t>
  </si>
  <si>
    <t>EBK38-0500-K-Q-BE-PE(S0576)</t>
  </si>
  <si>
    <t>HDPE5403+LDPE265YZ</t>
  </si>
  <si>
    <t>EBK38-0500-K-Q-BR-PE(S0576)</t>
  </si>
  <si>
    <t>EBK38-0500-K-Q-NA-PE(S0576)</t>
  </si>
  <si>
    <t>EBK38-0500-K-Q-YL-PE(S0576)</t>
  </si>
  <si>
    <t>BS0591-NA 500ML PP BTL (NATURAL)</t>
  </si>
  <si>
    <t>BS0751-NA 750ML PP BTL (NATURAL)</t>
  </si>
  <si>
    <t>BS0875-NA 750ML PP BTL (NATURAL)</t>
  </si>
  <si>
    <t>BS0921-RD 1KG PP BTL (RED)</t>
  </si>
  <si>
    <t>BS1012-BR 1LTR PP BTL (BROWN)</t>
  </si>
  <si>
    <t>BS1012-NA 1LTR PP BTL (NATURAL)</t>
  </si>
  <si>
    <t>BS1013-NA 1LTR PP BTL (NATURAL)</t>
  </si>
  <si>
    <t>BS1013-WH 1LTR PP BTL (WHITE)</t>
  </si>
  <si>
    <t>BS1015-NA 1LTR PE BTL (NATURAL)</t>
  </si>
  <si>
    <t>BS1016-NA 1LTR PP BTL (NATURAL)</t>
  </si>
  <si>
    <t>BS1017-NA 1LTR HDPE BTL (NATURAL)</t>
  </si>
  <si>
    <t>BS1017-WH 1LTR HDPE BTL (WHITE)</t>
  </si>
  <si>
    <t>BS1019-NA 1LTR PP BTL (NATURAL)</t>
  </si>
  <si>
    <t>BS1019-RD 1LTR PP BTL (RED)</t>
  </si>
  <si>
    <t>BS1019-YL 1LTR PP BTL (YELLOW)</t>
  </si>
  <si>
    <t>BS1526-NA 1.3KG NDC PP BTL (NATURAL)</t>
  </si>
  <si>
    <t>BS2017-NA 2LTR HDPE BTL (NATURAL)</t>
  </si>
  <si>
    <t>BS2019-NA 2LTR HDPE BTL (NATURAL)</t>
  </si>
  <si>
    <t>AL2016-BK 1.5L I/C CHOC CHIP MS (ASEM)</t>
  </si>
  <si>
    <t>AL2016-BK 1.5L I/C CHOCOLATE MS (ASEM)</t>
  </si>
  <si>
    <t>AL2016-BK 1.5L I/C NEAPOLITAN MS (ASEM)</t>
  </si>
  <si>
    <t>AL2016-BK 1.5L I/C STRAWBERRY MS (ASEM)</t>
  </si>
  <si>
    <t>AL2016-BK 1.5L I/C SWEET CORN MS (ASEM)</t>
  </si>
  <si>
    <t>AL2016-BK 1.5L I/C VANILLA MS (ASEM)</t>
  </si>
  <si>
    <t>AL2016-BK 1.5L I/C YAM MS (ASEM)</t>
  </si>
  <si>
    <t>AL6018-WH 6LTR I/C LID (WHITE)</t>
  </si>
  <si>
    <t>AT6018-WH 6LTR BUDS I/C TUB (WHITE)</t>
  </si>
  <si>
    <t>AL6020-WH 6LTR/1.5GAL I/C LID (WHITE)</t>
  </si>
  <si>
    <t>AL0501-WH 500ML I/C LID (WHITE)</t>
  </si>
  <si>
    <t>AT0151-NA 150ML I/C CUP (RASAMEWA)</t>
  </si>
  <si>
    <t>AT0151-NA 150ML I/C CUP (SUNTOLIA)</t>
  </si>
  <si>
    <t>AL2016-BK 1.5LTR I/C LID (BLACK) W/O LBL</t>
  </si>
  <si>
    <t>AL1019-RD 38MM NOZZLE CAP (RED)</t>
  </si>
  <si>
    <t>AL0921-RD 38MM CAP (RED)</t>
  </si>
  <si>
    <t>AL0921-GR 38MM CAP (GREEN)</t>
  </si>
  <si>
    <t>AL1537-NA 1/1.5/2LTR I/C LID (NATURAL)</t>
  </si>
  <si>
    <t>AT1026-NA 1LTR I/C TUB (NATURAL)</t>
  </si>
  <si>
    <t>AT0597-BK 500ML I/C TUB (BLACK)</t>
  </si>
  <si>
    <t>AL0597-PK 473ML/500ML I/C LID (PINK)</t>
  </si>
  <si>
    <t>AL0512-DBL 36MM CAP (DARK BLUE)</t>
  </si>
  <si>
    <t>BS0157-NA 150ML PP BTL (NATURAL)</t>
  </si>
  <si>
    <t>AT0129-NA 120ML I/C TUB (NATURAL)</t>
  </si>
  <si>
    <t>SM241</t>
  </si>
  <si>
    <t>AL0132-YL 120ML I/C LID (YELLOW)</t>
  </si>
  <si>
    <t>AL0473-GD 473ML I/C LID (GOLD)</t>
  </si>
  <si>
    <t>BS0478-BR 475ML PP BTL (BROWN)</t>
  </si>
  <si>
    <t>BS0478-YL 475ML PP BTL (YELLOW)</t>
  </si>
  <si>
    <t>AL0478-BR 38MM FLIP CAP (BROWN)</t>
  </si>
  <si>
    <t>HDPE1010J+LLDPE6201</t>
  </si>
  <si>
    <t>AL0478-YL 38MM FLIP CAP (YELLOW)</t>
  </si>
  <si>
    <t>AT1510-WH 1.5LTR I/C TUB (WHITE)</t>
  </si>
  <si>
    <t>BS1019-NA 1LTR PP BTL C/W NOZZLE CAP RED</t>
  </si>
  <si>
    <t>BS0757-NA 750ML HDPE BTL (NATURAL)</t>
  </si>
  <si>
    <t>AT0473-NA 473ml I/C TUB (NATURAL)</t>
  </si>
  <si>
    <t>AL0473-GR 473ML I/C LID (GREEN)</t>
  </si>
  <si>
    <t>AT0597-BL 500ML I/C TUB (BLUE)</t>
  </si>
  <si>
    <t>AY0921-NA INSERT (NATURAL)</t>
  </si>
  <si>
    <t>AL0473-WH 473ML I/C LID (WHITE)</t>
  </si>
  <si>
    <t>AT1537-WH 1.5LTR BIG VALUE I/C TUB</t>
  </si>
  <si>
    <t>AT1521-RD 1.5LTR I/C TUB (RED)</t>
  </si>
  <si>
    <t>AL1537-OR 1.5L I/C NEAPOLITAN BV (ASEM)</t>
  </si>
  <si>
    <t>AL1537-OR 1.5L I/C VANILLA BV (ASEM)</t>
  </si>
  <si>
    <t>AL1537-OR 1.5L I/C CHOCOLATE BV (ASEM)</t>
  </si>
  <si>
    <t>AL3021-NA 3LTR LID (NATURAL)</t>
  </si>
  <si>
    <t>AT3021-RD 3LTR TUB (RED)</t>
  </si>
  <si>
    <t>AT3021-WH 3LTR TUB (WHITE)</t>
  </si>
  <si>
    <t>BS0551-NA 520ML PP BTL (NATURAL)</t>
  </si>
  <si>
    <t>AT0823-NA 750ML I/C TUB (NATURAL)</t>
  </si>
  <si>
    <t>AL0823-PK 750ML I/C LID (PINK)</t>
  </si>
  <si>
    <t>BS0921-BR 1KG PP BTL (BROWN)</t>
  </si>
  <si>
    <t>AL1537-OR 1/1.5/2LTR I/C LID (ORANGE)</t>
  </si>
  <si>
    <t>BS0269-NA 250ML PP BTL (NATURAL)</t>
  </si>
  <si>
    <t>AT4021-WH 4LTR REC I/C TUB (WHITE)</t>
  </si>
  <si>
    <t>AL4021-WH 4LTR RECT I/C LID (WHITE)</t>
  </si>
  <si>
    <t>EBK38-0375-K-Q-YL-PE(S0376)</t>
  </si>
  <si>
    <t>BS0333-NA 300ML PP BTL (NATURAL)</t>
  </si>
  <si>
    <t>AL0597-YL 473ML/500ML I/C LID (YELLOW)</t>
  </si>
  <si>
    <t>AL0512-GY 36MM CAP (GREY)</t>
  </si>
  <si>
    <t>BS0468-NA 400ML PP BTL (NATURAL)</t>
  </si>
  <si>
    <t>BS2021-NA 2LTR HDPE BTL (NATURAL)</t>
  </si>
  <si>
    <t>AL0921-BK 38MM CAP (BLACK)</t>
  </si>
  <si>
    <t>AL0921-YL 38MM CAP (YELLOW)</t>
  </si>
  <si>
    <t>AL0921-BL 38MM CAP (BLUE)</t>
  </si>
  <si>
    <t>AL0715-YL 1KG HONEY COVER (YELLOW) HD</t>
  </si>
  <si>
    <t>AL0715-YL 1KG HONEY COVER (YELLOW) LD</t>
  </si>
  <si>
    <t>AT1015-NA HARWANY PLASTIC BOX (NATURAL)</t>
  </si>
  <si>
    <t>AL1015-GR HARWANY PLASTIC COVER (GREEN)</t>
  </si>
  <si>
    <t>AL1015-BL HARWANY PLASTIC COVER (BLUE)</t>
  </si>
  <si>
    <t>BS0336-WH 300ML PP BTL (WHITE)</t>
  </si>
  <si>
    <t>BS1021-NA 1LTR PP BTL (NATURAL)</t>
  </si>
  <si>
    <t>AT0030-OR 20ML CUP (ORANGE)</t>
  </si>
  <si>
    <t>AT0030-GR 20ML CUP (GREEN)</t>
  </si>
  <si>
    <t>AT0257-WH 250ML TUB (WHITE)</t>
  </si>
  <si>
    <t>BS0255-NA 250ML PP BTL (NATURAL)</t>
  </si>
  <si>
    <t>BS0256-NA 250ML PE BTL (NATURAL)</t>
  </si>
  <si>
    <t>C63-T/E-R/S YLW W IND SEAL W/EAR (ASEM)</t>
  </si>
  <si>
    <t>AT0129-BK 120ML I/C TUB (BLACK)</t>
  </si>
  <si>
    <t>AT1537-GD 1.5LTR I/C TUB (GOLD)</t>
  </si>
  <si>
    <t>AL1537-GD-L 1/1.5/2LTR I/C LID (GOLD)</t>
  </si>
  <si>
    <t>BX38-0330-Z-S-CL-LW</t>
  </si>
  <si>
    <t>C63-D/C 7H PROCESS YELLOW</t>
  </si>
  <si>
    <t>BS0310 NA 310ML PP BTL (NATURAL)</t>
  </si>
  <si>
    <t>AL0473-BK 473ML I/C LID (BLACK)</t>
  </si>
  <si>
    <t>BS0223-NA 200ML PP BTL (NATURAL)</t>
  </si>
  <si>
    <t>BS0316-NA 310ML PP BTL (NATURAL)</t>
  </si>
  <si>
    <t>BC28-0200-SB-R-CL</t>
  </si>
  <si>
    <t>BC28-0375-K-R-BLACK</t>
  </si>
  <si>
    <t>AL0921-BR 38MM CAP (BROWN)</t>
  </si>
  <si>
    <t>AL0512-BR 36MM CAP (BROWN)</t>
  </si>
  <si>
    <t>BS0308-WH 300ML PP BTL (WHITE)</t>
  </si>
  <si>
    <t>BC28-0100-M-R-AM</t>
  </si>
  <si>
    <t>BS0281-NA 280ML PP BTL (NATURAL)</t>
  </si>
  <si>
    <t>AL0473-NA 473ML I/C LID (NATURAL)</t>
  </si>
  <si>
    <t>AL1509-GR 1.25/1.5LTR I/C LID (GREEN)</t>
  </si>
  <si>
    <t>JJ63-0350EH-R-R-CL-SALTED CARAMEL</t>
  </si>
  <si>
    <t>C38-T/E-I/L-C/S-GREEN (C) - V</t>
  </si>
  <si>
    <t>BC28-0090-D-5040-0054</t>
  </si>
  <si>
    <t>C63-T/E-R/S-D.GREEN W IND SEAL (ASEM)</t>
  </si>
  <si>
    <t>BS0353-NA 300ML PP BTL (NATURAL)</t>
  </si>
  <si>
    <t>C28-EZY R/S CAP BLUE W PET IND SEAL-ASEM</t>
  </si>
  <si>
    <t>C28-EZY R/S CAP BLUE</t>
  </si>
  <si>
    <t>EBK38-0375-K-Q-BR-PP(S0376)</t>
  </si>
  <si>
    <t>PD855</t>
  </si>
  <si>
    <t>BC28-0750-K4-R-CL</t>
  </si>
  <si>
    <t>JJ63-1000-S-S-CL</t>
  </si>
  <si>
    <t>C63-T/E-R/S-BLACK W/ IND SEAL W/ EAR</t>
  </si>
  <si>
    <t>BC28-0500-GS-R-AM</t>
  </si>
  <si>
    <t>AY0067-NA 60ML PLASTIC SCOOP</t>
  </si>
  <si>
    <t>C38-T/E-I/L-R/S-BRONZE</t>
  </si>
  <si>
    <t>C63-D/C 7H PRO.YELLOW W ACT SEAL (ASEM)</t>
  </si>
  <si>
    <t>C63-T/E-R/S-GOLD 9048</t>
  </si>
  <si>
    <t>C63-T/E-R/S-GOLD 9048 W ACT SEAL (ASEM)</t>
  </si>
  <si>
    <t>BC28-0750-D-R-CL (LOGO)</t>
  </si>
  <si>
    <t>BS0102 100ML INK BTL (NATURAL)</t>
  </si>
  <si>
    <t>AY0102 RUBBER INSERT (NATURAL) (V)</t>
  </si>
  <si>
    <t>PT560</t>
  </si>
  <si>
    <t>AL0102-CY CAP (CYAN)</t>
  </si>
  <si>
    <t>AL0102-MG CAP (MAGENTA)</t>
  </si>
  <si>
    <t>AL0102-YL CAP (YELLOW)</t>
  </si>
  <si>
    <t>BC28-0350-SB-R-CL</t>
  </si>
  <si>
    <t>C38-T/E-I/L-C/S-YELLOW (C) - V</t>
  </si>
  <si>
    <t>AL0102-LCY CAP (L.CYAN)</t>
  </si>
  <si>
    <t>AL0102-LMG CAP (L.MAGENTA)</t>
  </si>
  <si>
    <t>AL0102-BK CAP (BLACK)</t>
  </si>
  <si>
    <t>BC28-0170-D-5040-0066</t>
  </si>
  <si>
    <t>AL1537-GR- 1LTR CHOC I/C LID (GREEN)</t>
  </si>
  <si>
    <t>AL1537-GR- 1LTR STRAW I/C LID (GREEN)</t>
  </si>
  <si>
    <t>AL1537-GR- 1LTR VAN I/C LID (GREEN)</t>
  </si>
  <si>
    <t>AL1537-GR- 2LTR CHOC I/C LID (GREEN)</t>
  </si>
  <si>
    <t>AL1537-GR- 2LTR STRAW I/C LID (GREEN)</t>
  </si>
  <si>
    <t>AL1537-GR- 2LTR SWT-CORN I/C LID (GREEN)</t>
  </si>
  <si>
    <t>C35-R/S-F.TOP D.CHOC W IND SEAL (ASEM)</t>
  </si>
  <si>
    <t>C35-R/S-F.TOP STRAW W IND SEAL (ASEM)</t>
  </si>
  <si>
    <t>C35-R/S-F.TOP CARAMEL W IND SEAL (ASEM)</t>
  </si>
  <si>
    <t>C35-R/S-F.TOP D.CHOC</t>
  </si>
  <si>
    <t>SM399</t>
  </si>
  <si>
    <t>C35-R/S-F.TOP STRAWBERRY</t>
  </si>
  <si>
    <t>C35-R/S-F.TOP CARAMEL</t>
  </si>
  <si>
    <t>AL1537-GR- 2LTR DURIAN I/C LID (GREEN)</t>
  </si>
  <si>
    <t>AL1537-GR- 2LTR VANILLA I/C LID (GREEN)</t>
  </si>
  <si>
    <t>AL1537-GR- 2LTR YAM I/C LID (GREEN)</t>
  </si>
  <si>
    <t>BX38-0300-R-R-CL</t>
  </si>
  <si>
    <t>AL1537-BK-2 LTR PECAN I/C LID (BLACK)</t>
  </si>
  <si>
    <t>AL1537-BK-2 LTR PISTA I/C LID (BLACK)</t>
  </si>
  <si>
    <t>AL1537-BK-1 LTR MANGO I/C LID (BLACK)</t>
  </si>
  <si>
    <t>AL1537-BK-1 LTR CHO/CHIP I/C LID (BLACK)</t>
  </si>
  <si>
    <t>AL1537-BK-2 LTR F/CAKE I/C LID (BLACK)</t>
  </si>
  <si>
    <t>C38-T/E-I/L-C/S-WHITE (C) - V</t>
  </si>
  <si>
    <t>BS0320-NA 320ML HOUSSY PP BTL (NATURAL)</t>
  </si>
  <si>
    <t>BC28-0170-D-5040-0530 NON-HP LOGO</t>
  </si>
  <si>
    <t>BC28-0090-D-5040-0529 NON-HP LOGO</t>
  </si>
  <si>
    <t>AL0512-DGR 36MM CAP (DARK GREEN)</t>
  </si>
  <si>
    <t>C63-T/E-R/S-BLACK W ACT SEAL (ASEM) - V</t>
  </si>
  <si>
    <t>BC28-0100-R-HV-R-AM</t>
  </si>
  <si>
    <t>BS0215-WH 200ML PP BTL (WHITE)</t>
  </si>
  <si>
    <t>AL0556-0500-I/C-S-WH-L CHOC (ASEM)</t>
  </si>
  <si>
    <t>AL0556-0500-I/C-S-WH-L VANILLA (ASEM)</t>
  </si>
  <si>
    <t>AL0556-WH-L 500ML I/C LID S.BERRY (ASEM)</t>
  </si>
  <si>
    <t>AL0556-WH-L 500ML I/C LID YAM (ASEM)</t>
  </si>
  <si>
    <t>BAA28-0265-AA-SCC-CL</t>
  </si>
  <si>
    <t>BC28-0750-D-R-CL-NO LOGO</t>
  </si>
  <si>
    <t>BX38-0350-R-R-CL</t>
  </si>
  <si>
    <t>JJ63-0350EH-R-R-CL-S &amp; P COCONUT SPREAD</t>
  </si>
  <si>
    <t>AL0556-WH-L 500ML I/C LID DURIAN (ASEM)</t>
  </si>
  <si>
    <t>AL0556-WH-L 500ML I/C LID S/CORN (ASEM)</t>
  </si>
  <si>
    <t>C63-D/C 6H BLACK (BOTTOM)</t>
  </si>
  <si>
    <t>C63-D/C 6H BLACK (TOP)</t>
  </si>
  <si>
    <t>C54-SNAP ON CAP - WHITE (LJ)</t>
  </si>
  <si>
    <t>BCX32-0750-W1-R-CL</t>
  </si>
  <si>
    <t>JJ63-0250-S-Q-BR-HW (KIWI LOGO)</t>
  </si>
  <si>
    <t>BS0045- 45ML PE BTL (NATURAL)</t>
  </si>
  <si>
    <t>BA32-0750-W-R-CL</t>
  </si>
  <si>
    <t>AL4507-BL 38MM CAP (L.BLUE)</t>
  </si>
  <si>
    <t>JJ63-0350-EH-R-CL ASEM ORIGINAL 350G</t>
  </si>
  <si>
    <t>BS0350-NA 350ML PP BTL (NATURAL) KEKO</t>
  </si>
  <si>
    <t>C28-EZY R/S CAP YLW WITH IND. SEAL-ASSEM</t>
  </si>
  <si>
    <t>BC28-0200-R-R-CL</t>
  </si>
  <si>
    <t>BC28-0400-R-R-CL</t>
  </si>
  <si>
    <t>JJ63-0175-R-R-CL</t>
  </si>
  <si>
    <t>BS0350-WH 350ML PP BTL (WHITE) KEKO</t>
  </si>
  <si>
    <t>C28-C/S-FLIP TOP ORANGE 139148-18</t>
  </si>
  <si>
    <t>AL0512-RD 36MM CAP WITH IND. SEAL (RED)</t>
  </si>
  <si>
    <t>AL0512-DB36MM CAP W IND.SEAL(D.BEIGE)-V</t>
  </si>
  <si>
    <t>AL1537-BK-2 LTR MOCCA I/C LID (BLACK)</t>
  </si>
  <si>
    <t>BA32-1000-R1-R-CL</t>
  </si>
  <si>
    <t>JG63-0175-R-R-AM</t>
  </si>
  <si>
    <t>BC28-0750-D-R1-CL-NO LOGO</t>
  </si>
  <si>
    <t>C63-D/C 7H RED-ACTIVATED SEAL (ASSEM)</t>
  </si>
  <si>
    <t>BS0045- 45ML PP BTL (NATURAL)</t>
  </si>
  <si>
    <t>EBK38-0375-K-Q-B.YL-PE(S0376)</t>
  </si>
  <si>
    <t>AL0323-YL 37MM COVER (YELLOW)</t>
  </si>
  <si>
    <t>C63-D/C 7H TEAL GREEN PMS3262C</t>
  </si>
  <si>
    <t>AL0512-BL 36MM CAP WITH IND.SEAL (BLUE)</t>
  </si>
  <si>
    <t>BC28-0270-CW-R-CL</t>
  </si>
  <si>
    <t>BC28-0350-GE-R-CL</t>
  </si>
  <si>
    <t>C63-T/E-R/S-VIOLET 2.0</t>
  </si>
  <si>
    <t>C56-Gold Screw Cap with Paper Wad</t>
  </si>
  <si>
    <t>C56-Gold Screw Cap</t>
  </si>
  <si>
    <t>C28-C/S-FLIP TOP NATURAL</t>
  </si>
  <si>
    <t>BX38-0500-S-S-WH-HW</t>
  </si>
  <si>
    <t>BX38-1000-S-S-WH</t>
  </si>
  <si>
    <t>C28-C/S-FLIP TOP WHITE - PKG CENTRE</t>
  </si>
  <si>
    <t>BC28-0060-M-R-WH-HW</t>
  </si>
  <si>
    <t>BC28-0090-D-APH-5040-0735-PP-6 NOTCHES-NON LOGO</t>
  </si>
  <si>
    <t>BC28-0170-D-APH-5040-0736-PP-6NOTCHES(NO LOGO)</t>
  </si>
  <si>
    <t>Z- 35G PET PREFORM</t>
  </si>
  <si>
    <t>PET PF CAN</t>
  </si>
  <si>
    <t>BC28-0090-D-APH-5180-3538-PP-6 NOTCHES-MOLD2</t>
  </si>
  <si>
    <t>BC28-0090-D-APH-5180-3538-PP-6 NOTCHES-MOLD3</t>
  </si>
  <si>
    <t>BC28-0090-D-APH-5180-3538-PP-6 NOTCHES-MOLD5</t>
  </si>
  <si>
    <t>BS0367-NA 360ML PP BTL (NATURAL)</t>
  </si>
  <si>
    <t>EBK38-0375-K-Q-BL-PE(S0376)</t>
  </si>
  <si>
    <t>AL0556-GR-L 500ML I/C LID DURIAN (ASEM)</t>
  </si>
  <si>
    <t>AT0473-VL 473ML I/C TUB (VIOLET)</t>
  </si>
  <si>
    <t>BX38-0330-Z-C-CL</t>
  </si>
  <si>
    <t>C63-T/E-R/S-BROWN WITH ACT SEAL (ASEM)</t>
  </si>
  <si>
    <t>BB38-1000-ST-R-CL-ITA</t>
  </si>
  <si>
    <t>C38-T/E-C/S-BLACK-ITA</t>
  </si>
  <si>
    <t>BC28-0330-HD-Q-CL-HW</t>
  </si>
  <si>
    <t>JJ63-0250-S-Q-CL-LW</t>
  </si>
  <si>
    <t>AL0312-YL 28MM CAP (YELLOW)</t>
  </si>
  <si>
    <t>JG63-0175-R-R-AM KNR PED CHIC NAMSG 120G (BVI)</t>
  </si>
  <si>
    <t>BC28-0170-D-APH-5180-3539-PP-6 NOTCHES-MOLD1</t>
  </si>
  <si>
    <t>BC28-0170-D-APH-5180-3539-PP-6 NOTCHES-MOLD2</t>
  </si>
  <si>
    <t>BC28-0170-D-APH-5180-3539-PP-6 NOTCHES-MOLD3</t>
  </si>
  <si>
    <t>AL0921-BL 38MM CAP (L.BLUE) - S</t>
  </si>
  <si>
    <t>JJ63-0500-RH-R-CL-MAGGI MARIDOR</t>
  </si>
  <si>
    <t>BC28-0750-K4-R-CL-JAPAN</t>
  </si>
  <si>
    <t>JN90-2480-R-R-CL CRUNCH 16G LABEL</t>
  </si>
  <si>
    <t>JJ63-0500-RH-R-AM</t>
  </si>
  <si>
    <t>BC28-0170-D-APH-5180-3539-6N-5mm Pitch</t>
  </si>
  <si>
    <t>BC28-0500-D-APH-621005-TR-144S</t>
  </si>
  <si>
    <t>MARLEXTR144</t>
  </si>
  <si>
    <t>BC28-0500-D-APH-621A05-SB520Y</t>
  </si>
  <si>
    <t>BC28-0500-D-APH-621B05-HDPE5502</t>
  </si>
  <si>
    <t>HHM5202</t>
  </si>
  <si>
    <t>BX38-0330-Z-S-WH-LW</t>
  </si>
  <si>
    <t>JJ63-0650-HX-H-CL</t>
  </si>
  <si>
    <t>BW38-0350-SB-R-CL</t>
  </si>
  <si>
    <t>AL0478-BL 38MM FLIP CAP (BLUE)</t>
  </si>
  <si>
    <t>JJ63-0190-E-Q-CL-LW CRISPY (ASEM)</t>
  </si>
  <si>
    <t>C38-T/E-I/L-C/S-ORANGE (C) - V</t>
  </si>
  <si>
    <t>C38-T/E-I/L-C/S-BLACK (C) - V</t>
  </si>
  <si>
    <t>C38-AL0478-R/S FTP BROWN W/ IND SEAL</t>
  </si>
  <si>
    <t>C56-Gold Screw Cap with Aluminium Wad</t>
  </si>
  <si>
    <t>AT0416-NA 400ml I/C TUB (NATURAL)</t>
  </si>
  <si>
    <t>AL0416-BR 400ML I/C LID (BROWN)</t>
  </si>
  <si>
    <t>AL0416-BR 400ML I/C LID (BROWN)CHOC CHIP</t>
  </si>
  <si>
    <t>EBK38-2000-K-S-WH-PE(S2012)</t>
  </si>
  <si>
    <t>BX38-2000-H-S-CL(YELLOW) (ASEM)</t>
  </si>
  <si>
    <t>C36-AL0512-PUNC-BEIGE C/W 3TAB (DELETE)</t>
  </si>
  <si>
    <t>C36-AL0512-PUNC-BLUE C/W 3TAB (DELETE)</t>
  </si>
  <si>
    <t>PP6333</t>
  </si>
  <si>
    <t>EBK38-0450-S-S-NA-PP</t>
  </si>
  <si>
    <t>JJ63-0500-M-R-CL-HW</t>
  </si>
  <si>
    <t>C36-AL0512-PUNC-BEIGE C/W 3TAB IND SEAL</t>
  </si>
  <si>
    <t>PP6332</t>
  </si>
  <si>
    <t>C36-AL0512-PUNC-BLUE C/W 3TAB IND SEAL</t>
  </si>
  <si>
    <t>PP6334</t>
  </si>
  <si>
    <t>BC28-0375-K-R-Tinted Brown</t>
  </si>
  <si>
    <t>C38-T/E-R/S-ORANGE-S</t>
  </si>
  <si>
    <t>C38-T/E-I/L-C/S-GREEN - S</t>
  </si>
  <si>
    <t>ECT28-0360-KF-S-NA-PP</t>
  </si>
  <si>
    <t>C38-T/E-I/L-C/S-YELLOW(24433374)NESTLE-S</t>
  </si>
  <si>
    <t>JJ63-0155-TH-R-CL</t>
  </si>
  <si>
    <t>BC28-0750-GS-R-BR H/W</t>
  </si>
  <si>
    <t>C38-T/E-I/L-C/S-BLACK (C) - S</t>
  </si>
  <si>
    <t>C38-T/E-I/L-C/S-GREEN (C) – S</t>
  </si>
  <si>
    <t>C38-T/E-R/S-GREEN - S</t>
  </si>
  <si>
    <t>C38-T/E-C/S-BLACK - S</t>
  </si>
  <si>
    <t>BC28-0750-W-R-CL</t>
  </si>
  <si>
    <t>C38-T/E-I/L-C/S-ORANGE (C) - S</t>
  </si>
  <si>
    <t>C38-T/E-I/L-C/S-YELLOW (C) - S</t>
  </si>
  <si>
    <t>C38-T/E-I/L-C/S-GOLD (C) - S</t>
  </si>
  <si>
    <t>BC28-0500-CSD-R-AM</t>
  </si>
  <si>
    <t>C38-T/E-I/L-C/S-WHITE (C) - S</t>
  </si>
  <si>
    <t>C38-FILTER CLEAR SMALL HOLE - S</t>
  </si>
  <si>
    <t>EBK38-1000-K-S-WH-PE(S1017)</t>
  </si>
  <si>
    <t>EBK38-2017-K-S-WHITE-PE(S2017)</t>
  </si>
  <si>
    <t>C38-T/E-I/L-R/S-YELLOW – S</t>
  </si>
  <si>
    <t>AT6018-WH 6LTR BUDS I/C TUB (WHITE) 2.0</t>
  </si>
  <si>
    <t>C38-T/E-C/S-YELLOW –S</t>
  </si>
  <si>
    <t>C38-T/E-C/S-RED-S</t>
  </si>
  <si>
    <t>BB38-0060-R-R-WH</t>
  </si>
  <si>
    <t>BC28-0056-D-APH-LEB-604001-MOLD1</t>
  </si>
  <si>
    <t>BC28-0056-D-APH-LEB-604001-MOLD3</t>
  </si>
  <si>
    <t>BC28-0056-D-APH-LEB-604001-MOLD5</t>
  </si>
  <si>
    <t>EBK38-2000-K-R-WH-PE-M&amp;G</t>
  </si>
  <si>
    <t>C28-C/S-FLIP TOP RED-S</t>
  </si>
  <si>
    <t>AY0102 RUBBER INSERT (NATURAL) (S)</t>
  </si>
  <si>
    <t>JK57-0350-R-CL-KEKO</t>
  </si>
  <si>
    <t>BRAVAN</t>
  </si>
  <si>
    <t>PET CAN</t>
  </si>
  <si>
    <t>PF-JK57-24-82-KEKO</t>
  </si>
  <si>
    <t>C28-C/S-FLIP TOP YELLOW (S)</t>
  </si>
  <si>
    <t xml:space="preserve">BX38-0750-RJ-R-CL </t>
  </si>
  <si>
    <t>JO97-2200-R-G.BL-PET-SIZE3-OUJI</t>
  </si>
  <si>
    <t>OUJI</t>
  </si>
  <si>
    <t>BD24-D150-C-R-AM</t>
  </si>
  <si>
    <t>JJ63-0350-R-R-AM</t>
  </si>
  <si>
    <t>JO97-2200-R-WHITE-PET-SIZE3-OUJI</t>
  </si>
  <si>
    <t>JG63-0175-R-R-AM KNR PED CHIC MYSG(BVI)</t>
  </si>
  <si>
    <t>JG63-0175-R-R-AM KNR I.BILIS MYSG (BVI)</t>
  </si>
  <si>
    <t>JG63-0175-R-R-AM KNR PWD I.BILIS MYSG 120G(BVI)</t>
  </si>
  <si>
    <t>JG63-0175-R-R-AM KNR PED TOM YAM(BVI)</t>
  </si>
  <si>
    <t>JG63-0175-R-R-AM KNR PED CHIC NAMSG(BVI)</t>
  </si>
  <si>
    <t>JG63-0175-R-R-AM KNR PWD I.BILIS NAMSG(BVI)</t>
  </si>
  <si>
    <t>JJ63-0750-R-R-CL-LW CK 2.0 A-ALMD (ASEM)</t>
  </si>
  <si>
    <t>EBK38-2200-K-S-NA-PE(S2200)</t>
  </si>
  <si>
    <t>JO97-1700-R-G.BL-PET-SIZE 1-OUJI</t>
  </si>
  <si>
    <t>JO97-1700-R-WHITE-PET-SIZE 1-OUJI</t>
  </si>
  <si>
    <t>BC28-0100-SK2-Q-CL-LW</t>
  </si>
  <si>
    <t>BC28-0100-SK-Q-CL-LW</t>
  </si>
  <si>
    <t>BC28-0130-R-R-CL</t>
  </si>
  <si>
    <t>JJ63-0750-R-R-CL-LW CK 2.0 C MOCHA (ASEM)</t>
  </si>
  <si>
    <t>BX38-0250-SM-R-WH</t>
  </si>
  <si>
    <t>BX38-0250-SM-R-WH (ASEM)</t>
  </si>
  <si>
    <t>JJ63-0310-R-R-WH</t>
  </si>
  <si>
    <t>JJ63-0310-R-R-WH (ASEM)</t>
  </si>
  <si>
    <t>BX38-0250-SM-R-WH MANGO (ASEM)</t>
  </si>
  <si>
    <t>BX38-0250-SM-R-WH  MIX BERRY(ASEM)</t>
  </si>
  <si>
    <t>BX38-0250-SM-R-WH  STW BERRY(ASEM)</t>
  </si>
  <si>
    <t>C35-R/S-F.TOP D.CHOC WITH PP SEAL (ASEM)</t>
  </si>
  <si>
    <t>BX38-0175-R-R-AM</t>
  </si>
  <si>
    <t>BA32-0640-R2-R-CL</t>
  </si>
  <si>
    <t>BC28-0250-M-R-AM-LW</t>
  </si>
  <si>
    <t>JJ63-0320-S-Q-AM</t>
  </si>
  <si>
    <t>BX38-0200-R-CL-DM</t>
  </si>
  <si>
    <t>PF-BX38-0056-0130-CL-PET</t>
  </si>
  <si>
    <t xml:space="preserve">PET </t>
  </si>
  <si>
    <t>BX38-0200-R-CL-DM-GOLDEN KIWI-STRAWBERRY</t>
  </si>
  <si>
    <t>EBK38-0375-K-Q-NA-PP(S0376)</t>
  </si>
  <si>
    <t>C35-R/S-F.TOP GOLD PNCK W  SEAL (ASEM)</t>
  </si>
  <si>
    <t>C35-R/S-F.TOP D.CHOC W SEAL 2.0 (ASEM)</t>
  </si>
  <si>
    <t>C35-R/S-F.TOP CARAMEL W SEAL 2.0 (ASEM)</t>
  </si>
  <si>
    <t>C35-R/S-F.TOP STRAW W IND SEAL 2.0 (ASEM)</t>
  </si>
  <si>
    <t>BA32-1000-R2-R-CL</t>
  </si>
  <si>
    <t>JJ63-0750-R-R-CL-LW CK 2.0C-ALMD (ASEM)</t>
  </si>
  <si>
    <t>BC28-0200-R-R-CL HW</t>
  </si>
  <si>
    <t>J550S ALMONDS</t>
  </si>
  <si>
    <t>JJ63-0550-S-Q-CL ALMOND MSI (ASEM)</t>
  </si>
  <si>
    <t>J550S HAZELNUTS</t>
  </si>
  <si>
    <t>JJ63-0550-S-Q-CL HAZELNUTS MSI (ASEM)</t>
  </si>
  <si>
    <t>J550S FRUIT &amp; NUTS</t>
  </si>
  <si>
    <t>B54-5000-S-CL-HDPE</t>
  </si>
  <si>
    <t>MARLEX50100</t>
  </si>
  <si>
    <t>CF54-0050-R-YL</t>
  </si>
  <si>
    <t>HDPE5403A</t>
  </si>
  <si>
    <t>BS0155-NA-KEFIR-M.KISAH</t>
  </si>
  <si>
    <t>BS0155-NA-KEFIR-BERRIES</t>
  </si>
  <si>
    <t>BS0155-NA-KEFIR-MANGGA PIC</t>
  </si>
  <si>
    <t>AL0512-BK-36MM CAP (BLACK) W/IND SEAL</t>
  </si>
  <si>
    <t>JJ63-0190-Q-CL-LW-CRISPY(ASEM)V2</t>
  </si>
  <si>
    <t>JJ63-0240-R-R-CL-ANTILEAK WF (ASEM)</t>
  </si>
  <si>
    <t>AL0921-PK 38MM CAP (PINK) S</t>
  </si>
  <si>
    <t>BC28-0170-D-APH-5180-3539-PP-6 NOTCHES-MOLD4</t>
  </si>
  <si>
    <t>BC28-0170-D-APH-5180-3539-PP-6 NOTCHES-MOLD5</t>
  </si>
  <si>
    <t>JJ63-0400-SH-S-CL-rPET</t>
  </si>
  <si>
    <t xml:space="preserve">BC28-0035-D-LEO-601001-PP </t>
  </si>
  <si>
    <t>Cav</t>
  </si>
  <si>
    <t>Gross Weight (gm)</t>
  </si>
  <si>
    <t>Part Weight (gm)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</si>
</sst>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0.0"/>
    <numFmt numFmtId="167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.8000000000000007"/>
      <color theme="10"/>
      <name val="Calibri"/>
      <family val="2"/>
    </font>
    <font>
      <i/>
      <u/>
      <sz val="9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E4A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2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14" fontId="0" fillId="0" borderId="0" xfId="0" applyNumberFormat="1"/>
    <xf numFmtId="0" fontId="0" fillId="34" borderId="0" xfId="0" applyFill="1"/>
    <xf numFmtId="2" fontId="0" fillId="34" borderId="0" xfId="0" applyNumberFormat="1" applyFill="1"/>
    <xf numFmtId="2" fontId="0" fillId="0" borderId="0" xfId="0" applyNumberFormat="1"/>
    <xf numFmtId="2" fontId="0" fillId="33" borderId="0" xfId="0" applyNumberFormat="1" applyFill="1"/>
    <xf numFmtId="1" fontId="0" fillId="34" borderId="0" xfId="0" applyNumberFormat="1" applyFill="1"/>
    <xf numFmtId="0" fontId="19" fillId="0" borderId="0" xfId="42" applyFont="1" applyAlignment="1" applyProtection="1">
      <alignment horizontal="left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0" fontId="23" fillId="35" borderId="10" xfId="0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1" fillId="37" borderId="12" xfId="0" applyFont="1" applyFill="1" applyBorder="1" applyAlignment="1">
      <alignment horizontal="center" vertical="center"/>
    </xf>
    <xf numFmtId="0" fontId="23" fillId="36" borderId="12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1" fillId="39" borderId="13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66" fontId="20" fillId="0" borderId="10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left" vertical="center"/>
    </xf>
    <xf numFmtId="0" fontId="20" fillId="0" borderId="15" xfId="0" applyFont="1" applyBorder="1" applyAlignment="1">
      <alignment vertical="center"/>
    </xf>
    <xf numFmtId="10" fontId="0" fillId="34" borderId="0" xfId="0" applyNumberFormat="1" applyFill="1"/>
    <xf numFmtId="16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numFmt numFmtId="167" formatCode="_(* #,##0_);_(* \(#,##0\);_(* &quot;-&quot;??_);_(@_)"/>
    </dxf>
    <dxf>
      <numFmt numFmtId="14" formatCode="0.00%"/>
      <fill>
        <patternFill patternType="solid">
          <fgColor indexed="64"/>
          <bgColor rgb="FFFFCCCC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CCCC"/>
        </patternFill>
      </fill>
    </dxf>
    <dxf>
      <numFmt numFmtId="14" formatCode="0.00%"/>
      <fill>
        <patternFill patternType="solid">
          <fgColor indexed="64"/>
          <bgColor rgb="FFFFCCCC"/>
        </patternFill>
      </fill>
    </dxf>
    <dxf>
      <numFmt numFmtId="2" formatCode="0.00"/>
      <fill>
        <patternFill patternType="solid">
          <fgColor indexed="64"/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F2E4A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1" formatCode="0"/>
      <fill>
        <patternFill patternType="solid">
          <fgColor indexed="64"/>
          <bgColor rgb="FFFFCCCC"/>
        </patternFill>
      </fill>
    </dxf>
    <dxf>
      <numFmt numFmtId="2" formatCode="0.00"/>
      <fill>
        <patternFill patternType="solid">
          <fgColor indexed="64"/>
          <bgColor rgb="FFFFCCCC"/>
        </patternFill>
      </fill>
    </dxf>
    <dxf>
      <numFmt numFmtId="2" formatCode="0.00"/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CCCC"/>
        </patternFill>
      </fill>
    </dxf>
    <dxf>
      <numFmt numFmtId="2" formatCode="0.00"/>
      <fill>
        <patternFill patternType="solid">
          <fgColor indexed="64"/>
          <bgColor rgb="FFFFFFCC"/>
        </patternFill>
      </fill>
    </dxf>
    <dxf>
      <numFmt numFmtId="2" formatCode="0.00"/>
      <fill>
        <patternFill patternType="solid">
          <fgColor indexed="64"/>
          <bgColor rgb="FFFFFFCC"/>
        </patternFill>
      </fill>
    </dxf>
    <dxf>
      <numFmt numFmtId="2" formatCode="0.00"/>
      <fill>
        <patternFill patternType="solid">
          <fgColor indexed="64"/>
          <bgColor rgb="FFFFFFCC"/>
        </patternFill>
      </fill>
    </dxf>
    <dxf>
      <numFmt numFmtId="2" formatCode="0.00"/>
      <fill>
        <patternFill patternType="solid">
          <fgColor indexed="64"/>
          <bgColor rgb="FFFFFFCC"/>
        </patternFill>
      </fill>
    </dxf>
    <dxf>
      <numFmt numFmtId="2" formatCode="0.00"/>
      <fill>
        <patternFill patternType="solid">
          <fgColor indexed="64"/>
          <bgColor rgb="FFFFFFCC"/>
        </patternFill>
      </fill>
    </dxf>
    <dxf>
      <numFmt numFmtId="2" formatCode="0.00"/>
      <fill>
        <patternFill patternType="solid">
          <fgColor indexed="64"/>
          <bgColor rgb="FFFFFFCC"/>
        </patternFill>
      </fill>
    </dxf>
    <dxf>
      <numFmt numFmtId="2" formatCode="0.00"/>
      <fill>
        <patternFill patternType="solid">
          <fgColor indexed="64"/>
          <bgColor rgb="FFFFFFCC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CCCC"/>
        </patternFill>
      </fill>
    </dxf>
    <dxf>
      <numFmt numFmtId="19" formatCode="d/m/yyyy"/>
    </dxf>
  </dxfs>
  <tableStyles count="1" defaultTableStyle="TableStyleMedium2" defaultPivotStyle="PivotStyleLight16">
    <tableStyle name="Invisible" pivot="0" table="0" count="0" xr9:uid="{10251356-4244-4799-95D7-C53F9E148827}"/>
  </tableStyles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C94B6-E163-4B95-BBAD-A34A79B32842}" name="Table1" displayName="Table1" ref="A2:AP959" totalsRowShown="0">
  <autoFilter ref="A2:AP959" xr:uid="{F6CC94B6-E163-4B95-BBAD-A34A79B32842}"/>
  <tableColumns count="42">
    <tableColumn id="2" xr3:uid="{3C8383D0-D386-41DE-BCAB-934BE4F5138E}" name="Production Date" dataDxfId="36"/>
    <tableColumn id="3" xr3:uid="{40B56787-3648-4B6D-83EB-CB07405EEFC8}" name="Shift"/>
    <tableColumn id="4" xr3:uid="{4AD1BD37-D070-4996-92DD-8B51010D92F4}" name="Machine Name"/>
    <tableColumn id="6" xr3:uid="{9AC530AD-D8C6-49BC-B6ED-70CFFC72FC8B}" name="Material">
      <calculatedColumnFormula array="1">IFERROR(INDEX(ReferenceCard, MATCH(1, (INDEX(ReferenceCard,,1)=Table1[[#This Row],[SAP No]]) * (INDEX(ReferenceCard,,2)=Table1[[#This Row],[Mould No]]), 0), 6),)</calculatedColumnFormula>
    </tableColumn>
    <tableColumn id="7" xr3:uid="{008636EF-498E-42A0-86DC-7BD441FD2486}" name="SAP No"/>
    <tableColumn id="8" xr3:uid="{1637F6B7-E549-406A-BAAB-46ADCC1C6135}" name="Mould No"/>
    <tableColumn id="9" xr3:uid="{37378E3A-77DE-4D5E-92DE-F6C416ACF9D7}" name="Type"/>
    <tableColumn id="10" xr3:uid="{A111335F-6A22-4E43-9639-C407B3E0CA12}" name="Jo No"/>
    <tableColumn id="11" xr3:uid="{8CFCF811-B678-412C-A07D-6E7EEE9E6274}" name="Cav">
      <calculatedColumnFormula array="1">IFERROR(INDEX(ReferenceCard, MATCH(1, (INDEX(ReferenceCard,,1)=Table1[[#This Row],[SAP No]]) * (INDEX(ReferenceCard,,2)=Table1[[#This Row],[Mould No]]), 0), 4),)</calculatedColumnFormula>
    </tableColumn>
    <tableColumn id="12" xr3:uid="{83F0A0A8-F69B-497E-9274-5FE528AB394A}" name="Gross Weight (gm)" dataDxfId="21">
      <calculatedColumnFormula array="1">IFERROR(INDEX(ReferenceCard, MATCH(1, (INDEX(ReferenceCard,,1)=Table1[[#This Row],[SAP No]]) * (INDEX(ReferenceCard,,2)=Table1[[#This Row],[Mould No]]), 0), 9),)</calculatedColumnFormula>
    </tableColumn>
    <tableColumn id="13" xr3:uid="{C186C152-2D3E-4186-9756-D0C8C1332936}" name="Part Weight (gm)" dataDxfId="20">
      <calculatedColumnFormula array="1">IFERROR(INDEX(ReferenceCard, MATCH(1, (INDEX(ReferenceCard,,1)=Table1[[#This Row],[SAP No]]) * (INDEX(ReferenceCard,,2)=Table1[[#This Row],[Mould No]]), 0), 7),)</calculatedColumnFormula>
    </tableColumn>
    <tableColumn id="14" xr3:uid="{74A59224-8542-4753-91BC-66E2348E3E0B}" name="Shot"/>
    <tableColumn id="15" xr3:uid="{285EFA6B-FCD0-47EA-B891-6B64AE2A4311}" name="Qty Order"/>
    <tableColumn id="16" xr3:uid="{D76FB775-5E94-496C-880F-37F30735E699}" name="WIP Opening"/>
    <tableColumn id="17" xr3:uid="{06031CAC-DD3F-4B25-B45C-EB474A73E161}" name="WIP Closing"/>
    <tableColumn id="18" xr3:uid="{E7C367DA-63C8-4DDA-BFFC-7BC53285EBEC}" name="Shift Output">
      <calculatedColumnFormula>Table1[[#This Row],[Shot]]*Table1[[#This Row],[Cav]]</calculatedColumnFormula>
    </tableColumn>
    <tableColumn id="19" xr3:uid="{ED88587C-2A0E-435F-BDA8-A562FFE915E4}" name="Finish Good"/>
    <tableColumn id="20" xr3:uid="{D7777777-762D-4462-85AB-4830C07801E0}" name="Inward">
      <calculatedColumnFormula>(Table1[[#This Row],[Part Weight (gm)]]*Table1[[#This Row],[Finish Good]])/1000</calculatedColumnFormula>
    </tableColumn>
    <tableColumn id="21" xr3:uid="{50DDF5CD-ECD6-4070-B2B4-E9E877DB5E7D}" name="Qty Accumulate"/>
    <tableColumn id="22" xr3:uid="{ACDB97A1-13B7-48FF-B6CC-B51136E19D44}" name="Qty Balance">
      <calculatedColumnFormula>IF(Table1[[#This Row],[Qty Order]]="Sample","-",IF(Table1[[#This Row],[Qty Order]]="RTFN","-",Table1[[#This Row],[Qty Order]]-Table1[[#This Row],[Qty Accumulate]]))</calculatedColumnFormula>
    </tableColumn>
    <tableColumn id="23" xr3:uid="{9C90B89C-DB07-402D-8A06-2D7EE80DD145}" name="Material Used">
      <calculatedColumnFormula>((Table1[[#This Row],[Shift Output]]*Table1[[#This Row],[Part Weight (gm)]])/1000)+Table1[[#This Row],[Reject Startup (kg)]]+Table1[[#This Row],[Reject Purging (kg)]]+Table1[[#This Row],[Reject Preform (kg)]]</calculatedColumnFormula>
    </tableColumn>
    <tableColumn id="24" xr3:uid="{FE1D6D1B-B718-4F76-9164-87BAFBC45FCD}" name="Runner" dataDxfId="0">
      <calculatedColumnFormula>(Table1[[#This Row],[Gross Weight (gm)]]-Table1[[#This Row],[Part Weight (gm)]])*Table1[[#This Row],[Shift Output]]/1000</calculatedColumnFormula>
    </tableColumn>
    <tableColumn id="25" xr3:uid="{1B7D7E7B-DD0B-43F8-AA16-26C59ED64321}" name="Reject Startup (kg)" dataDxfId="5"/>
    <tableColumn id="26" xr3:uid="{2F77EBF6-FC54-4CB1-970F-2097B2C69E0D}" name="Reject Startup (%)" dataDxfId="4"/>
    <tableColumn id="27" xr3:uid="{874FD40E-4866-4CE7-A74D-4E9E2EDD785E}" name="Reject Prod (kg)" dataDxfId="3"/>
    <tableColumn id="28" xr3:uid="{6ADD292D-92B4-450C-8E52-88A877C9BDF7}" name="Reject Prod (%)" dataDxfId="1">
      <calculatedColumnFormula>Table1[[#This Row],[Reject Prod (kg)]]/Table1[[#This Row],[Material Used]]</calculatedColumnFormula>
    </tableColumn>
    <tableColumn id="29" xr3:uid="{20386839-6D5E-4F32-ADA8-AA6BD24EFE9C}" name="Act Ct" dataDxfId="2"/>
    <tableColumn id="30" xr3:uid="{2D96B9F5-57F1-4E04-BD29-18E9987D796B}" name="Production Running (hrs)" dataDxfId="34"/>
    <tableColumn id="31" xr3:uid="{B693FED2-F72C-44BD-8AA4-266509547DC5}" name="SAP Ct" dataDxfId="33">
      <calculatedColumnFormula array="1">IFERROR(INDEX(ReferenceCard, MATCH(1, (INDEX(ReferenceCard,,1)=Table1[[#This Row],[SAP No]]) * (INDEX(ReferenceCard,,2)=Table1[[#This Row],[Mould No]]), 0), 9),)</calculatedColumnFormula>
    </tableColumn>
    <tableColumn id="32" xr3:uid="{194D541B-6C4C-497C-BC27-AE11785CFEE9}" name="Change Full Set" dataDxfId="32"/>
    <tableColumn id="33" xr3:uid="{D2F5CEB5-297F-4D40-B4BF-76C7798CC8FD}" name="Change Half Set" dataDxfId="31"/>
    <tableColumn id="34" xr3:uid="{5CBAA304-E0F5-476C-984C-4B7D21743948}" name="Change Parts" dataDxfId="30"/>
    <tableColumn id="35" xr3:uid="{74CF8AF8-69F6-4611-B2F2-1F6F4AD9B381}" name="Maintenance Dt" dataDxfId="29"/>
    <tableColumn id="36" xr3:uid="{25D69D3D-0D61-4A4F-995B-83FCC77945F4}" name="Technician Dt" dataDxfId="28"/>
    <tableColumn id="37" xr3:uid="{ED28DCCB-B3F8-4759-8FE6-21B9506AEC62}" name="Production Dt" dataDxfId="27"/>
    <tableColumn id="38" xr3:uid="{3C1155D1-7745-45AE-BB62-8552870BAB99}" name="Unallocated" dataDxfId="26"/>
    <tableColumn id="39" xr3:uid="{A1345C2C-8072-4C38-BED9-E20809892B5E}" name="Remark"/>
    <tableColumn id="40" xr3:uid="{9DB16E35-9894-45C2-AA40-276ACA76AF46}" name="Part Scrap" dataDxfId="35"/>
    <tableColumn id="41" xr3:uid="{98D6D1C3-E658-4A0D-8B3E-5A8A6400DF9D}" name="Reject Labelling" dataDxfId="25"/>
    <tableColumn id="42" xr3:uid="{E181677B-16A9-45BB-A780-CE755BAE2B0B}" name="Reject Purging (kg)" dataDxfId="24"/>
    <tableColumn id="43" xr3:uid="{3B78E40E-595D-4EA8-917C-1A9809774357}" name="Reject Preform (kg)" dataDxfId="23"/>
    <tableColumn id="44" xr3:uid="{C056CB70-B63C-429A-B2FF-BAADC427A9E3}" name="Reject Total (pcs)" dataDxfId="22">
      <calculatedColumnFormula>((Table1[[#This Row],[Reject Startup (kg)]]+Table1[[#This Row],[Reject Prod (kg)]]+Table1[[#This Row],[Reject Purging (kg)]]+Table1[[#This Row],[Reject Preform (kg)]])/Table1[[#This Row],[Part Weight (gm)]])*1000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8762F3-DB56-42D9-BA97-9485BF0F3E9E}" name="Reference_Card" displayName="Reference_Card" ref="A6:J1133" totalsRowShown="0" headerRowDxfId="19" dataDxfId="18" headerRowBorderDxfId="16" tableBorderDxfId="17">
  <autoFilter ref="A6:J1133" xr:uid="{00000000-0009-0000-0000-000003000000}"/>
  <tableColumns count="10">
    <tableColumn id="1" xr3:uid="{1DE260FB-0A45-4EC5-85FF-B715FB78B3CC}" name="Material" dataDxfId="15"/>
    <tableColumn id="11" xr3:uid="{3C609147-A7FC-446A-9164-940DF9AFE488}" name="Mould" dataDxfId="14"/>
    <tableColumn id="2" xr3:uid="{AD448088-369B-4024-AFF0-9B053CF7E1AB}" name="Material Description" dataDxfId="13"/>
    <tableColumn id="3" xr3:uid="{E0307E02-9292-4A04-AE3E-E5D68054AF92}" name="SAP Routing" dataDxfId="12"/>
    <tableColumn id="4" xr3:uid="{C02A06BB-0D72-47F7-BC62-4A3D1462190D}" name="Process" dataDxfId="11"/>
    <tableColumn id="5" xr3:uid="{FD23EA61-179E-4C59-BD01-6B03874E0DCC}" name="Material (Resin)" dataDxfId="10"/>
    <tableColumn id="6" xr3:uid="{A2AE56AC-04E0-4B8E-87F1-55D04C15B21B}" name="SAP BOM" dataDxfId="9"/>
    <tableColumn id="7" xr3:uid="{EC8690BE-E314-4973-BD5D-D081C9FDF69D}" name="QAQC w/ tolerance" dataDxfId="8"/>
    <tableColumn id="8" xr3:uid="{5E676190-4A7B-41B2-877D-D24D82DB8235}" name="Engineering Flow Chart" dataDxfId="7"/>
    <tableColumn id="9" xr3:uid="{646E15C9-521D-4B1F-A45F-3C638C914D0C}" name="SAP Routing 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EEAD-7FF8-4314-B941-41936D2C6EBF}">
  <dimension ref="A2:AP959"/>
  <sheetViews>
    <sheetView tabSelected="1" workbookViewId="0">
      <selection activeCell="G10" sqref="G10"/>
    </sheetView>
  </sheetViews>
  <sheetFormatPr defaultRowHeight="14.5" x14ac:dyDescent="0.35"/>
  <cols>
    <col min="1" max="1" width="21.26953125" customWidth="1"/>
    <col min="3" max="3" width="15.6328125" customWidth="1"/>
    <col min="4" max="4" width="9.81640625" customWidth="1"/>
    <col min="5" max="5" width="9.08984375" customWidth="1"/>
    <col min="7" max="7" width="46.90625" bestFit="1" customWidth="1"/>
    <col min="9" max="9" width="10.90625" customWidth="1"/>
    <col min="10" max="10" width="13.81640625" customWidth="1"/>
    <col min="11" max="11" width="13" customWidth="1"/>
    <col min="13" max="13" width="11.1796875" customWidth="1"/>
    <col min="14" max="14" width="13.54296875" customWidth="1"/>
    <col min="15" max="15" width="12.453125" customWidth="1"/>
    <col min="16" max="16" width="13.36328125" customWidth="1"/>
    <col min="17" max="17" width="12.54296875" customWidth="1"/>
    <col min="19" max="19" width="11.90625" customWidth="1"/>
    <col min="20" max="20" width="13" customWidth="1"/>
    <col min="21" max="21" width="14.81640625" customWidth="1"/>
    <col min="23" max="23" width="14.81640625" customWidth="1"/>
    <col min="24" max="24" width="18.6328125" customWidth="1"/>
    <col min="25" max="25" width="12.6328125" customWidth="1"/>
    <col min="26" max="26" width="16.453125" customWidth="1"/>
    <col min="28" max="28" width="19.54296875" customWidth="1"/>
    <col min="30" max="30" width="15.90625" customWidth="1"/>
    <col min="31" max="31" width="16.453125" customWidth="1"/>
    <col min="32" max="32" width="14.08984375" customWidth="1"/>
    <col min="33" max="33" width="16.54296875" customWidth="1"/>
    <col min="34" max="34" width="14.1796875" customWidth="1"/>
    <col min="35" max="35" width="14.90625" customWidth="1"/>
    <col min="36" max="36" width="12.6328125" customWidth="1"/>
    <col min="37" max="37" width="8.90625" customWidth="1"/>
    <col min="38" max="38" width="11.81640625" customWidth="1"/>
    <col min="39" max="39" width="15.54296875" customWidth="1"/>
    <col min="40" max="40" width="14.90625" customWidth="1"/>
    <col min="41" max="41" width="15.54296875" customWidth="1"/>
    <col min="42" max="42" width="16.36328125" customWidth="1"/>
  </cols>
  <sheetData>
    <row r="2" spans="1:42" ht="30.5" customHeight="1" x14ac:dyDescent="0.35">
      <c r="A2" t="s">
        <v>242</v>
      </c>
      <c r="B2" t="s">
        <v>243</v>
      </c>
      <c r="C2" t="s">
        <v>244</v>
      </c>
      <c r="D2" t="s">
        <v>245</v>
      </c>
      <c r="E2" t="s">
        <v>246</v>
      </c>
      <c r="F2" t="s">
        <v>247</v>
      </c>
      <c r="G2" t="s">
        <v>248</v>
      </c>
      <c r="H2" t="s">
        <v>249</v>
      </c>
      <c r="I2" t="s">
        <v>1432</v>
      </c>
      <c r="J2" t="s">
        <v>1433</v>
      </c>
      <c r="K2" t="s">
        <v>1434</v>
      </c>
      <c r="L2" t="s">
        <v>250</v>
      </c>
      <c r="M2" t="s">
        <v>251</v>
      </c>
      <c r="N2" t="s">
        <v>252</v>
      </c>
      <c r="O2" t="s">
        <v>253</v>
      </c>
      <c r="P2" t="s">
        <v>254</v>
      </c>
      <c r="Q2" t="s">
        <v>255</v>
      </c>
      <c r="R2" t="s">
        <v>256</v>
      </c>
      <c r="S2" t="s">
        <v>257</v>
      </c>
      <c r="T2" t="s">
        <v>258</v>
      </c>
      <c r="U2" t="s">
        <v>259</v>
      </c>
      <c r="V2" t="s">
        <v>260</v>
      </c>
      <c r="W2" t="s">
        <v>262</v>
      </c>
      <c r="X2" t="s">
        <v>261</v>
      </c>
      <c r="Y2" t="s">
        <v>263</v>
      </c>
      <c r="Z2" t="s">
        <v>264</v>
      </c>
      <c r="AA2" t="s">
        <v>265</v>
      </c>
      <c r="AB2" t="s">
        <v>266</v>
      </c>
      <c r="AC2" t="s">
        <v>267</v>
      </c>
      <c r="AD2" t="s">
        <v>268</v>
      </c>
      <c r="AE2" t="s">
        <v>269</v>
      </c>
      <c r="AF2" t="s">
        <v>270</v>
      </c>
      <c r="AG2" t="s">
        <v>271</v>
      </c>
      <c r="AH2" t="s">
        <v>272</v>
      </c>
      <c r="AI2" t="s">
        <v>273</v>
      </c>
      <c r="AJ2" t="s">
        <v>274</v>
      </c>
      <c r="AK2" t="s">
        <v>275</v>
      </c>
      <c r="AL2" t="s">
        <v>276</v>
      </c>
      <c r="AM2" t="s">
        <v>277</v>
      </c>
      <c r="AN2" t="s">
        <v>278</v>
      </c>
      <c r="AO2" t="s">
        <v>279</v>
      </c>
      <c r="AP2" t="s">
        <v>280</v>
      </c>
    </row>
    <row r="3" spans="1:42" x14ac:dyDescent="0.35">
      <c r="A3" s="1">
        <v>46022</v>
      </c>
      <c r="B3">
        <v>2</v>
      </c>
      <c r="C3" t="s">
        <v>0</v>
      </c>
      <c r="D3" t="str" cm="1">
        <f t="array" ref="D3">IFERROR(INDEX(ReferenceCard, MATCH(1, (INDEX(ReferenceCard,,1)=Table1[[#This Row],[SAP No]]) * (INDEX(ReferenceCard,,2)=Table1[[#This Row],[Mould No]]), 0), 6),)</f>
        <v>PET</v>
      </c>
      <c r="E3">
        <v>347623</v>
      </c>
      <c r="F3">
        <v>0</v>
      </c>
      <c r="G3" t="str" cm="1">
        <f t="array" ref="G3">IFERROR(INDEX(ReferenceCard, MATCH(1, (INDEX(ReferenceCard,,1)=Table1[[#This Row],[SAP No]]) * (INDEX(ReferenceCard,,2)=Table1[[#This Row],[Mould No]]), 0), 3),)</f>
        <v>BC28-0375-K-R-CL</v>
      </c>
      <c r="H3">
        <v>0</v>
      </c>
      <c r="I3" cm="1">
        <f t="array" ref="I3">IFERROR(INDEX(ReferenceCard, MATCH(1, (INDEX(ReferenceCard,,1)=Table1[[#This Row],[SAP No]]) * (INDEX(ReferenceCard,,2)=Table1[[#This Row],[Mould No]]), 0), 4),)</f>
        <v>4</v>
      </c>
      <c r="J3" s="4" cm="1">
        <f t="array" ref="J3">IFERROR(INDEX(ReferenceCard, MATCH(1, (INDEX(ReferenceCard,,1)=Table1[[#This Row],[SAP No]]) * (INDEX(ReferenceCard,,2)=Table1[[#This Row],[Mould No]]), 0), 9),)</f>
        <v>35.6</v>
      </c>
      <c r="K3" s="4" cm="1">
        <f t="array" ref="K3">IFERROR(INDEX(ReferenceCard, MATCH(1, (INDEX(ReferenceCard,,1)=Table1[[#This Row],[SAP No]]) * (INDEX(ReferenceCard,,2)=Table1[[#This Row],[Mould No]]), 0), 7),)</f>
        <v>35.6</v>
      </c>
      <c r="L3">
        <v>0</v>
      </c>
      <c r="M3">
        <v>0</v>
      </c>
      <c r="N3">
        <v>0</v>
      </c>
      <c r="O3">
        <v>0</v>
      </c>
      <c r="P3">
        <f>Table1[[#This Row],[Shot]]*Table1[[#This Row],[Cav]]</f>
        <v>0</v>
      </c>
      <c r="Q3">
        <v>0</v>
      </c>
      <c r="R3">
        <f>(Table1[[#This Row],[Part Weight (gm)]]*Table1[[#This Row],[Finish Good]])/1000</f>
        <v>0</v>
      </c>
      <c r="S3">
        <v>0</v>
      </c>
      <c r="T3">
        <f>IF(Table1[[#This Row],[Qty Order]]="Sample","-",IF(Table1[[#This Row],[Qty Order]]="RTFN","-",Table1[[#This Row],[Qty Order]]-Table1[[#This Row],[Qty Accumulate]]))</f>
        <v>0</v>
      </c>
      <c r="U3">
        <f>((Table1[[#This Row],[Shift Output]]*Table1[[#This Row],[Part Weight (gm)]])/1000)+Table1[[#This Row],[Reject Startup (kg)]]+Table1[[#This Row],[Reject Purging (kg)]]+Table1[[#This Row],[Reject Preform (kg)]]</f>
        <v>0</v>
      </c>
      <c r="V3" s="37">
        <f>(Table1[[#This Row],[Gross Weight (gm)]]-Table1[[#This Row],[Part Weight (gm)]])*Table1[[#This Row],[Shift Output]]/1000</f>
        <v>0</v>
      </c>
      <c r="W3" s="3">
        <v>0</v>
      </c>
      <c r="X3" s="36" t="e">
        <f>Table1[[#This Row],[Reject Startup (kg)]]/Table1[[#This Row],[Material Used]]</f>
        <v>#DIV/0!</v>
      </c>
      <c r="Y3" s="3">
        <v>0</v>
      </c>
      <c r="Z3" s="36" t="e">
        <f>Table1[[#This Row],[Reject Prod (kg)]]/Table1[[#This Row],[Material Used]]</f>
        <v>#DIV/0!</v>
      </c>
      <c r="AA3" s="4">
        <v>0</v>
      </c>
      <c r="AB3" s="5">
        <v>0</v>
      </c>
      <c r="AC3" s="4" cm="1">
        <f t="array" ref="AC3">IFERROR(INDEX(ReferenceCard, MATCH(1, (INDEX(ReferenceCard,,1)=Table1[[#This Row],[SAP No]]) * (INDEX(ReferenceCard,,2)=Table1[[#This Row],[Mould No]]), 0), 9),)</f>
        <v>35.6</v>
      </c>
      <c r="AD3" s="5">
        <v>0</v>
      </c>
      <c r="AE3" s="5">
        <v>0</v>
      </c>
      <c r="AF3" s="5">
        <v>0</v>
      </c>
      <c r="AG3" s="5">
        <v>12</v>
      </c>
      <c r="AH3" s="5">
        <v>0</v>
      </c>
      <c r="AI3" s="5">
        <v>0</v>
      </c>
      <c r="AJ3" s="5">
        <v>0</v>
      </c>
      <c r="AL3" s="2"/>
      <c r="AM3" s="2"/>
      <c r="AN3" s="3">
        <v>0</v>
      </c>
      <c r="AO3" s="3">
        <v>0</v>
      </c>
      <c r="AP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" spans="1:42" x14ac:dyDescent="0.35">
      <c r="A4" s="1">
        <v>46022</v>
      </c>
      <c r="B4">
        <v>2</v>
      </c>
      <c r="C4" t="s">
        <v>3</v>
      </c>
      <c r="D4" t="str" cm="1">
        <f t="array" ref="D4">IFERROR(INDEX(ReferenceCard, MATCH(1, (INDEX(ReferenceCard,,1)=Table1[[#This Row],[SAP No]]) * (INDEX(ReferenceCard,,2)=Table1[[#This Row],[Mould No]]), 0), 6),)</f>
        <v>PET</v>
      </c>
      <c r="E4">
        <v>322493</v>
      </c>
      <c r="F4">
        <v>0</v>
      </c>
      <c r="G4" t="str" cm="1">
        <f t="array" ref="G4">IFERROR(INDEX(ReferenceCard, MATCH(1, (INDEX(ReferenceCard,,1)=Table1[[#This Row],[SAP No]]) * (INDEX(ReferenceCard,,2)=Table1[[#This Row],[Mould No]]), 0), 3),)</f>
        <v>BC28-0280-HD-R-CL-LW</v>
      </c>
      <c r="H4">
        <v>0</v>
      </c>
      <c r="I4" cm="1">
        <f t="array" ref="I4">IFERROR(INDEX(ReferenceCard, MATCH(1, (INDEX(ReferenceCard,,1)=Table1[[#This Row],[SAP No]]) * (INDEX(ReferenceCard,,2)=Table1[[#This Row],[Mould No]]), 0), 4),)</f>
        <v>4</v>
      </c>
      <c r="J4" s="4" cm="1">
        <f t="array" ref="J4">IFERROR(INDEX(ReferenceCard, MATCH(1, (INDEX(ReferenceCard,,1)=Table1[[#This Row],[SAP No]]) * (INDEX(ReferenceCard,,2)=Table1[[#This Row],[Mould No]]), 0), 9),)</f>
        <v>23</v>
      </c>
      <c r="K4" s="4" cm="1">
        <f t="array" ref="K4">IFERROR(INDEX(ReferenceCard, MATCH(1, (INDEX(ReferenceCard,,1)=Table1[[#This Row],[SAP No]]) * (INDEX(ReferenceCard,,2)=Table1[[#This Row],[Mould No]]), 0), 7),)</f>
        <v>23</v>
      </c>
      <c r="L4">
        <v>0</v>
      </c>
      <c r="M4">
        <v>0</v>
      </c>
      <c r="N4">
        <v>0</v>
      </c>
      <c r="O4">
        <v>0</v>
      </c>
      <c r="P4">
        <f>Table1[[#This Row],[Shot]]*Table1[[#This Row],[Cav]]</f>
        <v>0</v>
      </c>
      <c r="Q4">
        <v>0</v>
      </c>
      <c r="R4">
        <f>(Table1[[#This Row],[Part Weight (gm)]]*Table1[[#This Row],[Finish Good]])/1000</f>
        <v>0</v>
      </c>
      <c r="S4">
        <v>0</v>
      </c>
      <c r="T4">
        <f>IF(Table1[[#This Row],[Qty Order]]="Sample","-",IF(Table1[[#This Row],[Qty Order]]="RTFN","-",Table1[[#This Row],[Qty Order]]-Table1[[#This Row],[Qty Accumulate]]))</f>
        <v>0</v>
      </c>
      <c r="U4">
        <f>((Table1[[#This Row],[Shift Output]]*Table1[[#This Row],[Part Weight (gm)]])/1000)+Table1[[#This Row],[Reject Startup (kg)]]+Table1[[#This Row],[Reject Purging (kg)]]+Table1[[#This Row],[Reject Preform (kg)]]</f>
        <v>0</v>
      </c>
      <c r="V4" s="37">
        <f>(Table1[[#This Row],[Gross Weight (gm)]]-Table1[[#This Row],[Part Weight (gm)]])*Table1[[#This Row],[Shift Output]]/1000</f>
        <v>0</v>
      </c>
      <c r="W4" s="3">
        <v>0</v>
      </c>
      <c r="X4" s="36" t="e">
        <f>Table1[[#This Row],[Reject Startup (kg)]]/Table1[[#This Row],[Material Used]]</f>
        <v>#DIV/0!</v>
      </c>
      <c r="Y4" s="3">
        <v>0</v>
      </c>
      <c r="Z4" s="36" t="e">
        <f>Table1[[#This Row],[Reject Prod (kg)]]/Table1[[#This Row],[Material Used]]</f>
        <v>#DIV/0!</v>
      </c>
      <c r="AA4" s="4">
        <v>0</v>
      </c>
      <c r="AB4" s="5">
        <v>12</v>
      </c>
      <c r="AC4" s="4" cm="1">
        <f t="array" ref="AC4">IFERROR(INDEX(ReferenceCard, MATCH(1, (INDEX(ReferenceCard,,1)=Table1[[#This Row],[SAP No]]) * (INDEX(ReferenceCard,,2)=Table1[[#This Row],[Mould No]]), 0), 9),)</f>
        <v>23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L4" s="2"/>
      <c r="AM4" s="2"/>
      <c r="AN4" s="3">
        <v>0</v>
      </c>
      <c r="AO4" s="3">
        <v>0</v>
      </c>
      <c r="AP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" spans="1:42" x14ac:dyDescent="0.35">
      <c r="A5" s="1">
        <v>46022</v>
      </c>
      <c r="B5">
        <v>2</v>
      </c>
      <c r="C5" t="s">
        <v>5</v>
      </c>
      <c r="D5" t="str" cm="1">
        <f t="array" ref="D5">IFERROR(INDEX(ReferenceCard, MATCH(1, (INDEX(ReferenceCard,,1)=Table1[[#This Row],[SAP No]]) * (INDEX(ReferenceCard,,2)=Table1[[#This Row],[Mould No]]), 0), 6),)</f>
        <v>PET</v>
      </c>
      <c r="E5">
        <v>442034</v>
      </c>
      <c r="F5">
        <v>0</v>
      </c>
      <c r="G5" t="str" cm="1">
        <f t="array" ref="G5">IFERROR(INDEX(ReferenceCard, MATCH(1, (INDEX(ReferenceCard,,1)=Table1[[#This Row],[SAP No]]) * (INDEX(ReferenceCard,,2)=Table1[[#This Row],[Mould No]]), 0), 3),)</f>
        <v>BC28-0250-Z-S-CL</v>
      </c>
      <c r="H5">
        <v>0</v>
      </c>
      <c r="I5" cm="1">
        <f t="array" ref="I5">IFERROR(INDEX(ReferenceCard, MATCH(1, (INDEX(ReferenceCard,,1)=Table1[[#This Row],[SAP No]]) * (INDEX(ReferenceCard,,2)=Table1[[#This Row],[Mould No]]), 0), 4),)</f>
        <v>4</v>
      </c>
      <c r="J5" s="4" cm="1">
        <f t="array" ref="J5">IFERROR(INDEX(ReferenceCard, MATCH(1, (INDEX(ReferenceCard,,1)=Table1[[#This Row],[SAP No]]) * (INDEX(ReferenceCard,,2)=Table1[[#This Row],[Mould No]]), 0), 9),)</f>
        <v>23</v>
      </c>
      <c r="K5" s="4" cm="1">
        <f t="array" ref="K5">IFERROR(INDEX(ReferenceCard, MATCH(1, (INDEX(ReferenceCard,,1)=Table1[[#This Row],[SAP No]]) * (INDEX(ReferenceCard,,2)=Table1[[#This Row],[Mould No]]), 0), 7),)</f>
        <v>23</v>
      </c>
      <c r="L5">
        <v>0</v>
      </c>
      <c r="M5">
        <v>0</v>
      </c>
      <c r="N5">
        <v>0</v>
      </c>
      <c r="O5">
        <v>0</v>
      </c>
      <c r="P5">
        <f>Table1[[#This Row],[Shot]]*Table1[[#This Row],[Cav]]</f>
        <v>0</v>
      </c>
      <c r="Q5">
        <v>0</v>
      </c>
      <c r="R5">
        <f>(Table1[[#This Row],[Part Weight (gm)]]*Table1[[#This Row],[Finish Good]])/1000</f>
        <v>0</v>
      </c>
      <c r="S5">
        <v>0</v>
      </c>
      <c r="T5">
        <f>IF(Table1[[#This Row],[Qty Order]]="Sample","-",IF(Table1[[#This Row],[Qty Order]]="RTFN","-",Table1[[#This Row],[Qty Order]]-Table1[[#This Row],[Qty Accumulate]]))</f>
        <v>0</v>
      </c>
      <c r="U5">
        <f>((Table1[[#This Row],[Shift Output]]*Table1[[#This Row],[Part Weight (gm)]])/1000)+Table1[[#This Row],[Reject Startup (kg)]]+Table1[[#This Row],[Reject Purging (kg)]]+Table1[[#This Row],[Reject Preform (kg)]]</f>
        <v>0</v>
      </c>
      <c r="V5" s="37">
        <f>(Table1[[#This Row],[Gross Weight (gm)]]-Table1[[#This Row],[Part Weight (gm)]])*Table1[[#This Row],[Shift Output]]/1000</f>
        <v>0</v>
      </c>
      <c r="W5" s="3">
        <v>0</v>
      </c>
      <c r="X5" s="36" t="e">
        <f>Table1[[#This Row],[Reject Startup (kg)]]/Table1[[#This Row],[Material Used]]</f>
        <v>#DIV/0!</v>
      </c>
      <c r="Y5" s="3">
        <v>0</v>
      </c>
      <c r="Z5" s="36" t="e">
        <f>Table1[[#This Row],[Reject Prod (kg)]]/Table1[[#This Row],[Material Used]]</f>
        <v>#DIV/0!</v>
      </c>
      <c r="AA5" s="4">
        <v>0</v>
      </c>
      <c r="AB5" s="5">
        <v>12</v>
      </c>
      <c r="AC5" s="4" cm="1">
        <f t="array" ref="AC5">IFERROR(INDEX(ReferenceCard, MATCH(1, (INDEX(ReferenceCard,,1)=Table1[[#This Row],[SAP No]]) * (INDEX(ReferenceCard,,2)=Table1[[#This Row],[Mould No]]), 0), 9),)</f>
        <v>23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L5" s="2"/>
      <c r="AM5" s="2"/>
      <c r="AN5" s="3">
        <v>0</v>
      </c>
      <c r="AO5" s="3">
        <v>0</v>
      </c>
      <c r="AP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" spans="1:42" x14ac:dyDescent="0.35">
      <c r="A6" s="1">
        <v>46022</v>
      </c>
      <c r="B6">
        <v>2</v>
      </c>
      <c r="C6" t="s">
        <v>7</v>
      </c>
      <c r="D6" t="str" cm="1">
        <f t="array" ref="D6">IFERROR(INDEX(ReferenceCard, MATCH(1, (INDEX(ReferenceCard,,1)=Table1[[#This Row],[SAP No]]) * (INDEX(ReferenceCard,,2)=Table1[[#This Row],[Mould No]]), 0), 6),)</f>
        <v>PET</v>
      </c>
      <c r="E6">
        <v>426555</v>
      </c>
      <c r="F6">
        <v>0</v>
      </c>
      <c r="G6" t="str" cm="1">
        <f t="array" ref="G6">IFERROR(INDEX(ReferenceCard, MATCH(1, (INDEX(ReferenceCard,,1)=Table1[[#This Row],[SAP No]]) * (INDEX(ReferenceCard,,2)=Table1[[#This Row],[Mould No]]), 0), 3),)</f>
        <v>BX38-0330-Z-S-CL-HW</v>
      </c>
      <c r="H6">
        <v>0</v>
      </c>
      <c r="I6" cm="1">
        <f t="array" ref="I6">IFERROR(INDEX(ReferenceCard, MATCH(1, (INDEX(ReferenceCard,,1)=Table1[[#This Row],[SAP No]]) * (INDEX(ReferenceCard,,2)=Table1[[#This Row],[Mould No]]), 0), 4),)</f>
        <v>4</v>
      </c>
      <c r="J6" s="4" cm="1">
        <f t="array" ref="J6">IFERROR(INDEX(ReferenceCard, MATCH(1, (INDEX(ReferenceCard,,1)=Table1[[#This Row],[SAP No]]) * (INDEX(ReferenceCard,,2)=Table1[[#This Row],[Mould No]]), 0), 9),)</f>
        <v>29</v>
      </c>
      <c r="K6" s="4" cm="1">
        <f t="array" ref="K6">IFERROR(INDEX(ReferenceCard, MATCH(1, (INDEX(ReferenceCard,,1)=Table1[[#This Row],[SAP No]]) * (INDEX(ReferenceCard,,2)=Table1[[#This Row],[Mould No]]), 0), 7),)</f>
        <v>29</v>
      </c>
      <c r="L6">
        <v>0</v>
      </c>
      <c r="M6">
        <v>0</v>
      </c>
      <c r="N6">
        <v>0</v>
      </c>
      <c r="O6">
        <v>0</v>
      </c>
      <c r="P6">
        <f>Table1[[#This Row],[Shot]]*Table1[[#This Row],[Cav]]</f>
        <v>0</v>
      </c>
      <c r="Q6">
        <v>0</v>
      </c>
      <c r="R6">
        <f>(Table1[[#This Row],[Part Weight (gm)]]*Table1[[#This Row],[Finish Good]])/1000</f>
        <v>0</v>
      </c>
      <c r="S6">
        <v>0</v>
      </c>
      <c r="T6">
        <f>IF(Table1[[#This Row],[Qty Order]]="Sample","-",IF(Table1[[#This Row],[Qty Order]]="RTFN","-",Table1[[#This Row],[Qty Order]]-Table1[[#This Row],[Qty Accumulate]]))</f>
        <v>0</v>
      </c>
      <c r="U6">
        <f>((Table1[[#This Row],[Shift Output]]*Table1[[#This Row],[Part Weight (gm)]])/1000)+Table1[[#This Row],[Reject Startup (kg)]]+Table1[[#This Row],[Reject Purging (kg)]]+Table1[[#This Row],[Reject Preform (kg)]]</f>
        <v>0</v>
      </c>
      <c r="V6" s="37">
        <f>(Table1[[#This Row],[Gross Weight (gm)]]-Table1[[#This Row],[Part Weight (gm)]])*Table1[[#This Row],[Shift Output]]/1000</f>
        <v>0</v>
      </c>
      <c r="W6" s="3">
        <v>0</v>
      </c>
      <c r="X6" s="36" t="e">
        <f>Table1[[#This Row],[Reject Startup (kg)]]/Table1[[#This Row],[Material Used]]</f>
        <v>#DIV/0!</v>
      </c>
      <c r="Y6" s="3">
        <v>0</v>
      </c>
      <c r="Z6" s="36" t="e">
        <f>Table1[[#This Row],[Reject Prod (kg)]]/Table1[[#This Row],[Material Used]]</f>
        <v>#DIV/0!</v>
      </c>
      <c r="AA6" s="4">
        <v>0</v>
      </c>
      <c r="AB6" s="5">
        <v>0</v>
      </c>
      <c r="AC6" s="4" cm="1">
        <f t="array" ref="AC6">IFERROR(INDEX(ReferenceCard, MATCH(1, (INDEX(ReferenceCard,,1)=Table1[[#This Row],[SAP No]]) * (INDEX(ReferenceCard,,2)=Table1[[#This Row],[Mould No]]), 0), 9),)</f>
        <v>29</v>
      </c>
      <c r="AD6" s="5">
        <v>0</v>
      </c>
      <c r="AE6" s="5">
        <v>0</v>
      </c>
      <c r="AF6" s="5">
        <v>0</v>
      </c>
      <c r="AG6" s="5">
        <v>0</v>
      </c>
      <c r="AH6" s="5">
        <v>12</v>
      </c>
      <c r="AI6" s="5">
        <v>0</v>
      </c>
      <c r="AJ6" s="5">
        <v>0</v>
      </c>
      <c r="AL6" s="2"/>
      <c r="AM6" s="2"/>
      <c r="AN6" s="3">
        <v>0</v>
      </c>
      <c r="AO6" s="3">
        <v>0</v>
      </c>
      <c r="AP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" spans="1:42" x14ac:dyDescent="0.35">
      <c r="A7" s="1">
        <v>46022</v>
      </c>
      <c r="B7">
        <v>2</v>
      </c>
      <c r="C7" t="s">
        <v>9</v>
      </c>
      <c r="D7" t="str" cm="1">
        <f t="array" ref="D7">IFERROR(INDEX(ReferenceCard, MATCH(1, (INDEX(ReferenceCard,,1)=Table1[[#This Row],[SAP No]]) * (INDEX(ReferenceCard,,2)=Table1[[#This Row],[Mould No]]), 0), 6),)</f>
        <v>PET</v>
      </c>
      <c r="E7">
        <v>611949</v>
      </c>
      <c r="F7">
        <v>0</v>
      </c>
      <c r="G7" t="str" cm="1">
        <f t="array" ref="G7">IFERROR(INDEX(ReferenceCard, MATCH(1, (INDEX(ReferenceCard,,1)=Table1[[#This Row],[SAP No]]) * (INDEX(ReferenceCard,,2)=Table1[[#This Row],[Mould No]]), 0), 3),)</f>
        <v>BBX38-0150-R-AM</v>
      </c>
      <c r="H7">
        <v>0</v>
      </c>
      <c r="I7" cm="1">
        <f t="array" ref="I7">IFERROR(INDEX(ReferenceCard, MATCH(1, (INDEX(ReferenceCard,,1)=Table1[[#This Row],[SAP No]]) * (INDEX(ReferenceCard,,2)=Table1[[#This Row],[Mould No]]), 0), 4),)</f>
        <v>4</v>
      </c>
      <c r="J7" s="4" cm="1">
        <f t="array" ref="J7">IFERROR(INDEX(ReferenceCard, MATCH(1, (INDEX(ReferenceCard,,1)=Table1[[#This Row],[SAP No]]) * (INDEX(ReferenceCard,,2)=Table1[[#This Row],[Mould No]]), 0), 9),)</f>
        <v>23</v>
      </c>
      <c r="K7" s="4" cm="1">
        <f t="array" ref="K7">IFERROR(INDEX(ReferenceCard, MATCH(1, (INDEX(ReferenceCard,,1)=Table1[[#This Row],[SAP No]]) * (INDEX(ReferenceCard,,2)=Table1[[#This Row],[Mould No]]), 0), 7),)</f>
        <v>23</v>
      </c>
      <c r="L7">
        <v>0</v>
      </c>
      <c r="M7">
        <v>0</v>
      </c>
      <c r="N7">
        <v>0</v>
      </c>
      <c r="O7">
        <v>0</v>
      </c>
      <c r="P7">
        <f>Table1[[#This Row],[Shot]]*Table1[[#This Row],[Cav]]</f>
        <v>0</v>
      </c>
      <c r="Q7">
        <v>0</v>
      </c>
      <c r="R7">
        <f>(Table1[[#This Row],[Part Weight (gm)]]*Table1[[#This Row],[Finish Good]])/1000</f>
        <v>0</v>
      </c>
      <c r="S7">
        <v>0</v>
      </c>
      <c r="T7">
        <f>IF(Table1[[#This Row],[Qty Order]]="Sample","-",IF(Table1[[#This Row],[Qty Order]]="RTFN","-",Table1[[#This Row],[Qty Order]]-Table1[[#This Row],[Qty Accumulate]]))</f>
        <v>0</v>
      </c>
      <c r="U7">
        <f>((Table1[[#This Row],[Shift Output]]*Table1[[#This Row],[Part Weight (gm)]])/1000)+Table1[[#This Row],[Reject Startup (kg)]]+Table1[[#This Row],[Reject Purging (kg)]]+Table1[[#This Row],[Reject Preform (kg)]]</f>
        <v>0</v>
      </c>
      <c r="V7" s="37">
        <f>(Table1[[#This Row],[Gross Weight (gm)]]-Table1[[#This Row],[Part Weight (gm)]])*Table1[[#This Row],[Shift Output]]/1000</f>
        <v>0</v>
      </c>
      <c r="W7" s="3">
        <v>0</v>
      </c>
      <c r="X7" s="36" t="e">
        <f>Table1[[#This Row],[Reject Startup (kg)]]/Table1[[#This Row],[Material Used]]</f>
        <v>#DIV/0!</v>
      </c>
      <c r="Y7" s="3">
        <v>0</v>
      </c>
      <c r="Z7" s="36" t="e">
        <f>Table1[[#This Row],[Reject Prod (kg)]]/Table1[[#This Row],[Material Used]]</f>
        <v>#DIV/0!</v>
      </c>
      <c r="AA7" s="4">
        <v>0</v>
      </c>
      <c r="AB7" s="5">
        <v>12</v>
      </c>
      <c r="AC7" s="4" cm="1">
        <f t="array" ref="AC7">IFERROR(INDEX(ReferenceCard, MATCH(1, (INDEX(ReferenceCard,,1)=Table1[[#This Row],[SAP No]]) * (INDEX(ReferenceCard,,2)=Table1[[#This Row],[Mould No]]), 0), 9),)</f>
        <v>23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L7" s="2"/>
      <c r="AM7" s="2"/>
      <c r="AN7" s="3">
        <v>0</v>
      </c>
      <c r="AO7" s="3">
        <v>0</v>
      </c>
      <c r="AP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" spans="1:42" x14ac:dyDescent="0.35">
      <c r="A8" s="1">
        <v>46022</v>
      </c>
      <c r="B8">
        <v>2</v>
      </c>
      <c r="C8" t="s">
        <v>11</v>
      </c>
      <c r="D8" t="str" cm="1">
        <f t="array" ref="D8">IFERROR(INDEX(ReferenceCard, MATCH(1, (INDEX(ReferenceCard,,1)=Table1[[#This Row],[SAP No]]) * (INDEX(ReferenceCard,,2)=Table1[[#This Row],[Mould No]]), 0), 6),)</f>
        <v>rPET</v>
      </c>
      <c r="E8">
        <v>620994</v>
      </c>
      <c r="F8">
        <v>0</v>
      </c>
      <c r="G8" t="str" cm="1">
        <f t="array" ref="G8">IFERROR(INDEX(ReferenceCard, MATCH(1, (INDEX(ReferenceCard,,1)=Table1[[#This Row],[SAP No]]) * (INDEX(ReferenceCard,,2)=Table1[[#This Row],[Mould No]]), 0), 3),)</f>
        <v>JJ63-0400-SH-S-CL-rPET</v>
      </c>
      <c r="H8">
        <v>0</v>
      </c>
      <c r="I8" cm="1">
        <f t="array" ref="I8">IFERROR(INDEX(ReferenceCard, MATCH(1, (INDEX(ReferenceCard,,1)=Table1[[#This Row],[SAP No]]) * (INDEX(ReferenceCard,,2)=Table1[[#This Row],[Mould No]]), 0), 4),)</f>
        <v>4</v>
      </c>
      <c r="J8" s="4" cm="1">
        <f t="array" ref="J8">IFERROR(INDEX(ReferenceCard, MATCH(1, (INDEX(ReferenceCard,,1)=Table1[[#This Row],[SAP No]]) * (INDEX(ReferenceCard,,2)=Table1[[#This Row],[Mould No]]), 0), 9),)</f>
        <v>32.74</v>
      </c>
      <c r="K8" s="4" cm="1">
        <f t="array" ref="K8">IFERROR(INDEX(ReferenceCard, MATCH(1, (INDEX(ReferenceCard,,1)=Table1[[#This Row],[SAP No]]) * (INDEX(ReferenceCard,,2)=Table1[[#This Row],[Mould No]]), 0), 7),)</f>
        <v>33</v>
      </c>
      <c r="L8">
        <v>0</v>
      </c>
      <c r="M8">
        <v>0</v>
      </c>
      <c r="N8">
        <v>0</v>
      </c>
      <c r="O8">
        <v>0</v>
      </c>
      <c r="P8">
        <f>Table1[[#This Row],[Shot]]*Table1[[#This Row],[Cav]]</f>
        <v>0</v>
      </c>
      <c r="Q8">
        <v>0</v>
      </c>
      <c r="R8">
        <f>(Table1[[#This Row],[Part Weight (gm)]]*Table1[[#This Row],[Finish Good]])/1000</f>
        <v>0</v>
      </c>
      <c r="S8">
        <v>0</v>
      </c>
      <c r="T8">
        <f>IF(Table1[[#This Row],[Qty Order]]="Sample","-",IF(Table1[[#This Row],[Qty Order]]="RTFN","-",Table1[[#This Row],[Qty Order]]-Table1[[#This Row],[Qty Accumulate]]))</f>
        <v>0</v>
      </c>
      <c r="U8">
        <f>((Table1[[#This Row],[Shift Output]]*Table1[[#This Row],[Part Weight (gm)]])/1000)+Table1[[#This Row],[Reject Startup (kg)]]+Table1[[#This Row],[Reject Purging (kg)]]+Table1[[#This Row],[Reject Preform (kg)]]</f>
        <v>0</v>
      </c>
      <c r="V8" s="37">
        <f>(Table1[[#This Row],[Gross Weight (gm)]]-Table1[[#This Row],[Part Weight (gm)]])*Table1[[#This Row],[Shift Output]]/1000</f>
        <v>0</v>
      </c>
      <c r="W8" s="3">
        <v>0</v>
      </c>
      <c r="X8" s="36" t="e">
        <f>Table1[[#This Row],[Reject Startup (kg)]]/Table1[[#This Row],[Material Used]]</f>
        <v>#DIV/0!</v>
      </c>
      <c r="Y8" s="3">
        <v>0</v>
      </c>
      <c r="Z8" s="36" t="e">
        <f>Table1[[#This Row],[Reject Prod (kg)]]/Table1[[#This Row],[Material Used]]</f>
        <v>#DIV/0!</v>
      </c>
      <c r="AA8" s="4">
        <v>0</v>
      </c>
      <c r="AB8" s="5">
        <v>12</v>
      </c>
      <c r="AC8" s="4" cm="1">
        <f t="array" ref="AC8">IFERROR(INDEX(ReferenceCard, MATCH(1, (INDEX(ReferenceCard,,1)=Table1[[#This Row],[SAP No]]) * (INDEX(ReferenceCard,,2)=Table1[[#This Row],[Mould No]]), 0), 9),)</f>
        <v>32.74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L8" s="2"/>
      <c r="AM8" s="2"/>
      <c r="AN8" s="3">
        <v>0</v>
      </c>
      <c r="AO8" s="3">
        <v>0</v>
      </c>
      <c r="AP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" spans="1:42" x14ac:dyDescent="0.35">
      <c r="A9" s="1">
        <v>46022</v>
      </c>
      <c r="B9">
        <v>2</v>
      </c>
      <c r="C9" t="s">
        <v>14</v>
      </c>
      <c r="D9" t="str" cm="1">
        <f t="array" ref="D9">IFERROR(INDEX(ReferenceCard, MATCH(1, (INDEX(ReferenceCard,,1)=Table1[[#This Row],[SAP No]]) * (INDEX(ReferenceCard,,2)=Table1[[#This Row],[Mould No]]), 0), 6),)</f>
        <v>PET</v>
      </c>
      <c r="E9">
        <v>324165</v>
      </c>
      <c r="F9">
        <v>0</v>
      </c>
      <c r="G9" t="str" cm="1">
        <f t="array" ref="G9">IFERROR(INDEX(ReferenceCard, MATCH(1, (INDEX(ReferenceCard,,1)=Table1[[#This Row],[SAP No]]) * (INDEX(ReferenceCard,,2)=Table1[[#This Row],[Mould No]]), 0), 3),)</f>
        <v>JJ63-0400-SH-S-WH</v>
      </c>
      <c r="H9">
        <v>0</v>
      </c>
      <c r="I9" cm="1">
        <f t="array" ref="I9">IFERROR(INDEX(ReferenceCard, MATCH(1, (INDEX(ReferenceCard,,1)=Table1[[#This Row],[SAP No]]) * (INDEX(ReferenceCard,,2)=Table1[[#This Row],[Mould No]]), 0), 4),)</f>
        <v>4</v>
      </c>
      <c r="J9" s="4" cm="1">
        <f t="array" ref="J9">IFERROR(INDEX(ReferenceCard, MATCH(1, (INDEX(ReferenceCard,,1)=Table1[[#This Row],[SAP No]]) * (INDEX(ReferenceCard,,2)=Table1[[#This Row],[Mould No]]), 0), 9),)</f>
        <v>32.56</v>
      </c>
      <c r="K9" s="4" cm="1">
        <f t="array" ref="K9">IFERROR(INDEX(ReferenceCard, MATCH(1, (INDEX(ReferenceCard,,1)=Table1[[#This Row],[SAP No]]) * (INDEX(ReferenceCard,,2)=Table1[[#This Row],[Mould No]]), 0), 7),)</f>
        <v>33</v>
      </c>
      <c r="L9">
        <v>0</v>
      </c>
      <c r="M9">
        <v>0</v>
      </c>
      <c r="N9">
        <v>0</v>
      </c>
      <c r="O9">
        <v>0</v>
      </c>
      <c r="P9">
        <f>Table1[[#This Row],[Shot]]*Table1[[#This Row],[Cav]]</f>
        <v>0</v>
      </c>
      <c r="Q9">
        <v>0</v>
      </c>
      <c r="R9">
        <f>(Table1[[#This Row],[Part Weight (gm)]]*Table1[[#This Row],[Finish Good]])/1000</f>
        <v>0</v>
      </c>
      <c r="S9">
        <v>0</v>
      </c>
      <c r="T9">
        <f>IF(Table1[[#This Row],[Qty Order]]="Sample","-",IF(Table1[[#This Row],[Qty Order]]="RTFN","-",Table1[[#This Row],[Qty Order]]-Table1[[#This Row],[Qty Accumulate]]))</f>
        <v>0</v>
      </c>
      <c r="U9">
        <f>((Table1[[#This Row],[Shift Output]]*Table1[[#This Row],[Part Weight (gm)]])/1000)+Table1[[#This Row],[Reject Startup (kg)]]+Table1[[#This Row],[Reject Purging (kg)]]+Table1[[#This Row],[Reject Preform (kg)]]</f>
        <v>0</v>
      </c>
      <c r="V9" s="37">
        <f>(Table1[[#This Row],[Gross Weight (gm)]]-Table1[[#This Row],[Part Weight (gm)]])*Table1[[#This Row],[Shift Output]]/1000</f>
        <v>0</v>
      </c>
      <c r="W9" s="3">
        <v>0</v>
      </c>
      <c r="X9" s="36" t="e">
        <f>Table1[[#This Row],[Reject Startup (kg)]]/Table1[[#This Row],[Material Used]]</f>
        <v>#DIV/0!</v>
      </c>
      <c r="Y9" s="3">
        <v>0</v>
      </c>
      <c r="Z9" s="36" t="e">
        <f>Table1[[#This Row],[Reject Prod (kg)]]/Table1[[#This Row],[Material Used]]</f>
        <v>#DIV/0!</v>
      </c>
      <c r="AA9" s="4">
        <v>0</v>
      </c>
      <c r="AB9" s="5">
        <v>12</v>
      </c>
      <c r="AC9" s="4" cm="1">
        <f t="array" ref="AC9">IFERROR(INDEX(ReferenceCard, MATCH(1, (INDEX(ReferenceCard,,1)=Table1[[#This Row],[SAP No]]) * (INDEX(ReferenceCard,,2)=Table1[[#This Row],[Mould No]]), 0), 9),)</f>
        <v>32.56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L9" s="2"/>
      <c r="AM9" s="2"/>
      <c r="AN9" s="3">
        <v>0</v>
      </c>
      <c r="AO9" s="3">
        <v>0</v>
      </c>
      <c r="AP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" spans="1:42" x14ac:dyDescent="0.35">
      <c r="A10" s="1">
        <v>46022</v>
      </c>
      <c r="B10">
        <v>2</v>
      </c>
      <c r="C10" t="s">
        <v>16</v>
      </c>
      <c r="D10" t="str" cm="1">
        <f t="array" ref="D10">IFERROR(INDEX(ReferenceCard, MATCH(1, (INDEX(ReferenceCard,,1)=Table1[[#This Row],[SAP No]]) * (INDEX(ReferenceCard,,2)=Table1[[#This Row],[Mould No]]), 0), 6),)</f>
        <v>PET</v>
      </c>
      <c r="E10">
        <v>324638</v>
      </c>
      <c r="F10">
        <v>0</v>
      </c>
      <c r="G10" t="str" cm="1">
        <f t="array" ref="G10">IFERROR(INDEX(ReferenceCard, MATCH(1, (INDEX(ReferenceCard,,1)=Table1[[#This Row],[SAP No]]) * (INDEX(ReferenceCard,,2)=Table1[[#This Row],[Mould No]]), 0), 3),)</f>
        <v>BX38-2000-GH-R-CL (GREEN) (ASEM)</v>
      </c>
      <c r="H10">
        <v>0</v>
      </c>
      <c r="I10" cm="1">
        <f t="array" ref="I10">IFERROR(INDEX(ReferenceCard, MATCH(1, (INDEX(ReferenceCard,,1)=Table1[[#This Row],[SAP No]]) * (INDEX(ReferenceCard,,2)=Table1[[#This Row],[Mould No]]), 0), 4),)</f>
        <v>4</v>
      </c>
      <c r="J10" s="4" cm="1">
        <f t="array" ref="J10">IFERROR(INDEX(ReferenceCard, MATCH(1, (INDEX(ReferenceCard,,1)=Table1[[#This Row],[SAP No]]) * (INDEX(ReferenceCard,,2)=Table1[[#This Row],[Mould No]]), 0), 9),)</f>
        <v>77.5</v>
      </c>
      <c r="K10" s="4" cm="1">
        <f t="array" ref="K10">IFERROR(INDEX(ReferenceCard, MATCH(1, (INDEX(ReferenceCard,,1)=Table1[[#This Row],[SAP No]]) * (INDEX(ReferenceCard,,2)=Table1[[#This Row],[Mould No]]), 0), 7),)</f>
        <v>77.5</v>
      </c>
      <c r="L10">
        <v>0</v>
      </c>
      <c r="M10">
        <v>0</v>
      </c>
      <c r="N10">
        <v>0</v>
      </c>
      <c r="O10">
        <v>0</v>
      </c>
      <c r="P10">
        <f>Table1[[#This Row],[Shot]]*Table1[[#This Row],[Cav]]</f>
        <v>0</v>
      </c>
      <c r="Q10">
        <v>0</v>
      </c>
      <c r="R10">
        <f>(Table1[[#This Row],[Part Weight (gm)]]*Table1[[#This Row],[Finish Good]])/1000</f>
        <v>0</v>
      </c>
      <c r="S10">
        <v>0</v>
      </c>
      <c r="T10">
        <f>IF(Table1[[#This Row],[Qty Order]]="Sample","-",IF(Table1[[#This Row],[Qty Order]]="RTFN","-",Table1[[#This Row],[Qty Order]]-Table1[[#This Row],[Qty Accumulate]]))</f>
        <v>0</v>
      </c>
      <c r="U10">
        <f>((Table1[[#This Row],[Shift Output]]*Table1[[#This Row],[Part Weight (gm)]])/1000)+Table1[[#This Row],[Reject Startup (kg)]]+Table1[[#This Row],[Reject Purging (kg)]]+Table1[[#This Row],[Reject Preform (kg)]]</f>
        <v>0</v>
      </c>
      <c r="V10" s="37">
        <f>(Table1[[#This Row],[Gross Weight (gm)]]-Table1[[#This Row],[Part Weight (gm)]])*Table1[[#This Row],[Shift Output]]/1000</f>
        <v>0</v>
      </c>
      <c r="W10" s="3">
        <v>0</v>
      </c>
      <c r="X10" s="36" t="e">
        <f>Table1[[#This Row],[Reject Startup (kg)]]/Table1[[#This Row],[Material Used]]</f>
        <v>#DIV/0!</v>
      </c>
      <c r="Y10" s="3">
        <v>0</v>
      </c>
      <c r="Z10" s="36" t="e">
        <f>Table1[[#This Row],[Reject Prod (kg)]]/Table1[[#This Row],[Material Used]]</f>
        <v>#DIV/0!</v>
      </c>
      <c r="AA10" s="4">
        <v>0</v>
      </c>
      <c r="AB10" s="5">
        <v>12</v>
      </c>
      <c r="AC10" s="4" cm="1">
        <f t="array" ref="AC10">IFERROR(INDEX(ReferenceCard, MATCH(1, (INDEX(ReferenceCard,,1)=Table1[[#This Row],[SAP No]]) * (INDEX(ReferenceCard,,2)=Table1[[#This Row],[Mould No]]), 0), 9),)</f>
        <v>77.5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L10" s="2"/>
      <c r="AM10" s="2"/>
      <c r="AN10" s="3">
        <v>0</v>
      </c>
      <c r="AO10" s="3">
        <v>0</v>
      </c>
      <c r="AP1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" spans="1:42" x14ac:dyDescent="0.35">
      <c r="A11" s="1">
        <v>46022</v>
      </c>
      <c r="B11">
        <v>2</v>
      </c>
      <c r="C11" t="s">
        <v>18</v>
      </c>
      <c r="D11" t="str" cm="1">
        <f t="array" ref="D11">IFERROR(INDEX(ReferenceCard, MATCH(1, (INDEX(ReferenceCard,,1)=Table1[[#This Row],[SAP No]]) * (INDEX(ReferenceCard,,2)=Table1[[#This Row],[Mould No]]), 0), 6),)</f>
        <v>PPSB520Y</v>
      </c>
      <c r="E11">
        <v>555979</v>
      </c>
      <c r="F11">
        <v>4</v>
      </c>
      <c r="G11" t="str" cm="1">
        <f t="array" ref="G11">IFERROR(INDEX(ReferenceCard, MATCH(1, (INDEX(ReferenceCard,,1)=Table1[[#This Row],[SAP No]]) * (INDEX(ReferenceCard,,2)=Table1[[#This Row],[Mould No]]), 0), 3),)</f>
        <v>BC28-0170-D-APH-5180-3539-PP-6 NOTCHES-MOLD4</v>
      </c>
      <c r="H11">
        <v>0</v>
      </c>
      <c r="I11" cm="1">
        <f t="array" ref="I11">IFERROR(INDEX(ReferenceCard, MATCH(1, (INDEX(ReferenceCard,,1)=Table1[[#This Row],[SAP No]]) * (INDEX(ReferenceCard,,2)=Table1[[#This Row],[Mould No]]), 0), 4),)</f>
        <v>6</v>
      </c>
      <c r="J11" s="4" cm="1">
        <f t="array" ref="J11">IFERROR(INDEX(ReferenceCard, MATCH(1, (INDEX(ReferenceCard,,1)=Table1[[#This Row],[SAP No]]) * (INDEX(ReferenceCard,,2)=Table1[[#This Row],[Mould No]]), 0), 9),)</f>
        <v>28</v>
      </c>
      <c r="K11" s="4" cm="1">
        <f t="array" ref="K11">IFERROR(INDEX(ReferenceCard, MATCH(1, (INDEX(ReferenceCard,,1)=Table1[[#This Row],[SAP No]]) * (INDEX(ReferenceCard,,2)=Table1[[#This Row],[Mould No]]), 0), 7),)</f>
        <v>28</v>
      </c>
      <c r="L11">
        <v>963</v>
      </c>
      <c r="M11">
        <v>0</v>
      </c>
      <c r="N11">
        <v>0</v>
      </c>
      <c r="O11">
        <v>0</v>
      </c>
      <c r="P11">
        <f>Table1[[#This Row],[Shot]]*Table1[[#This Row],[Cav]]</f>
        <v>5778</v>
      </c>
      <c r="Q11">
        <v>0</v>
      </c>
      <c r="R11">
        <f>(Table1[[#This Row],[Part Weight (gm)]]*Table1[[#This Row],[Finish Good]])/1000</f>
        <v>0</v>
      </c>
      <c r="S11">
        <v>0</v>
      </c>
      <c r="T11">
        <f>IF(Table1[[#This Row],[Qty Order]]="Sample","-",IF(Table1[[#This Row],[Qty Order]]="RTFN","-",Table1[[#This Row],[Qty Order]]-Table1[[#This Row],[Qty Accumulate]]))</f>
        <v>0</v>
      </c>
      <c r="U11">
        <f>((Table1[[#This Row],[Shift Output]]*Table1[[#This Row],[Part Weight (gm)]])/1000)+Table1[[#This Row],[Reject Startup (kg)]]+Table1[[#This Row],[Reject Purging (kg)]]+Table1[[#This Row],[Reject Preform (kg)]]</f>
        <v>161.78399999999999</v>
      </c>
      <c r="V11" s="37">
        <f>(Table1[[#This Row],[Gross Weight (gm)]]-Table1[[#This Row],[Part Weight (gm)]])*Table1[[#This Row],[Shift Output]]/1000</f>
        <v>0</v>
      </c>
      <c r="W11" s="3">
        <v>0</v>
      </c>
      <c r="X11" s="36">
        <f>Table1[[#This Row],[Reject Startup (kg)]]/Table1[[#This Row],[Material Used]]</f>
        <v>0</v>
      </c>
      <c r="Y11" s="3">
        <v>0</v>
      </c>
      <c r="Z11" s="36">
        <f>Table1[[#This Row],[Reject Prod (kg)]]/Table1[[#This Row],[Material Used]]</f>
        <v>0</v>
      </c>
      <c r="AA11" s="4">
        <v>43.5</v>
      </c>
      <c r="AB11" s="5">
        <v>12</v>
      </c>
      <c r="AC11" s="4" cm="1">
        <f t="array" ref="AC11">IFERROR(INDEX(ReferenceCard, MATCH(1, (INDEX(ReferenceCard,,1)=Table1[[#This Row],[SAP No]]) * (INDEX(ReferenceCard,,2)=Table1[[#This Row],[Mould No]]), 0), 9),)</f>
        <v>28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L11" s="2"/>
      <c r="AM11" s="2"/>
      <c r="AN11" s="3">
        <v>0</v>
      </c>
      <c r="AO11" s="3">
        <v>0</v>
      </c>
      <c r="AP1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" spans="1:42" x14ac:dyDescent="0.35">
      <c r="A12" s="1">
        <v>46022</v>
      </c>
      <c r="B12">
        <v>2</v>
      </c>
      <c r="C12" t="s">
        <v>23</v>
      </c>
      <c r="D12" t="str" cm="1">
        <f t="array" ref="D12">IFERROR(INDEX(ReferenceCard, MATCH(1, (INDEX(ReferenceCard,,1)=Table1[[#This Row],[SAP No]]) * (INDEX(ReferenceCard,,2)=Table1[[#This Row],[Mould No]]), 0), 6),)</f>
        <v>PPSB520Y</v>
      </c>
      <c r="E12">
        <v>586276</v>
      </c>
      <c r="F12">
        <v>2</v>
      </c>
      <c r="G12" t="str" cm="1">
        <f t="array" ref="G12">IFERROR(INDEX(ReferenceCard, MATCH(1, (INDEX(ReferenceCard,,1)=Table1[[#This Row],[SAP No]]) * (INDEX(ReferenceCard,,2)=Table1[[#This Row],[Mould No]]), 0), 3),)</f>
        <v>BC28-0056-D-APH-LEB-604001-MOLD2</v>
      </c>
      <c r="H12">
        <v>0</v>
      </c>
      <c r="I12" cm="1">
        <f t="array" ref="I12">IFERROR(INDEX(ReferenceCard, MATCH(1, (INDEX(ReferenceCard,,1)=Table1[[#This Row],[SAP No]]) * (INDEX(ReferenceCard,,2)=Table1[[#This Row],[Mould No]]), 0), 4),)</f>
        <v>6</v>
      </c>
      <c r="J12" s="4" cm="1">
        <f t="array" ref="J12">IFERROR(INDEX(ReferenceCard, MATCH(1, (INDEX(ReferenceCard,,1)=Table1[[#This Row],[SAP No]]) * (INDEX(ReferenceCard,,2)=Table1[[#This Row],[Mould No]]), 0), 9),)</f>
        <v>12.3</v>
      </c>
      <c r="K12" s="4" cm="1">
        <f t="array" ref="K12">IFERROR(INDEX(ReferenceCard, MATCH(1, (INDEX(ReferenceCard,,1)=Table1[[#This Row],[SAP No]]) * (INDEX(ReferenceCard,,2)=Table1[[#This Row],[Mould No]]), 0), 7),)</f>
        <v>12.3</v>
      </c>
      <c r="L12">
        <v>0</v>
      </c>
      <c r="M12">
        <v>0</v>
      </c>
      <c r="N12">
        <v>0</v>
      </c>
      <c r="O12">
        <v>0</v>
      </c>
      <c r="P12">
        <f>Table1[[#This Row],[Shot]]*Table1[[#This Row],[Cav]]</f>
        <v>0</v>
      </c>
      <c r="Q12">
        <v>0</v>
      </c>
      <c r="R12">
        <f>(Table1[[#This Row],[Part Weight (gm)]]*Table1[[#This Row],[Finish Good]])/1000</f>
        <v>0</v>
      </c>
      <c r="S12">
        <v>0</v>
      </c>
      <c r="T12">
        <f>IF(Table1[[#This Row],[Qty Order]]="Sample","-",IF(Table1[[#This Row],[Qty Order]]="RTFN","-",Table1[[#This Row],[Qty Order]]-Table1[[#This Row],[Qty Accumulate]]))</f>
        <v>0</v>
      </c>
      <c r="U12">
        <f>((Table1[[#This Row],[Shift Output]]*Table1[[#This Row],[Part Weight (gm)]])/1000)+Table1[[#This Row],[Reject Startup (kg)]]+Table1[[#This Row],[Reject Purging (kg)]]+Table1[[#This Row],[Reject Preform (kg)]]</f>
        <v>0</v>
      </c>
      <c r="V12" s="37">
        <f>(Table1[[#This Row],[Gross Weight (gm)]]-Table1[[#This Row],[Part Weight (gm)]])*Table1[[#This Row],[Shift Output]]/1000</f>
        <v>0</v>
      </c>
      <c r="W12" s="3">
        <v>0</v>
      </c>
      <c r="X12" s="36" t="e">
        <f>Table1[[#This Row],[Reject Startup (kg)]]/Table1[[#This Row],[Material Used]]</f>
        <v>#DIV/0!</v>
      </c>
      <c r="Y12" s="3">
        <v>0</v>
      </c>
      <c r="Z12" s="36" t="e">
        <f>Table1[[#This Row],[Reject Prod (kg)]]/Table1[[#This Row],[Material Used]]</f>
        <v>#DIV/0!</v>
      </c>
      <c r="AA12" s="4">
        <v>0</v>
      </c>
      <c r="AB12" s="5">
        <v>12</v>
      </c>
      <c r="AC12" s="4" cm="1">
        <f t="array" ref="AC12">IFERROR(INDEX(ReferenceCard, MATCH(1, (INDEX(ReferenceCard,,1)=Table1[[#This Row],[SAP No]]) * (INDEX(ReferenceCard,,2)=Table1[[#This Row],[Mould No]]), 0), 9),)</f>
        <v>12.3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L12" s="2"/>
      <c r="AM12" s="2"/>
      <c r="AN12" s="3">
        <v>0</v>
      </c>
      <c r="AO12" s="3">
        <v>0</v>
      </c>
      <c r="AP1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" spans="1:42" x14ac:dyDescent="0.35">
      <c r="A13" s="1">
        <v>46022</v>
      </c>
      <c r="B13">
        <v>2</v>
      </c>
      <c r="C13" t="s">
        <v>25</v>
      </c>
      <c r="D13" t="str" cm="1">
        <f t="array" ref="D13">IFERROR(INDEX(ReferenceCard, MATCH(1, (INDEX(ReferenceCard,,1)=Table1[[#This Row],[SAP No]]) * (INDEX(ReferenceCard,,2)=Table1[[#This Row],[Mould No]]), 0), 6),)</f>
        <v>PET</v>
      </c>
      <c r="E13">
        <v>323133</v>
      </c>
      <c r="F13">
        <v>0</v>
      </c>
      <c r="G13" t="str" cm="1">
        <f t="array" ref="G13">IFERROR(INDEX(ReferenceCard, MATCH(1, (INDEX(ReferenceCard,,1)=Table1[[#This Row],[SAP No]]) * (INDEX(ReferenceCard,,2)=Table1[[#This Row],[Mould No]]), 0), 3),)</f>
        <v>BX38-2000-RH-R-CL(GREEN) (ASEM)</v>
      </c>
      <c r="H13">
        <v>0</v>
      </c>
      <c r="I13" cm="1">
        <f t="array" ref="I13">IFERROR(INDEX(ReferenceCard, MATCH(1, (INDEX(ReferenceCard,,1)=Table1[[#This Row],[SAP No]]) * (INDEX(ReferenceCard,,2)=Table1[[#This Row],[Mould No]]), 0), 4),)</f>
        <v>4</v>
      </c>
      <c r="J13" s="4" cm="1">
        <f t="array" ref="J13">IFERROR(INDEX(ReferenceCard, MATCH(1, (INDEX(ReferenceCard,,1)=Table1[[#This Row],[SAP No]]) * (INDEX(ReferenceCard,,2)=Table1[[#This Row],[Mould No]]), 0), 9),)</f>
        <v>77</v>
      </c>
      <c r="K13" s="4" cm="1">
        <f t="array" ref="K13">IFERROR(INDEX(ReferenceCard, MATCH(1, (INDEX(ReferenceCard,,1)=Table1[[#This Row],[SAP No]]) * (INDEX(ReferenceCard,,2)=Table1[[#This Row],[Mould No]]), 0), 7),)</f>
        <v>77</v>
      </c>
      <c r="L13">
        <v>0</v>
      </c>
      <c r="M13">
        <v>0</v>
      </c>
      <c r="N13">
        <v>0</v>
      </c>
      <c r="O13">
        <v>0</v>
      </c>
      <c r="P13">
        <f>Table1[[#This Row],[Shot]]*Table1[[#This Row],[Cav]]</f>
        <v>0</v>
      </c>
      <c r="Q13">
        <v>0</v>
      </c>
      <c r="R13">
        <f>(Table1[[#This Row],[Part Weight (gm)]]*Table1[[#This Row],[Finish Good]])/1000</f>
        <v>0</v>
      </c>
      <c r="S13">
        <v>0</v>
      </c>
      <c r="T13">
        <f>IF(Table1[[#This Row],[Qty Order]]="Sample","-",IF(Table1[[#This Row],[Qty Order]]="RTFN","-",Table1[[#This Row],[Qty Order]]-Table1[[#This Row],[Qty Accumulate]]))</f>
        <v>0</v>
      </c>
      <c r="U13">
        <f>((Table1[[#This Row],[Shift Output]]*Table1[[#This Row],[Part Weight (gm)]])/1000)+Table1[[#This Row],[Reject Startup (kg)]]+Table1[[#This Row],[Reject Purging (kg)]]+Table1[[#This Row],[Reject Preform (kg)]]</f>
        <v>0</v>
      </c>
      <c r="V13" s="37">
        <f>(Table1[[#This Row],[Gross Weight (gm)]]-Table1[[#This Row],[Part Weight (gm)]])*Table1[[#This Row],[Shift Output]]/1000</f>
        <v>0</v>
      </c>
      <c r="W13" s="3">
        <v>0</v>
      </c>
      <c r="X13" s="36" t="e">
        <f>Table1[[#This Row],[Reject Startup (kg)]]/Table1[[#This Row],[Material Used]]</f>
        <v>#DIV/0!</v>
      </c>
      <c r="Y13" s="3">
        <v>0</v>
      </c>
      <c r="Z13" s="36" t="e">
        <f>Table1[[#This Row],[Reject Prod (kg)]]/Table1[[#This Row],[Material Used]]</f>
        <v>#DIV/0!</v>
      </c>
      <c r="AA13" s="4">
        <v>0</v>
      </c>
      <c r="AB13" s="5">
        <v>12</v>
      </c>
      <c r="AC13" s="4" cm="1">
        <f t="array" ref="AC13">IFERROR(INDEX(ReferenceCard, MATCH(1, (INDEX(ReferenceCard,,1)=Table1[[#This Row],[SAP No]]) * (INDEX(ReferenceCard,,2)=Table1[[#This Row],[Mould No]]), 0), 9),)</f>
        <v>77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L13" s="2"/>
      <c r="AM13" s="2"/>
      <c r="AN13" s="3">
        <v>0</v>
      </c>
      <c r="AO13" s="3">
        <v>0</v>
      </c>
      <c r="AP1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" spans="1:42" x14ac:dyDescent="0.35">
      <c r="A14" s="1">
        <v>46022</v>
      </c>
      <c r="B14">
        <v>2</v>
      </c>
      <c r="C14" t="s">
        <v>27</v>
      </c>
      <c r="D14" t="str" cm="1">
        <f t="array" ref="D14">IFERROR(INDEX(ReferenceCard, MATCH(1, (INDEX(ReferenceCard,,1)=Table1[[#This Row],[SAP No]]) * (INDEX(ReferenceCard,,2)=Table1[[#This Row],[Mould No]]), 0), 6),)</f>
        <v>PPSB520Y</v>
      </c>
      <c r="E14">
        <v>552181</v>
      </c>
      <c r="F14">
        <v>4</v>
      </c>
      <c r="G14" t="str" cm="1">
        <f t="array" ref="G14">IFERROR(INDEX(ReferenceCard, MATCH(1, (INDEX(ReferenceCard,,1)=Table1[[#This Row],[SAP No]]) * (INDEX(ReferenceCard,,2)=Table1[[#This Row],[Mould No]]), 0), 3),)</f>
        <v>BC28-0090-D-APH-5180-3538-PP-6 NOTCHES-MOLD4</v>
      </c>
      <c r="H14">
        <v>0</v>
      </c>
      <c r="I14" cm="1">
        <f t="array" ref="I14">IFERROR(INDEX(ReferenceCard, MATCH(1, (INDEX(ReferenceCard,,1)=Table1[[#This Row],[SAP No]]) * (INDEX(ReferenceCard,,2)=Table1[[#This Row],[Mould No]]), 0), 4),)</f>
        <v>6</v>
      </c>
      <c r="J14" s="4" cm="1">
        <f t="array" ref="J14">IFERROR(INDEX(ReferenceCard, MATCH(1, (INDEX(ReferenceCard,,1)=Table1[[#This Row],[SAP No]]) * (INDEX(ReferenceCard,,2)=Table1[[#This Row],[Mould No]]), 0), 9),)</f>
        <v>18.8</v>
      </c>
      <c r="K14" s="4" cm="1">
        <f t="array" ref="K14">IFERROR(INDEX(ReferenceCard, MATCH(1, (INDEX(ReferenceCard,,1)=Table1[[#This Row],[SAP No]]) * (INDEX(ReferenceCard,,2)=Table1[[#This Row],[Mould No]]), 0), 7),)</f>
        <v>18.8</v>
      </c>
      <c r="L14">
        <v>0</v>
      </c>
      <c r="M14">
        <v>0</v>
      </c>
      <c r="N14">
        <v>0</v>
      </c>
      <c r="O14">
        <v>0</v>
      </c>
      <c r="P14">
        <f>Table1[[#This Row],[Shot]]*Table1[[#This Row],[Cav]]</f>
        <v>0</v>
      </c>
      <c r="Q14">
        <v>0</v>
      </c>
      <c r="R14">
        <f>(Table1[[#This Row],[Part Weight (gm)]]*Table1[[#This Row],[Finish Good]])/1000</f>
        <v>0</v>
      </c>
      <c r="S14">
        <v>0</v>
      </c>
      <c r="T14">
        <f>IF(Table1[[#This Row],[Qty Order]]="Sample","-",IF(Table1[[#This Row],[Qty Order]]="RTFN","-",Table1[[#This Row],[Qty Order]]-Table1[[#This Row],[Qty Accumulate]]))</f>
        <v>0</v>
      </c>
      <c r="U14">
        <f>((Table1[[#This Row],[Shift Output]]*Table1[[#This Row],[Part Weight (gm)]])/1000)+Table1[[#This Row],[Reject Startup (kg)]]+Table1[[#This Row],[Reject Purging (kg)]]+Table1[[#This Row],[Reject Preform (kg)]]</f>
        <v>0</v>
      </c>
      <c r="V14" s="37">
        <f>(Table1[[#This Row],[Gross Weight (gm)]]-Table1[[#This Row],[Part Weight (gm)]])*Table1[[#This Row],[Shift Output]]/1000</f>
        <v>0</v>
      </c>
      <c r="W14" s="3">
        <v>0</v>
      </c>
      <c r="X14" s="36" t="e">
        <f>Table1[[#This Row],[Reject Startup (kg)]]/Table1[[#This Row],[Material Used]]</f>
        <v>#DIV/0!</v>
      </c>
      <c r="Y14" s="3">
        <v>0</v>
      </c>
      <c r="Z14" s="36" t="e">
        <f>Table1[[#This Row],[Reject Prod (kg)]]/Table1[[#This Row],[Material Used]]</f>
        <v>#DIV/0!</v>
      </c>
      <c r="AA14" s="4">
        <v>0</v>
      </c>
      <c r="AB14" s="5">
        <v>12</v>
      </c>
      <c r="AC14" s="4" cm="1">
        <f t="array" ref="AC14">IFERROR(INDEX(ReferenceCard, MATCH(1, (INDEX(ReferenceCard,,1)=Table1[[#This Row],[SAP No]]) * (INDEX(ReferenceCard,,2)=Table1[[#This Row],[Mould No]]), 0), 9),)</f>
        <v>18.8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L14" s="2"/>
      <c r="AM14" s="2"/>
      <c r="AN14" s="3">
        <v>0</v>
      </c>
      <c r="AO14" s="3">
        <v>0</v>
      </c>
      <c r="AP1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" spans="1:42" x14ac:dyDescent="0.35">
      <c r="A15" s="1">
        <v>46022</v>
      </c>
      <c r="B15">
        <v>2</v>
      </c>
      <c r="C15" t="s">
        <v>29</v>
      </c>
      <c r="D15" t="str" cm="1">
        <f t="array" ref="D15">IFERROR(INDEX(ReferenceCard, MATCH(1, (INDEX(ReferenceCard,,1)=Table1[[#This Row],[SAP No]]) * (INDEX(ReferenceCard,,2)=Table1[[#This Row],[Mould No]]), 0), 6),)</f>
        <v>PET</v>
      </c>
      <c r="E15">
        <v>620599</v>
      </c>
      <c r="F15">
        <v>0</v>
      </c>
      <c r="G15" t="str" cm="1">
        <f t="array" ref="G15">IFERROR(INDEX(ReferenceCard, MATCH(1, (INDEX(ReferenceCard,,1)=Table1[[#This Row],[SAP No]]) * (INDEX(ReferenceCard,,2)=Table1[[#This Row],[Mould No]]), 0), 3),)</f>
        <v>BC28-0750-K4-R-CL (55g)</v>
      </c>
      <c r="H15">
        <v>0</v>
      </c>
      <c r="I15" cm="1">
        <f t="array" ref="I15">IFERROR(INDEX(ReferenceCard, MATCH(1, (INDEX(ReferenceCard,,1)=Table1[[#This Row],[SAP No]]) * (INDEX(ReferenceCard,,2)=Table1[[#This Row],[Mould No]]), 0), 4),)</f>
        <v>4</v>
      </c>
      <c r="J15" s="4" cm="1">
        <f t="array" ref="J15">IFERROR(INDEX(ReferenceCard, MATCH(1, (INDEX(ReferenceCard,,1)=Table1[[#This Row],[SAP No]]) * (INDEX(ReferenceCard,,2)=Table1[[#This Row],[Mould No]]), 0), 9),)</f>
        <v>55</v>
      </c>
      <c r="K15" s="4" cm="1">
        <f t="array" ref="K15">IFERROR(INDEX(ReferenceCard, MATCH(1, (INDEX(ReferenceCard,,1)=Table1[[#This Row],[SAP No]]) * (INDEX(ReferenceCard,,2)=Table1[[#This Row],[Mould No]]), 0), 7),)</f>
        <v>55</v>
      </c>
      <c r="L15">
        <v>0</v>
      </c>
      <c r="M15">
        <v>0</v>
      </c>
      <c r="N15">
        <v>0</v>
      </c>
      <c r="O15">
        <v>0</v>
      </c>
      <c r="P15">
        <f>Table1[[#This Row],[Shot]]*Table1[[#This Row],[Cav]]</f>
        <v>0</v>
      </c>
      <c r="Q15">
        <v>0</v>
      </c>
      <c r="R15">
        <f>(Table1[[#This Row],[Part Weight (gm)]]*Table1[[#This Row],[Finish Good]])/1000</f>
        <v>0</v>
      </c>
      <c r="S15">
        <v>0</v>
      </c>
      <c r="T15">
        <f>IF(Table1[[#This Row],[Qty Order]]="Sample","-",IF(Table1[[#This Row],[Qty Order]]="RTFN","-",Table1[[#This Row],[Qty Order]]-Table1[[#This Row],[Qty Accumulate]]))</f>
        <v>0</v>
      </c>
      <c r="U15">
        <f>((Table1[[#This Row],[Shift Output]]*Table1[[#This Row],[Part Weight (gm)]])/1000)+Table1[[#This Row],[Reject Startup (kg)]]+Table1[[#This Row],[Reject Purging (kg)]]+Table1[[#This Row],[Reject Preform (kg)]]</f>
        <v>0</v>
      </c>
      <c r="V15" s="37">
        <f>(Table1[[#This Row],[Gross Weight (gm)]]-Table1[[#This Row],[Part Weight (gm)]])*Table1[[#This Row],[Shift Output]]/1000</f>
        <v>0</v>
      </c>
      <c r="W15" s="3">
        <v>0</v>
      </c>
      <c r="X15" s="36" t="e">
        <f>Table1[[#This Row],[Reject Startup (kg)]]/Table1[[#This Row],[Material Used]]</f>
        <v>#DIV/0!</v>
      </c>
      <c r="Y15" s="3">
        <v>0</v>
      </c>
      <c r="Z15" s="36" t="e">
        <f>Table1[[#This Row],[Reject Prod (kg)]]/Table1[[#This Row],[Material Used]]</f>
        <v>#DIV/0!</v>
      </c>
      <c r="AA15" s="4">
        <v>0</v>
      </c>
      <c r="AB15" s="5">
        <v>12</v>
      </c>
      <c r="AC15" s="4" cm="1">
        <f t="array" ref="AC15">IFERROR(INDEX(ReferenceCard, MATCH(1, (INDEX(ReferenceCard,,1)=Table1[[#This Row],[SAP No]]) * (INDEX(ReferenceCard,,2)=Table1[[#This Row],[Mould No]]), 0), 9),)</f>
        <v>55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L15" s="2"/>
      <c r="AM15" s="2"/>
      <c r="AN15" s="3">
        <v>0</v>
      </c>
      <c r="AO15" s="3">
        <v>0</v>
      </c>
      <c r="AP1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" spans="1:42" x14ac:dyDescent="0.35">
      <c r="A16" s="1">
        <v>46022</v>
      </c>
      <c r="B16">
        <v>2</v>
      </c>
      <c r="C16" t="s">
        <v>31</v>
      </c>
      <c r="D16" t="str" cm="1">
        <f t="array" ref="D16">IFERROR(INDEX(ReferenceCard, MATCH(1, (INDEX(ReferenceCard,,1)=Table1[[#This Row],[SAP No]]) * (INDEX(ReferenceCard,,2)=Table1[[#This Row],[Mould No]]), 0), 6),)</f>
        <v>PPSB520Y</v>
      </c>
      <c r="E16">
        <v>586276</v>
      </c>
      <c r="F16">
        <v>4</v>
      </c>
      <c r="G16" t="str" cm="1">
        <f t="array" ref="G16">IFERROR(INDEX(ReferenceCard, MATCH(1, (INDEX(ReferenceCard,,1)=Table1[[#This Row],[SAP No]]) * (INDEX(ReferenceCard,,2)=Table1[[#This Row],[Mould No]]), 0), 3),)</f>
        <v>BC28-0056-D-APH-LEB-604001-MOLD4</v>
      </c>
      <c r="H16">
        <v>0</v>
      </c>
      <c r="I16" cm="1">
        <f t="array" ref="I16">IFERROR(INDEX(ReferenceCard, MATCH(1, (INDEX(ReferenceCard,,1)=Table1[[#This Row],[SAP No]]) * (INDEX(ReferenceCard,,2)=Table1[[#This Row],[Mould No]]), 0), 4),)</f>
        <v>6</v>
      </c>
      <c r="J16" s="4" cm="1">
        <f t="array" ref="J16">IFERROR(INDEX(ReferenceCard, MATCH(1, (INDEX(ReferenceCard,,1)=Table1[[#This Row],[SAP No]]) * (INDEX(ReferenceCard,,2)=Table1[[#This Row],[Mould No]]), 0), 9),)</f>
        <v>12.3</v>
      </c>
      <c r="K16" s="4" cm="1">
        <f t="array" ref="K16">IFERROR(INDEX(ReferenceCard, MATCH(1, (INDEX(ReferenceCard,,1)=Table1[[#This Row],[SAP No]]) * (INDEX(ReferenceCard,,2)=Table1[[#This Row],[Mould No]]), 0), 7),)</f>
        <v>12.3</v>
      </c>
      <c r="L16">
        <v>0</v>
      </c>
      <c r="M16">
        <v>0</v>
      </c>
      <c r="N16">
        <v>0</v>
      </c>
      <c r="O16">
        <v>0</v>
      </c>
      <c r="P16">
        <f>Table1[[#This Row],[Shot]]*Table1[[#This Row],[Cav]]</f>
        <v>0</v>
      </c>
      <c r="Q16">
        <v>0</v>
      </c>
      <c r="R16">
        <f>(Table1[[#This Row],[Part Weight (gm)]]*Table1[[#This Row],[Finish Good]])/1000</f>
        <v>0</v>
      </c>
      <c r="S16">
        <v>0</v>
      </c>
      <c r="T16">
        <f>IF(Table1[[#This Row],[Qty Order]]="Sample","-",IF(Table1[[#This Row],[Qty Order]]="RTFN","-",Table1[[#This Row],[Qty Order]]-Table1[[#This Row],[Qty Accumulate]]))</f>
        <v>0</v>
      </c>
      <c r="U16">
        <f>((Table1[[#This Row],[Shift Output]]*Table1[[#This Row],[Part Weight (gm)]])/1000)+Table1[[#This Row],[Reject Startup (kg)]]+Table1[[#This Row],[Reject Purging (kg)]]+Table1[[#This Row],[Reject Preform (kg)]]</f>
        <v>0</v>
      </c>
      <c r="V16" s="37">
        <f>(Table1[[#This Row],[Gross Weight (gm)]]-Table1[[#This Row],[Part Weight (gm)]])*Table1[[#This Row],[Shift Output]]/1000</f>
        <v>0</v>
      </c>
      <c r="W16" s="3">
        <v>0</v>
      </c>
      <c r="X16" s="36" t="e">
        <f>Table1[[#This Row],[Reject Startup (kg)]]/Table1[[#This Row],[Material Used]]</f>
        <v>#DIV/0!</v>
      </c>
      <c r="Y16" s="3">
        <v>0</v>
      </c>
      <c r="Z16" s="36" t="e">
        <f>Table1[[#This Row],[Reject Prod (kg)]]/Table1[[#This Row],[Material Used]]</f>
        <v>#DIV/0!</v>
      </c>
      <c r="AA16" s="4">
        <v>0</v>
      </c>
      <c r="AB16" s="5">
        <v>12</v>
      </c>
      <c r="AC16" s="4" cm="1">
        <f t="array" ref="AC16">IFERROR(INDEX(ReferenceCard, MATCH(1, (INDEX(ReferenceCard,,1)=Table1[[#This Row],[SAP No]]) * (INDEX(ReferenceCard,,2)=Table1[[#This Row],[Mould No]]), 0), 9),)</f>
        <v>12.3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L16" s="2"/>
      <c r="AM16" s="2"/>
      <c r="AN16" s="3">
        <v>0</v>
      </c>
      <c r="AO16" s="3">
        <v>0</v>
      </c>
      <c r="AP1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" spans="1:42" x14ac:dyDescent="0.35">
      <c r="A17" s="1">
        <v>46022</v>
      </c>
      <c r="B17">
        <v>2</v>
      </c>
      <c r="C17" t="s">
        <v>33</v>
      </c>
      <c r="D17" t="str" cm="1">
        <f t="array" ref="D17">IFERROR(INDEX(ReferenceCard, MATCH(1, (INDEX(ReferenceCard,,1)=Table1[[#This Row],[SAP No]]) * (INDEX(ReferenceCard,,2)=Table1[[#This Row],[Mould No]]), 0), 6),)</f>
        <v>PET</v>
      </c>
      <c r="E17">
        <v>541381</v>
      </c>
      <c r="F17">
        <v>0</v>
      </c>
      <c r="G17" t="str" cm="1">
        <f t="array" ref="G17">IFERROR(INDEX(ReferenceCard, MATCH(1, (INDEX(ReferenceCard,,1)=Table1[[#This Row],[SAP No]]) * (INDEX(ReferenceCard,,2)=Table1[[#This Row],[Mould No]]), 0), 3),)</f>
        <v>BC28-1200-K-R-CL</v>
      </c>
      <c r="H17">
        <v>0</v>
      </c>
      <c r="I17" cm="1">
        <f t="array" ref="I17">IFERROR(INDEX(ReferenceCard, MATCH(1, (INDEX(ReferenceCard,,1)=Table1[[#This Row],[SAP No]]) * (INDEX(ReferenceCard,,2)=Table1[[#This Row],[Mould No]]), 0), 4),)</f>
        <v>4</v>
      </c>
      <c r="J17" s="4" cm="1">
        <f t="array" ref="J17">IFERROR(INDEX(ReferenceCard, MATCH(1, (INDEX(ReferenceCard,,1)=Table1[[#This Row],[SAP No]]) * (INDEX(ReferenceCard,,2)=Table1[[#This Row],[Mould No]]), 0), 9),)</f>
        <v>55</v>
      </c>
      <c r="K17" s="4" cm="1">
        <f t="array" ref="K17">IFERROR(INDEX(ReferenceCard, MATCH(1, (INDEX(ReferenceCard,,1)=Table1[[#This Row],[SAP No]]) * (INDEX(ReferenceCard,,2)=Table1[[#This Row],[Mould No]]), 0), 7),)</f>
        <v>55</v>
      </c>
      <c r="L17">
        <v>0</v>
      </c>
      <c r="M17">
        <v>0</v>
      </c>
      <c r="N17">
        <v>0</v>
      </c>
      <c r="O17">
        <v>0</v>
      </c>
      <c r="P17">
        <f>Table1[[#This Row],[Shot]]*Table1[[#This Row],[Cav]]</f>
        <v>0</v>
      </c>
      <c r="Q17">
        <v>0</v>
      </c>
      <c r="R17">
        <f>(Table1[[#This Row],[Part Weight (gm)]]*Table1[[#This Row],[Finish Good]])/1000</f>
        <v>0</v>
      </c>
      <c r="S17">
        <v>0</v>
      </c>
      <c r="T17">
        <f>IF(Table1[[#This Row],[Qty Order]]="Sample","-",IF(Table1[[#This Row],[Qty Order]]="RTFN","-",Table1[[#This Row],[Qty Order]]-Table1[[#This Row],[Qty Accumulate]]))</f>
        <v>0</v>
      </c>
      <c r="U17">
        <f>((Table1[[#This Row],[Shift Output]]*Table1[[#This Row],[Part Weight (gm)]])/1000)+Table1[[#This Row],[Reject Startup (kg)]]+Table1[[#This Row],[Reject Purging (kg)]]+Table1[[#This Row],[Reject Preform (kg)]]</f>
        <v>0</v>
      </c>
      <c r="V17" s="37">
        <f>(Table1[[#This Row],[Gross Weight (gm)]]-Table1[[#This Row],[Part Weight (gm)]])*Table1[[#This Row],[Shift Output]]/1000</f>
        <v>0</v>
      </c>
      <c r="W17" s="3">
        <v>0</v>
      </c>
      <c r="X17" s="36" t="e">
        <f>Table1[[#This Row],[Reject Startup (kg)]]/Table1[[#This Row],[Material Used]]</f>
        <v>#DIV/0!</v>
      </c>
      <c r="Y17" s="3">
        <v>0</v>
      </c>
      <c r="Z17" s="36" t="e">
        <f>Table1[[#This Row],[Reject Prod (kg)]]/Table1[[#This Row],[Material Used]]</f>
        <v>#DIV/0!</v>
      </c>
      <c r="AA17" s="4">
        <v>0</v>
      </c>
      <c r="AB17" s="5">
        <v>12</v>
      </c>
      <c r="AC17" s="4" cm="1">
        <f t="array" ref="AC17">IFERROR(INDEX(ReferenceCard, MATCH(1, (INDEX(ReferenceCard,,1)=Table1[[#This Row],[SAP No]]) * (INDEX(ReferenceCard,,2)=Table1[[#This Row],[Mould No]]), 0), 9),)</f>
        <v>55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L17" s="2"/>
      <c r="AM17" s="2"/>
      <c r="AN17" s="3">
        <v>0</v>
      </c>
      <c r="AO17" s="3">
        <v>0</v>
      </c>
      <c r="AP1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" spans="1:42" x14ac:dyDescent="0.35">
      <c r="A18" s="1">
        <v>46022</v>
      </c>
      <c r="B18">
        <v>2</v>
      </c>
      <c r="C18" t="s">
        <v>35</v>
      </c>
      <c r="D18" t="str" cm="1">
        <f t="array" ref="D18">IFERROR(INDEX(ReferenceCard, MATCH(1, (INDEX(ReferenceCard,,1)=Table1[[#This Row],[SAP No]]) * (INDEX(ReferenceCard,,2)=Table1[[#This Row],[Mould No]]), 0), 6),)</f>
        <v>PPSB520Y</v>
      </c>
      <c r="E18">
        <v>552181</v>
      </c>
      <c r="F18">
        <v>1</v>
      </c>
      <c r="G18" t="str" cm="1">
        <f t="array" ref="G18">IFERROR(INDEX(ReferenceCard, MATCH(1, (INDEX(ReferenceCard,,1)=Table1[[#This Row],[SAP No]]) * (INDEX(ReferenceCard,,2)=Table1[[#This Row],[Mould No]]), 0), 3),)</f>
        <v>BC28-0090-D-APH-5180-3538-PP-6 NOTCHES-MOLD1</v>
      </c>
      <c r="H18">
        <v>0</v>
      </c>
      <c r="I18" cm="1">
        <f t="array" ref="I18">IFERROR(INDEX(ReferenceCard, MATCH(1, (INDEX(ReferenceCard,,1)=Table1[[#This Row],[SAP No]]) * (INDEX(ReferenceCard,,2)=Table1[[#This Row],[Mould No]]), 0), 4),)</f>
        <v>6</v>
      </c>
      <c r="J18" s="4" cm="1">
        <f t="array" ref="J18">IFERROR(INDEX(ReferenceCard, MATCH(1, (INDEX(ReferenceCard,,1)=Table1[[#This Row],[SAP No]]) * (INDEX(ReferenceCard,,2)=Table1[[#This Row],[Mould No]]), 0), 9),)</f>
        <v>18.8</v>
      </c>
      <c r="K18" s="4" cm="1">
        <f t="array" ref="K18">IFERROR(INDEX(ReferenceCard, MATCH(1, (INDEX(ReferenceCard,,1)=Table1[[#This Row],[SAP No]]) * (INDEX(ReferenceCard,,2)=Table1[[#This Row],[Mould No]]), 0), 7),)</f>
        <v>18.8</v>
      </c>
      <c r="L18">
        <v>0</v>
      </c>
      <c r="M18">
        <v>0</v>
      </c>
      <c r="N18">
        <v>0</v>
      </c>
      <c r="O18">
        <v>0</v>
      </c>
      <c r="P18">
        <f>Table1[[#This Row],[Shot]]*Table1[[#This Row],[Cav]]</f>
        <v>0</v>
      </c>
      <c r="Q18">
        <v>0</v>
      </c>
      <c r="R18">
        <f>(Table1[[#This Row],[Part Weight (gm)]]*Table1[[#This Row],[Finish Good]])/1000</f>
        <v>0</v>
      </c>
      <c r="S18">
        <v>0</v>
      </c>
      <c r="T18">
        <f>IF(Table1[[#This Row],[Qty Order]]="Sample","-",IF(Table1[[#This Row],[Qty Order]]="RTFN","-",Table1[[#This Row],[Qty Order]]-Table1[[#This Row],[Qty Accumulate]]))</f>
        <v>0</v>
      </c>
      <c r="U18">
        <f>((Table1[[#This Row],[Shift Output]]*Table1[[#This Row],[Part Weight (gm)]])/1000)+Table1[[#This Row],[Reject Startup (kg)]]+Table1[[#This Row],[Reject Purging (kg)]]+Table1[[#This Row],[Reject Preform (kg)]]</f>
        <v>0</v>
      </c>
      <c r="V18" s="37">
        <f>(Table1[[#This Row],[Gross Weight (gm)]]-Table1[[#This Row],[Part Weight (gm)]])*Table1[[#This Row],[Shift Output]]/1000</f>
        <v>0</v>
      </c>
      <c r="W18" s="3">
        <v>0</v>
      </c>
      <c r="X18" s="36" t="e">
        <f>Table1[[#This Row],[Reject Startup (kg)]]/Table1[[#This Row],[Material Used]]</f>
        <v>#DIV/0!</v>
      </c>
      <c r="Y18" s="3">
        <v>0</v>
      </c>
      <c r="Z18" s="36" t="e">
        <f>Table1[[#This Row],[Reject Prod (kg)]]/Table1[[#This Row],[Material Used]]</f>
        <v>#DIV/0!</v>
      </c>
      <c r="AA18" s="4">
        <v>0</v>
      </c>
      <c r="AB18" s="5">
        <v>12</v>
      </c>
      <c r="AC18" s="4" cm="1">
        <f t="array" ref="AC18">IFERROR(INDEX(ReferenceCard, MATCH(1, (INDEX(ReferenceCard,,1)=Table1[[#This Row],[SAP No]]) * (INDEX(ReferenceCard,,2)=Table1[[#This Row],[Mould No]]), 0), 9),)</f>
        <v>18.8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L18" s="2"/>
      <c r="AM18" s="2"/>
      <c r="AN18" s="3">
        <v>0</v>
      </c>
      <c r="AO18" s="3">
        <v>0</v>
      </c>
      <c r="AP1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" spans="1:42" x14ac:dyDescent="0.35">
      <c r="A19" s="1">
        <v>46022</v>
      </c>
      <c r="B19">
        <v>1</v>
      </c>
      <c r="C19" t="s">
        <v>0</v>
      </c>
      <c r="D19" t="str" cm="1">
        <f t="array" ref="D19">IFERROR(INDEX(ReferenceCard, MATCH(1, (INDEX(ReferenceCard,,1)=Table1[[#This Row],[SAP No]]) * (INDEX(ReferenceCard,,2)=Table1[[#This Row],[Mould No]]), 0), 6),)</f>
        <v>PET</v>
      </c>
      <c r="E19">
        <v>347623</v>
      </c>
      <c r="F19">
        <v>0</v>
      </c>
      <c r="G19" t="str" cm="1">
        <f t="array" ref="G19">IFERROR(INDEX(ReferenceCard, MATCH(1, (INDEX(ReferenceCard,,1)=Table1[[#This Row],[SAP No]]) * (INDEX(ReferenceCard,,2)=Table1[[#This Row],[Mould No]]), 0), 3),)</f>
        <v>BC28-0375-K-R-CL</v>
      </c>
      <c r="H19">
        <v>0</v>
      </c>
      <c r="I19" cm="1">
        <f t="array" ref="I19">IFERROR(INDEX(ReferenceCard, MATCH(1, (INDEX(ReferenceCard,,1)=Table1[[#This Row],[SAP No]]) * (INDEX(ReferenceCard,,2)=Table1[[#This Row],[Mould No]]), 0), 4),)</f>
        <v>4</v>
      </c>
      <c r="J19" s="4" cm="1">
        <f t="array" ref="J19">IFERROR(INDEX(ReferenceCard, MATCH(1, (INDEX(ReferenceCard,,1)=Table1[[#This Row],[SAP No]]) * (INDEX(ReferenceCard,,2)=Table1[[#This Row],[Mould No]]), 0), 9),)</f>
        <v>35.6</v>
      </c>
      <c r="K19" s="4" cm="1">
        <f t="array" ref="K19">IFERROR(INDEX(ReferenceCard, MATCH(1, (INDEX(ReferenceCard,,1)=Table1[[#This Row],[SAP No]]) * (INDEX(ReferenceCard,,2)=Table1[[#This Row],[Mould No]]), 0), 7),)</f>
        <v>35.6</v>
      </c>
      <c r="L19">
        <v>0</v>
      </c>
      <c r="M19">
        <v>0</v>
      </c>
      <c r="N19">
        <v>0</v>
      </c>
      <c r="O19">
        <v>0</v>
      </c>
      <c r="P19">
        <f>Table1[[#This Row],[Shot]]*Table1[[#This Row],[Cav]]</f>
        <v>0</v>
      </c>
      <c r="Q19">
        <v>0</v>
      </c>
      <c r="R19">
        <f>(Table1[[#This Row],[Part Weight (gm)]]*Table1[[#This Row],[Finish Good]])/1000</f>
        <v>0</v>
      </c>
      <c r="S19">
        <v>0</v>
      </c>
      <c r="T19">
        <f>IF(Table1[[#This Row],[Qty Order]]="Sample","-",IF(Table1[[#This Row],[Qty Order]]="RTFN","-",Table1[[#This Row],[Qty Order]]-Table1[[#This Row],[Qty Accumulate]]))</f>
        <v>0</v>
      </c>
      <c r="U19">
        <f>((Table1[[#This Row],[Shift Output]]*Table1[[#This Row],[Part Weight (gm)]])/1000)+Table1[[#This Row],[Reject Startup (kg)]]+Table1[[#This Row],[Reject Purging (kg)]]+Table1[[#This Row],[Reject Preform (kg)]]</f>
        <v>0</v>
      </c>
      <c r="V19" s="37">
        <f>(Table1[[#This Row],[Gross Weight (gm)]]-Table1[[#This Row],[Part Weight (gm)]])*Table1[[#This Row],[Shift Output]]/1000</f>
        <v>0</v>
      </c>
      <c r="W19" s="3">
        <v>0</v>
      </c>
      <c r="X19" s="36" t="e">
        <f>Table1[[#This Row],[Reject Startup (kg)]]/Table1[[#This Row],[Material Used]]</f>
        <v>#DIV/0!</v>
      </c>
      <c r="Y19" s="3">
        <v>0</v>
      </c>
      <c r="Z19" s="36" t="e">
        <f>Table1[[#This Row],[Reject Prod (kg)]]/Table1[[#This Row],[Material Used]]</f>
        <v>#DIV/0!</v>
      </c>
      <c r="AA19" s="4">
        <v>0</v>
      </c>
      <c r="AB19" s="5">
        <v>0</v>
      </c>
      <c r="AC19" s="4" cm="1">
        <f t="array" ref="AC19">IFERROR(INDEX(ReferenceCard, MATCH(1, (INDEX(ReferenceCard,,1)=Table1[[#This Row],[SAP No]]) * (INDEX(ReferenceCard,,2)=Table1[[#This Row],[Mould No]]), 0), 9),)</f>
        <v>35.6</v>
      </c>
      <c r="AD19" s="5">
        <v>0</v>
      </c>
      <c r="AE19" s="5">
        <v>0</v>
      </c>
      <c r="AF19" s="5">
        <v>0</v>
      </c>
      <c r="AG19" s="5">
        <v>12</v>
      </c>
      <c r="AH19" s="5">
        <v>0</v>
      </c>
      <c r="AI19" s="5">
        <v>0</v>
      </c>
      <c r="AJ19" s="5">
        <v>0</v>
      </c>
      <c r="AL19" s="2"/>
      <c r="AM19" s="2"/>
      <c r="AN19" s="3">
        <v>0</v>
      </c>
      <c r="AO19" s="3">
        <v>0</v>
      </c>
      <c r="AP1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" spans="1:42" x14ac:dyDescent="0.35">
      <c r="A20" s="1">
        <v>46022</v>
      </c>
      <c r="B20">
        <v>1</v>
      </c>
      <c r="C20" t="s">
        <v>3</v>
      </c>
      <c r="D20" t="str" cm="1">
        <f t="array" ref="D20">IFERROR(INDEX(ReferenceCard, MATCH(1, (INDEX(ReferenceCard,,1)=Table1[[#This Row],[SAP No]]) * (INDEX(ReferenceCard,,2)=Table1[[#This Row],[Mould No]]), 0), 6),)</f>
        <v>PET</v>
      </c>
      <c r="E20">
        <v>322493</v>
      </c>
      <c r="F20">
        <v>0</v>
      </c>
      <c r="G20" t="str" cm="1">
        <f t="array" ref="G20">IFERROR(INDEX(ReferenceCard, MATCH(1, (INDEX(ReferenceCard,,1)=Table1[[#This Row],[SAP No]]) * (INDEX(ReferenceCard,,2)=Table1[[#This Row],[Mould No]]), 0), 3),)</f>
        <v>BC28-0280-HD-R-CL-LW</v>
      </c>
      <c r="H20">
        <v>0</v>
      </c>
      <c r="I20" cm="1">
        <f t="array" ref="I20">IFERROR(INDEX(ReferenceCard, MATCH(1, (INDEX(ReferenceCard,,1)=Table1[[#This Row],[SAP No]]) * (INDEX(ReferenceCard,,2)=Table1[[#This Row],[Mould No]]), 0), 4),)</f>
        <v>4</v>
      </c>
      <c r="J20" s="4" cm="1">
        <f t="array" ref="J20">IFERROR(INDEX(ReferenceCard, MATCH(1, (INDEX(ReferenceCard,,1)=Table1[[#This Row],[SAP No]]) * (INDEX(ReferenceCard,,2)=Table1[[#This Row],[Mould No]]), 0), 9),)</f>
        <v>23</v>
      </c>
      <c r="K20" s="4" cm="1">
        <f t="array" ref="K20">IFERROR(INDEX(ReferenceCard, MATCH(1, (INDEX(ReferenceCard,,1)=Table1[[#This Row],[SAP No]]) * (INDEX(ReferenceCard,,2)=Table1[[#This Row],[Mould No]]), 0), 7),)</f>
        <v>23</v>
      </c>
      <c r="L20">
        <v>0</v>
      </c>
      <c r="M20">
        <v>0</v>
      </c>
      <c r="N20">
        <v>0</v>
      </c>
      <c r="O20">
        <v>0</v>
      </c>
      <c r="P20">
        <f>Table1[[#This Row],[Shot]]*Table1[[#This Row],[Cav]]</f>
        <v>0</v>
      </c>
      <c r="Q20">
        <v>0</v>
      </c>
      <c r="R20">
        <f>(Table1[[#This Row],[Part Weight (gm)]]*Table1[[#This Row],[Finish Good]])/1000</f>
        <v>0</v>
      </c>
      <c r="S20">
        <v>0</v>
      </c>
      <c r="T20">
        <f>IF(Table1[[#This Row],[Qty Order]]="Sample","-",IF(Table1[[#This Row],[Qty Order]]="RTFN","-",Table1[[#This Row],[Qty Order]]-Table1[[#This Row],[Qty Accumulate]]))</f>
        <v>0</v>
      </c>
      <c r="U20">
        <f>((Table1[[#This Row],[Shift Output]]*Table1[[#This Row],[Part Weight (gm)]])/1000)+Table1[[#This Row],[Reject Startup (kg)]]+Table1[[#This Row],[Reject Purging (kg)]]+Table1[[#This Row],[Reject Preform (kg)]]</f>
        <v>0</v>
      </c>
      <c r="V20" s="37">
        <f>(Table1[[#This Row],[Gross Weight (gm)]]-Table1[[#This Row],[Part Weight (gm)]])*Table1[[#This Row],[Shift Output]]/1000</f>
        <v>0</v>
      </c>
      <c r="W20" s="3">
        <v>0</v>
      </c>
      <c r="X20" s="36" t="e">
        <f>Table1[[#This Row],[Reject Startup (kg)]]/Table1[[#This Row],[Material Used]]</f>
        <v>#DIV/0!</v>
      </c>
      <c r="Y20" s="3">
        <v>0</v>
      </c>
      <c r="Z20" s="36" t="e">
        <f>Table1[[#This Row],[Reject Prod (kg)]]/Table1[[#This Row],[Material Used]]</f>
        <v>#DIV/0!</v>
      </c>
      <c r="AA20" s="4">
        <v>0</v>
      </c>
      <c r="AB20" s="5">
        <v>12</v>
      </c>
      <c r="AC20" s="4" cm="1">
        <f t="array" ref="AC20">IFERROR(INDEX(ReferenceCard, MATCH(1, (INDEX(ReferenceCard,,1)=Table1[[#This Row],[SAP No]]) * (INDEX(ReferenceCard,,2)=Table1[[#This Row],[Mould No]]), 0), 9),)</f>
        <v>23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L20" s="2"/>
      <c r="AM20" s="2"/>
      <c r="AN20" s="3">
        <v>0</v>
      </c>
      <c r="AO20" s="3">
        <v>0</v>
      </c>
      <c r="AP2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" spans="1:42" x14ac:dyDescent="0.35">
      <c r="A21" s="1">
        <v>46022</v>
      </c>
      <c r="B21">
        <v>1</v>
      </c>
      <c r="C21" t="s">
        <v>5</v>
      </c>
      <c r="D21" t="str" cm="1">
        <f t="array" ref="D21">IFERROR(INDEX(ReferenceCard, MATCH(1, (INDEX(ReferenceCard,,1)=Table1[[#This Row],[SAP No]]) * (INDEX(ReferenceCard,,2)=Table1[[#This Row],[Mould No]]), 0), 6),)</f>
        <v>PET</v>
      </c>
      <c r="E21">
        <v>442034</v>
      </c>
      <c r="F21">
        <v>0</v>
      </c>
      <c r="G21" t="str" cm="1">
        <f t="array" ref="G21">IFERROR(INDEX(ReferenceCard, MATCH(1, (INDEX(ReferenceCard,,1)=Table1[[#This Row],[SAP No]]) * (INDEX(ReferenceCard,,2)=Table1[[#This Row],[Mould No]]), 0), 3),)</f>
        <v>BC28-0250-Z-S-CL</v>
      </c>
      <c r="H21">
        <v>0</v>
      </c>
      <c r="I21" cm="1">
        <f t="array" ref="I21">IFERROR(INDEX(ReferenceCard, MATCH(1, (INDEX(ReferenceCard,,1)=Table1[[#This Row],[SAP No]]) * (INDEX(ReferenceCard,,2)=Table1[[#This Row],[Mould No]]), 0), 4),)</f>
        <v>4</v>
      </c>
      <c r="J21" s="4" cm="1">
        <f t="array" ref="J21">IFERROR(INDEX(ReferenceCard, MATCH(1, (INDEX(ReferenceCard,,1)=Table1[[#This Row],[SAP No]]) * (INDEX(ReferenceCard,,2)=Table1[[#This Row],[Mould No]]), 0), 9),)</f>
        <v>23</v>
      </c>
      <c r="K21" s="4" cm="1">
        <f t="array" ref="K21">IFERROR(INDEX(ReferenceCard, MATCH(1, (INDEX(ReferenceCard,,1)=Table1[[#This Row],[SAP No]]) * (INDEX(ReferenceCard,,2)=Table1[[#This Row],[Mould No]]), 0), 7),)</f>
        <v>23</v>
      </c>
      <c r="L21">
        <v>0</v>
      </c>
      <c r="M21">
        <v>0</v>
      </c>
      <c r="N21">
        <v>0</v>
      </c>
      <c r="O21">
        <v>0</v>
      </c>
      <c r="P21">
        <f>Table1[[#This Row],[Shot]]*Table1[[#This Row],[Cav]]</f>
        <v>0</v>
      </c>
      <c r="Q21">
        <v>0</v>
      </c>
      <c r="R21">
        <f>(Table1[[#This Row],[Part Weight (gm)]]*Table1[[#This Row],[Finish Good]])/1000</f>
        <v>0</v>
      </c>
      <c r="S21">
        <v>0</v>
      </c>
      <c r="T21">
        <f>IF(Table1[[#This Row],[Qty Order]]="Sample","-",IF(Table1[[#This Row],[Qty Order]]="RTFN","-",Table1[[#This Row],[Qty Order]]-Table1[[#This Row],[Qty Accumulate]]))</f>
        <v>0</v>
      </c>
      <c r="U21">
        <f>((Table1[[#This Row],[Shift Output]]*Table1[[#This Row],[Part Weight (gm)]])/1000)+Table1[[#This Row],[Reject Startup (kg)]]+Table1[[#This Row],[Reject Purging (kg)]]+Table1[[#This Row],[Reject Preform (kg)]]</f>
        <v>0</v>
      </c>
      <c r="V21" s="37">
        <f>(Table1[[#This Row],[Gross Weight (gm)]]-Table1[[#This Row],[Part Weight (gm)]])*Table1[[#This Row],[Shift Output]]/1000</f>
        <v>0</v>
      </c>
      <c r="W21" s="3">
        <v>0</v>
      </c>
      <c r="X21" s="36" t="e">
        <f>Table1[[#This Row],[Reject Startup (kg)]]/Table1[[#This Row],[Material Used]]</f>
        <v>#DIV/0!</v>
      </c>
      <c r="Y21" s="3">
        <v>0</v>
      </c>
      <c r="Z21" s="36" t="e">
        <f>Table1[[#This Row],[Reject Prod (kg)]]/Table1[[#This Row],[Material Used]]</f>
        <v>#DIV/0!</v>
      </c>
      <c r="AA21" s="4">
        <v>0</v>
      </c>
      <c r="AB21" s="5">
        <v>12</v>
      </c>
      <c r="AC21" s="4" cm="1">
        <f t="array" ref="AC21">IFERROR(INDEX(ReferenceCard, MATCH(1, (INDEX(ReferenceCard,,1)=Table1[[#This Row],[SAP No]]) * (INDEX(ReferenceCard,,2)=Table1[[#This Row],[Mould No]]), 0), 9),)</f>
        <v>23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L21" s="2"/>
      <c r="AM21" s="2"/>
      <c r="AN21" s="3">
        <v>0</v>
      </c>
      <c r="AO21" s="3">
        <v>0</v>
      </c>
      <c r="AP2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" spans="1:42" x14ac:dyDescent="0.35">
      <c r="A22" s="1">
        <v>46022</v>
      </c>
      <c r="B22">
        <v>1</v>
      </c>
      <c r="C22" t="s">
        <v>7</v>
      </c>
      <c r="D22" t="str" cm="1">
        <f t="array" ref="D22">IFERROR(INDEX(ReferenceCard, MATCH(1, (INDEX(ReferenceCard,,1)=Table1[[#This Row],[SAP No]]) * (INDEX(ReferenceCard,,2)=Table1[[#This Row],[Mould No]]), 0), 6),)</f>
        <v>PET</v>
      </c>
      <c r="E22">
        <v>426555</v>
      </c>
      <c r="F22">
        <v>0</v>
      </c>
      <c r="G22" t="str" cm="1">
        <f t="array" ref="G22">IFERROR(INDEX(ReferenceCard, MATCH(1, (INDEX(ReferenceCard,,1)=Table1[[#This Row],[SAP No]]) * (INDEX(ReferenceCard,,2)=Table1[[#This Row],[Mould No]]), 0), 3),)</f>
        <v>BX38-0330-Z-S-CL-HW</v>
      </c>
      <c r="H22">
        <v>0</v>
      </c>
      <c r="I22" cm="1">
        <f t="array" ref="I22">IFERROR(INDEX(ReferenceCard, MATCH(1, (INDEX(ReferenceCard,,1)=Table1[[#This Row],[SAP No]]) * (INDEX(ReferenceCard,,2)=Table1[[#This Row],[Mould No]]), 0), 4),)</f>
        <v>4</v>
      </c>
      <c r="J22" s="4" cm="1">
        <f t="array" ref="J22">IFERROR(INDEX(ReferenceCard, MATCH(1, (INDEX(ReferenceCard,,1)=Table1[[#This Row],[SAP No]]) * (INDEX(ReferenceCard,,2)=Table1[[#This Row],[Mould No]]), 0), 9),)</f>
        <v>29</v>
      </c>
      <c r="K22" s="4" cm="1">
        <f t="array" ref="K22">IFERROR(INDEX(ReferenceCard, MATCH(1, (INDEX(ReferenceCard,,1)=Table1[[#This Row],[SAP No]]) * (INDEX(ReferenceCard,,2)=Table1[[#This Row],[Mould No]]), 0), 7),)</f>
        <v>29</v>
      </c>
      <c r="L22">
        <v>0</v>
      </c>
      <c r="M22">
        <v>0</v>
      </c>
      <c r="N22">
        <v>0</v>
      </c>
      <c r="O22">
        <v>0</v>
      </c>
      <c r="P22">
        <f>Table1[[#This Row],[Shot]]*Table1[[#This Row],[Cav]]</f>
        <v>0</v>
      </c>
      <c r="Q22">
        <v>0</v>
      </c>
      <c r="R22">
        <f>(Table1[[#This Row],[Part Weight (gm)]]*Table1[[#This Row],[Finish Good]])/1000</f>
        <v>0</v>
      </c>
      <c r="S22">
        <v>0</v>
      </c>
      <c r="T22">
        <f>IF(Table1[[#This Row],[Qty Order]]="Sample","-",IF(Table1[[#This Row],[Qty Order]]="RTFN","-",Table1[[#This Row],[Qty Order]]-Table1[[#This Row],[Qty Accumulate]]))</f>
        <v>0</v>
      </c>
      <c r="U22">
        <f>((Table1[[#This Row],[Shift Output]]*Table1[[#This Row],[Part Weight (gm)]])/1000)+Table1[[#This Row],[Reject Startup (kg)]]+Table1[[#This Row],[Reject Purging (kg)]]+Table1[[#This Row],[Reject Preform (kg)]]</f>
        <v>0</v>
      </c>
      <c r="V22" s="37">
        <f>(Table1[[#This Row],[Gross Weight (gm)]]-Table1[[#This Row],[Part Weight (gm)]])*Table1[[#This Row],[Shift Output]]/1000</f>
        <v>0</v>
      </c>
      <c r="W22" s="3">
        <v>0</v>
      </c>
      <c r="X22" s="36" t="e">
        <f>Table1[[#This Row],[Reject Startup (kg)]]/Table1[[#This Row],[Material Used]]</f>
        <v>#DIV/0!</v>
      </c>
      <c r="Y22" s="3">
        <v>0</v>
      </c>
      <c r="Z22" s="36" t="e">
        <f>Table1[[#This Row],[Reject Prod (kg)]]/Table1[[#This Row],[Material Used]]</f>
        <v>#DIV/0!</v>
      </c>
      <c r="AA22" s="4">
        <v>0</v>
      </c>
      <c r="AB22" s="5">
        <v>0</v>
      </c>
      <c r="AC22" s="4" cm="1">
        <f t="array" ref="AC22">IFERROR(INDEX(ReferenceCard, MATCH(1, (INDEX(ReferenceCard,,1)=Table1[[#This Row],[SAP No]]) * (INDEX(ReferenceCard,,2)=Table1[[#This Row],[Mould No]]), 0), 9),)</f>
        <v>29</v>
      </c>
      <c r="AD22" s="5">
        <v>0</v>
      </c>
      <c r="AE22" s="5">
        <v>0</v>
      </c>
      <c r="AF22" s="5">
        <v>0</v>
      </c>
      <c r="AG22" s="5">
        <v>0</v>
      </c>
      <c r="AH22" s="5">
        <v>12</v>
      </c>
      <c r="AI22" s="5">
        <v>0</v>
      </c>
      <c r="AJ22" s="5">
        <v>0</v>
      </c>
      <c r="AL22" s="2"/>
      <c r="AM22" s="2"/>
      <c r="AN22" s="3">
        <v>0</v>
      </c>
      <c r="AO22" s="3">
        <v>0</v>
      </c>
      <c r="AP2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" spans="1:42" x14ac:dyDescent="0.35">
      <c r="A23" s="1">
        <v>46022</v>
      </c>
      <c r="B23">
        <v>1</v>
      </c>
      <c r="C23" t="s">
        <v>9</v>
      </c>
      <c r="D23" t="str" cm="1">
        <f t="array" ref="D23">IFERROR(INDEX(ReferenceCard, MATCH(1, (INDEX(ReferenceCard,,1)=Table1[[#This Row],[SAP No]]) * (INDEX(ReferenceCard,,2)=Table1[[#This Row],[Mould No]]), 0), 6),)</f>
        <v>PET</v>
      </c>
      <c r="E23">
        <v>611949</v>
      </c>
      <c r="F23">
        <v>0</v>
      </c>
      <c r="G23" t="str" cm="1">
        <f t="array" ref="G23">IFERROR(INDEX(ReferenceCard, MATCH(1, (INDEX(ReferenceCard,,1)=Table1[[#This Row],[SAP No]]) * (INDEX(ReferenceCard,,2)=Table1[[#This Row],[Mould No]]), 0), 3),)</f>
        <v>BBX38-0150-R-AM</v>
      </c>
      <c r="H23">
        <v>0</v>
      </c>
      <c r="I23" cm="1">
        <f t="array" ref="I23">IFERROR(INDEX(ReferenceCard, MATCH(1, (INDEX(ReferenceCard,,1)=Table1[[#This Row],[SAP No]]) * (INDEX(ReferenceCard,,2)=Table1[[#This Row],[Mould No]]), 0), 4),)</f>
        <v>4</v>
      </c>
      <c r="J23" s="4" cm="1">
        <f t="array" ref="J23">IFERROR(INDEX(ReferenceCard, MATCH(1, (INDEX(ReferenceCard,,1)=Table1[[#This Row],[SAP No]]) * (INDEX(ReferenceCard,,2)=Table1[[#This Row],[Mould No]]), 0), 9),)</f>
        <v>23</v>
      </c>
      <c r="K23" s="4" cm="1">
        <f t="array" ref="K23">IFERROR(INDEX(ReferenceCard, MATCH(1, (INDEX(ReferenceCard,,1)=Table1[[#This Row],[SAP No]]) * (INDEX(ReferenceCard,,2)=Table1[[#This Row],[Mould No]]), 0), 7),)</f>
        <v>23</v>
      </c>
      <c r="L23">
        <v>0</v>
      </c>
      <c r="M23">
        <v>0</v>
      </c>
      <c r="N23">
        <v>0</v>
      </c>
      <c r="O23">
        <v>0</v>
      </c>
      <c r="P23">
        <f>Table1[[#This Row],[Shot]]*Table1[[#This Row],[Cav]]</f>
        <v>0</v>
      </c>
      <c r="Q23">
        <v>0</v>
      </c>
      <c r="R23">
        <f>(Table1[[#This Row],[Part Weight (gm)]]*Table1[[#This Row],[Finish Good]])/1000</f>
        <v>0</v>
      </c>
      <c r="S23">
        <v>0</v>
      </c>
      <c r="T23">
        <f>IF(Table1[[#This Row],[Qty Order]]="Sample","-",IF(Table1[[#This Row],[Qty Order]]="RTFN","-",Table1[[#This Row],[Qty Order]]-Table1[[#This Row],[Qty Accumulate]]))</f>
        <v>0</v>
      </c>
      <c r="U23">
        <f>((Table1[[#This Row],[Shift Output]]*Table1[[#This Row],[Part Weight (gm)]])/1000)+Table1[[#This Row],[Reject Startup (kg)]]+Table1[[#This Row],[Reject Purging (kg)]]+Table1[[#This Row],[Reject Preform (kg)]]</f>
        <v>0</v>
      </c>
      <c r="V23" s="37">
        <f>(Table1[[#This Row],[Gross Weight (gm)]]-Table1[[#This Row],[Part Weight (gm)]])*Table1[[#This Row],[Shift Output]]/1000</f>
        <v>0</v>
      </c>
      <c r="W23" s="3">
        <v>0</v>
      </c>
      <c r="X23" s="36" t="e">
        <f>Table1[[#This Row],[Reject Startup (kg)]]/Table1[[#This Row],[Material Used]]</f>
        <v>#DIV/0!</v>
      </c>
      <c r="Y23" s="3">
        <v>0</v>
      </c>
      <c r="Z23" s="36" t="e">
        <f>Table1[[#This Row],[Reject Prod (kg)]]/Table1[[#This Row],[Material Used]]</f>
        <v>#DIV/0!</v>
      </c>
      <c r="AA23" s="4">
        <v>0</v>
      </c>
      <c r="AB23" s="5">
        <v>12</v>
      </c>
      <c r="AC23" s="4" cm="1">
        <f t="array" ref="AC23">IFERROR(INDEX(ReferenceCard, MATCH(1, (INDEX(ReferenceCard,,1)=Table1[[#This Row],[SAP No]]) * (INDEX(ReferenceCard,,2)=Table1[[#This Row],[Mould No]]), 0), 9),)</f>
        <v>23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L23" s="2"/>
      <c r="AM23" s="2"/>
      <c r="AN23" s="3">
        <v>0</v>
      </c>
      <c r="AO23" s="3">
        <v>0</v>
      </c>
      <c r="AP2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" spans="1:42" x14ac:dyDescent="0.35">
      <c r="A24" s="1">
        <v>46022</v>
      </c>
      <c r="B24">
        <v>1</v>
      </c>
      <c r="C24" t="s">
        <v>11</v>
      </c>
      <c r="D24" t="str" cm="1">
        <f t="array" ref="D24">IFERROR(INDEX(ReferenceCard, MATCH(1, (INDEX(ReferenceCard,,1)=Table1[[#This Row],[SAP No]]) * (INDEX(ReferenceCard,,2)=Table1[[#This Row],[Mould No]]), 0), 6),)</f>
        <v>rPET</v>
      </c>
      <c r="E24">
        <v>620994</v>
      </c>
      <c r="F24">
        <v>0</v>
      </c>
      <c r="G24" t="str" cm="1">
        <f t="array" ref="G24">IFERROR(INDEX(ReferenceCard, MATCH(1, (INDEX(ReferenceCard,,1)=Table1[[#This Row],[SAP No]]) * (INDEX(ReferenceCard,,2)=Table1[[#This Row],[Mould No]]), 0), 3),)</f>
        <v>JJ63-0400-SH-S-CL-rPET</v>
      </c>
      <c r="H24">
        <v>0</v>
      </c>
      <c r="I24" cm="1">
        <f t="array" ref="I24">IFERROR(INDEX(ReferenceCard, MATCH(1, (INDEX(ReferenceCard,,1)=Table1[[#This Row],[SAP No]]) * (INDEX(ReferenceCard,,2)=Table1[[#This Row],[Mould No]]), 0), 4),)</f>
        <v>4</v>
      </c>
      <c r="J24" s="4" cm="1">
        <f t="array" ref="J24">IFERROR(INDEX(ReferenceCard, MATCH(1, (INDEX(ReferenceCard,,1)=Table1[[#This Row],[SAP No]]) * (INDEX(ReferenceCard,,2)=Table1[[#This Row],[Mould No]]), 0), 9),)</f>
        <v>32.74</v>
      </c>
      <c r="K24" s="4" cm="1">
        <f t="array" ref="K24">IFERROR(INDEX(ReferenceCard, MATCH(1, (INDEX(ReferenceCard,,1)=Table1[[#This Row],[SAP No]]) * (INDEX(ReferenceCard,,2)=Table1[[#This Row],[Mould No]]), 0), 7),)</f>
        <v>33</v>
      </c>
      <c r="L24">
        <v>0</v>
      </c>
      <c r="M24">
        <v>0</v>
      </c>
      <c r="N24">
        <v>0</v>
      </c>
      <c r="O24">
        <v>0</v>
      </c>
      <c r="P24">
        <f>Table1[[#This Row],[Shot]]*Table1[[#This Row],[Cav]]</f>
        <v>0</v>
      </c>
      <c r="Q24">
        <v>0</v>
      </c>
      <c r="R24">
        <f>(Table1[[#This Row],[Part Weight (gm)]]*Table1[[#This Row],[Finish Good]])/1000</f>
        <v>0</v>
      </c>
      <c r="S24">
        <v>0</v>
      </c>
      <c r="T24">
        <f>IF(Table1[[#This Row],[Qty Order]]="Sample","-",IF(Table1[[#This Row],[Qty Order]]="RTFN","-",Table1[[#This Row],[Qty Order]]-Table1[[#This Row],[Qty Accumulate]]))</f>
        <v>0</v>
      </c>
      <c r="U24">
        <f>((Table1[[#This Row],[Shift Output]]*Table1[[#This Row],[Part Weight (gm)]])/1000)+Table1[[#This Row],[Reject Startup (kg)]]+Table1[[#This Row],[Reject Purging (kg)]]+Table1[[#This Row],[Reject Preform (kg)]]</f>
        <v>0</v>
      </c>
      <c r="V24" s="37">
        <f>(Table1[[#This Row],[Gross Weight (gm)]]-Table1[[#This Row],[Part Weight (gm)]])*Table1[[#This Row],[Shift Output]]/1000</f>
        <v>0</v>
      </c>
      <c r="W24" s="3">
        <v>0</v>
      </c>
      <c r="X24" s="36" t="e">
        <f>Table1[[#This Row],[Reject Startup (kg)]]/Table1[[#This Row],[Material Used]]</f>
        <v>#DIV/0!</v>
      </c>
      <c r="Y24" s="3">
        <v>0</v>
      </c>
      <c r="Z24" s="36" t="e">
        <f>Table1[[#This Row],[Reject Prod (kg)]]/Table1[[#This Row],[Material Used]]</f>
        <v>#DIV/0!</v>
      </c>
      <c r="AA24" s="4">
        <v>0</v>
      </c>
      <c r="AB24" s="5">
        <v>12</v>
      </c>
      <c r="AC24" s="4" cm="1">
        <f t="array" ref="AC24">IFERROR(INDEX(ReferenceCard, MATCH(1, (INDEX(ReferenceCard,,1)=Table1[[#This Row],[SAP No]]) * (INDEX(ReferenceCard,,2)=Table1[[#This Row],[Mould No]]), 0), 9),)</f>
        <v>32.74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L24" s="2"/>
      <c r="AM24" s="2"/>
      <c r="AN24" s="3">
        <v>0</v>
      </c>
      <c r="AO24" s="3">
        <v>0</v>
      </c>
      <c r="AP2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" spans="1:42" x14ac:dyDescent="0.35">
      <c r="A25" s="1">
        <v>46022</v>
      </c>
      <c r="B25">
        <v>1</v>
      </c>
      <c r="C25" t="s">
        <v>14</v>
      </c>
      <c r="D25" t="str" cm="1">
        <f t="array" ref="D25">IFERROR(INDEX(ReferenceCard, MATCH(1, (INDEX(ReferenceCard,,1)=Table1[[#This Row],[SAP No]]) * (INDEX(ReferenceCard,,2)=Table1[[#This Row],[Mould No]]), 0), 6),)</f>
        <v>PET</v>
      </c>
      <c r="E25">
        <v>324165</v>
      </c>
      <c r="F25">
        <v>0</v>
      </c>
      <c r="G25" t="str" cm="1">
        <f t="array" ref="G25">IFERROR(INDEX(ReferenceCard, MATCH(1, (INDEX(ReferenceCard,,1)=Table1[[#This Row],[SAP No]]) * (INDEX(ReferenceCard,,2)=Table1[[#This Row],[Mould No]]), 0), 3),)</f>
        <v>JJ63-0400-SH-S-WH</v>
      </c>
      <c r="H25">
        <v>0</v>
      </c>
      <c r="I25" cm="1">
        <f t="array" ref="I25">IFERROR(INDEX(ReferenceCard, MATCH(1, (INDEX(ReferenceCard,,1)=Table1[[#This Row],[SAP No]]) * (INDEX(ReferenceCard,,2)=Table1[[#This Row],[Mould No]]), 0), 4),)</f>
        <v>4</v>
      </c>
      <c r="J25" s="4" cm="1">
        <f t="array" ref="J25">IFERROR(INDEX(ReferenceCard, MATCH(1, (INDEX(ReferenceCard,,1)=Table1[[#This Row],[SAP No]]) * (INDEX(ReferenceCard,,2)=Table1[[#This Row],[Mould No]]), 0), 9),)</f>
        <v>32.56</v>
      </c>
      <c r="K25" s="4" cm="1">
        <f t="array" ref="K25">IFERROR(INDEX(ReferenceCard, MATCH(1, (INDEX(ReferenceCard,,1)=Table1[[#This Row],[SAP No]]) * (INDEX(ReferenceCard,,2)=Table1[[#This Row],[Mould No]]), 0), 7),)</f>
        <v>33</v>
      </c>
      <c r="L25">
        <v>0</v>
      </c>
      <c r="M25">
        <v>0</v>
      </c>
      <c r="N25">
        <v>0</v>
      </c>
      <c r="O25">
        <v>0</v>
      </c>
      <c r="P25">
        <f>Table1[[#This Row],[Shot]]*Table1[[#This Row],[Cav]]</f>
        <v>0</v>
      </c>
      <c r="Q25">
        <v>0</v>
      </c>
      <c r="R25">
        <f>(Table1[[#This Row],[Part Weight (gm)]]*Table1[[#This Row],[Finish Good]])/1000</f>
        <v>0</v>
      </c>
      <c r="S25">
        <v>0</v>
      </c>
      <c r="T25">
        <f>IF(Table1[[#This Row],[Qty Order]]="Sample","-",IF(Table1[[#This Row],[Qty Order]]="RTFN","-",Table1[[#This Row],[Qty Order]]-Table1[[#This Row],[Qty Accumulate]]))</f>
        <v>0</v>
      </c>
      <c r="U25">
        <f>((Table1[[#This Row],[Shift Output]]*Table1[[#This Row],[Part Weight (gm)]])/1000)+Table1[[#This Row],[Reject Startup (kg)]]+Table1[[#This Row],[Reject Purging (kg)]]+Table1[[#This Row],[Reject Preform (kg)]]</f>
        <v>0</v>
      </c>
      <c r="V25" s="37">
        <f>(Table1[[#This Row],[Gross Weight (gm)]]-Table1[[#This Row],[Part Weight (gm)]])*Table1[[#This Row],[Shift Output]]/1000</f>
        <v>0</v>
      </c>
      <c r="W25" s="3">
        <v>0</v>
      </c>
      <c r="X25" s="36" t="e">
        <f>Table1[[#This Row],[Reject Startup (kg)]]/Table1[[#This Row],[Material Used]]</f>
        <v>#DIV/0!</v>
      </c>
      <c r="Y25" s="3">
        <v>0</v>
      </c>
      <c r="Z25" s="36" t="e">
        <f>Table1[[#This Row],[Reject Prod (kg)]]/Table1[[#This Row],[Material Used]]</f>
        <v>#DIV/0!</v>
      </c>
      <c r="AA25" s="4">
        <v>0</v>
      </c>
      <c r="AB25" s="5">
        <v>12</v>
      </c>
      <c r="AC25" s="4" cm="1">
        <f t="array" ref="AC25">IFERROR(INDEX(ReferenceCard, MATCH(1, (INDEX(ReferenceCard,,1)=Table1[[#This Row],[SAP No]]) * (INDEX(ReferenceCard,,2)=Table1[[#This Row],[Mould No]]), 0), 9),)</f>
        <v>32.56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L25" s="2"/>
      <c r="AM25" s="2"/>
      <c r="AN25" s="3">
        <v>0</v>
      </c>
      <c r="AO25" s="3">
        <v>0</v>
      </c>
      <c r="AP2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" spans="1:42" x14ac:dyDescent="0.35">
      <c r="A26" s="1">
        <v>46022</v>
      </c>
      <c r="B26">
        <v>1</v>
      </c>
      <c r="C26" t="s">
        <v>16</v>
      </c>
      <c r="D26" t="str" cm="1">
        <f t="array" ref="D26">IFERROR(INDEX(ReferenceCard, MATCH(1, (INDEX(ReferenceCard,,1)=Table1[[#This Row],[SAP No]]) * (INDEX(ReferenceCard,,2)=Table1[[#This Row],[Mould No]]), 0), 6),)</f>
        <v>PET</v>
      </c>
      <c r="E26">
        <v>324638</v>
      </c>
      <c r="F26">
        <v>0</v>
      </c>
      <c r="G26" t="str" cm="1">
        <f t="array" ref="G26">IFERROR(INDEX(ReferenceCard, MATCH(1, (INDEX(ReferenceCard,,1)=Table1[[#This Row],[SAP No]]) * (INDEX(ReferenceCard,,2)=Table1[[#This Row],[Mould No]]), 0), 3),)</f>
        <v>BX38-2000-GH-R-CL (GREEN) (ASEM)</v>
      </c>
      <c r="H26">
        <v>0</v>
      </c>
      <c r="I26" cm="1">
        <f t="array" ref="I26">IFERROR(INDEX(ReferenceCard, MATCH(1, (INDEX(ReferenceCard,,1)=Table1[[#This Row],[SAP No]]) * (INDEX(ReferenceCard,,2)=Table1[[#This Row],[Mould No]]), 0), 4),)</f>
        <v>4</v>
      </c>
      <c r="J26" s="4" cm="1">
        <f t="array" ref="J26">IFERROR(INDEX(ReferenceCard, MATCH(1, (INDEX(ReferenceCard,,1)=Table1[[#This Row],[SAP No]]) * (INDEX(ReferenceCard,,2)=Table1[[#This Row],[Mould No]]), 0), 9),)</f>
        <v>77.5</v>
      </c>
      <c r="K26" s="4" cm="1">
        <f t="array" ref="K26">IFERROR(INDEX(ReferenceCard, MATCH(1, (INDEX(ReferenceCard,,1)=Table1[[#This Row],[SAP No]]) * (INDEX(ReferenceCard,,2)=Table1[[#This Row],[Mould No]]), 0), 7),)</f>
        <v>77.5</v>
      </c>
      <c r="L26">
        <v>0</v>
      </c>
      <c r="M26">
        <v>0</v>
      </c>
      <c r="N26">
        <v>0</v>
      </c>
      <c r="O26">
        <v>0</v>
      </c>
      <c r="P26">
        <f>Table1[[#This Row],[Shot]]*Table1[[#This Row],[Cav]]</f>
        <v>0</v>
      </c>
      <c r="Q26">
        <v>0</v>
      </c>
      <c r="R26">
        <f>(Table1[[#This Row],[Part Weight (gm)]]*Table1[[#This Row],[Finish Good]])/1000</f>
        <v>0</v>
      </c>
      <c r="S26">
        <v>0</v>
      </c>
      <c r="T26">
        <f>IF(Table1[[#This Row],[Qty Order]]="Sample","-",IF(Table1[[#This Row],[Qty Order]]="RTFN","-",Table1[[#This Row],[Qty Order]]-Table1[[#This Row],[Qty Accumulate]]))</f>
        <v>0</v>
      </c>
      <c r="U26">
        <f>((Table1[[#This Row],[Shift Output]]*Table1[[#This Row],[Part Weight (gm)]])/1000)+Table1[[#This Row],[Reject Startup (kg)]]+Table1[[#This Row],[Reject Purging (kg)]]+Table1[[#This Row],[Reject Preform (kg)]]</f>
        <v>0</v>
      </c>
      <c r="V26" s="37">
        <f>(Table1[[#This Row],[Gross Weight (gm)]]-Table1[[#This Row],[Part Weight (gm)]])*Table1[[#This Row],[Shift Output]]/1000</f>
        <v>0</v>
      </c>
      <c r="W26" s="3">
        <v>0</v>
      </c>
      <c r="X26" s="36" t="e">
        <f>Table1[[#This Row],[Reject Startup (kg)]]/Table1[[#This Row],[Material Used]]</f>
        <v>#DIV/0!</v>
      </c>
      <c r="Y26" s="3">
        <v>0</v>
      </c>
      <c r="Z26" s="36" t="e">
        <f>Table1[[#This Row],[Reject Prod (kg)]]/Table1[[#This Row],[Material Used]]</f>
        <v>#DIV/0!</v>
      </c>
      <c r="AA26" s="4">
        <v>0</v>
      </c>
      <c r="AB26" s="5">
        <v>12</v>
      </c>
      <c r="AC26" s="4" cm="1">
        <f t="array" ref="AC26">IFERROR(INDEX(ReferenceCard, MATCH(1, (INDEX(ReferenceCard,,1)=Table1[[#This Row],[SAP No]]) * (INDEX(ReferenceCard,,2)=Table1[[#This Row],[Mould No]]), 0), 9),)</f>
        <v>77.5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L26" s="2"/>
      <c r="AM26" s="2"/>
      <c r="AN26" s="3">
        <v>0</v>
      </c>
      <c r="AO26" s="3">
        <v>0</v>
      </c>
      <c r="AP2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" spans="1:42" x14ac:dyDescent="0.35">
      <c r="A27" s="1">
        <v>46022</v>
      </c>
      <c r="B27">
        <v>1</v>
      </c>
      <c r="C27" t="s">
        <v>23</v>
      </c>
      <c r="D27" t="str" cm="1">
        <f t="array" ref="D27">IFERROR(INDEX(ReferenceCard, MATCH(1, (INDEX(ReferenceCard,,1)=Table1[[#This Row],[SAP No]]) * (INDEX(ReferenceCard,,2)=Table1[[#This Row],[Mould No]]), 0), 6),)</f>
        <v>PPSB520Y</v>
      </c>
      <c r="E27">
        <v>586276</v>
      </c>
      <c r="F27">
        <v>2</v>
      </c>
      <c r="G27" t="str" cm="1">
        <f t="array" ref="G27">IFERROR(INDEX(ReferenceCard, MATCH(1, (INDEX(ReferenceCard,,1)=Table1[[#This Row],[SAP No]]) * (INDEX(ReferenceCard,,2)=Table1[[#This Row],[Mould No]]), 0), 3),)</f>
        <v>BC28-0056-D-APH-LEB-604001-MOLD2</v>
      </c>
      <c r="H27">
        <v>0</v>
      </c>
      <c r="I27" cm="1">
        <f t="array" ref="I27">IFERROR(INDEX(ReferenceCard, MATCH(1, (INDEX(ReferenceCard,,1)=Table1[[#This Row],[SAP No]]) * (INDEX(ReferenceCard,,2)=Table1[[#This Row],[Mould No]]), 0), 4),)</f>
        <v>6</v>
      </c>
      <c r="J27" s="4" cm="1">
        <f t="array" ref="J27">IFERROR(INDEX(ReferenceCard, MATCH(1, (INDEX(ReferenceCard,,1)=Table1[[#This Row],[SAP No]]) * (INDEX(ReferenceCard,,2)=Table1[[#This Row],[Mould No]]), 0), 9),)</f>
        <v>12.3</v>
      </c>
      <c r="K27" s="4" cm="1">
        <f t="array" ref="K27">IFERROR(INDEX(ReferenceCard, MATCH(1, (INDEX(ReferenceCard,,1)=Table1[[#This Row],[SAP No]]) * (INDEX(ReferenceCard,,2)=Table1[[#This Row],[Mould No]]), 0), 7),)</f>
        <v>12.3</v>
      </c>
      <c r="L27">
        <v>0</v>
      </c>
      <c r="M27">
        <v>0</v>
      </c>
      <c r="N27">
        <v>0</v>
      </c>
      <c r="O27">
        <v>0</v>
      </c>
      <c r="P27">
        <f>Table1[[#This Row],[Shot]]*Table1[[#This Row],[Cav]]</f>
        <v>0</v>
      </c>
      <c r="Q27">
        <v>0</v>
      </c>
      <c r="R27">
        <f>(Table1[[#This Row],[Part Weight (gm)]]*Table1[[#This Row],[Finish Good]])/1000</f>
        <v>0</v>
      </c>
      <c r="S27">
        <v>0</v>
      </c>
      <c r="T27">
        <f>IF(Table1[[#This Row],[Qty Order]]="Sample","-",IF(Table1[[#This Row],[Qty Order]]="RTFN","-",Table1[[#This Row],[Qty Order]]-Table1[[#This Row],[Qty Accumulate]]))</f>
        <v>0</v>
      </c>
      <c r="U27">
        <f>((Table1[[#This Row],[Shift Output]]*Table1[[#This Row],[Part Weight (gm)]])/1000)+Table1[[#This Row],[Reject Startup (kg)]]+Table1[[#This Row],[Reject Purging (kg)]]+Table1[[#This Row],[Reject Preform (kg)]]</f>
        <v>0</v>
      </c>
      <c r="V27" s="37">
        <f>(Table1[[#This Row],[Gross Weight (gm)]]-Table1[[#This Row],[Part Weight (gm)]])*Table1[[#This Row],[Shift Output]]/1000</f>
        <v>0</v>
      </c>
      <c r="W27" s="3">
        <v>0</v>
      </c>
      <c r="X27" s="36" t="e">
        <f>Table1[[#This Row],[Reject Startup (kg)]]/Table1[[#This Row],[Material Used]]</f>
        <v>#DIV/0!</v>
      </c>
      <c r="Y27" s="3">
        <v>0</v>
      </c>
      <c r="Z27" s="36" t="e">
        <f>Table1[[#This Row],[Reject Prod (kg)]]/Table1[[#This Row],[Material Used]]</f>
        <v>#DIV/0!</v>
      </c>
      <c r="AA27" s="4">
        <v>0</v>
      </c>
      <c r="AB27" s="5">
        <v>12</v>
      </c>
      <c r="AC27" s="4" cm="1">
        <f t="array" ref="AC27">IFERROR(INDEX(ReferenceCard, MATCH(1, (INDEX(ReferenceCard,,1)=Table1[[#This Row],[SAP No]]) * (INDEX(ReferenceCard,,2)=Table1[[#This Row],[Mould No]]), 0), 9),)</f>
        <v>12.3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L27" s="2"/>
      <c r="AM27" s="2"/>
      <c r="AN27" s="3">
        <v>0</v>
      </c>
      <c r="AO27" s="3">
        <v>0</v>
      </c>
      <c r="AP2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" spans="1:42" x14ac:dyDescent="0.35">
      <c r="A28" s="1">
        <v>46022</v>
      </c>
      <c r="B28">
        <v>1</v>
      </c>
      <c r="C28" t="s">
        <v>25</v>
      </c>
      <c r="D28" t="str" cm="1">
        <f t="array" ref="D28">IFERROR(INDEX(ReferenceCard, MATCH(1, (INDEX(ReferenceCard,,1)=Table1[[#This Row],[SAP No]]) * (INDEX(ReferenceCard,,2)=Table1[[#This Row],[Mould No]]), 0), 6),)</f>
        <v>PET</v>
      </c>
      <c r="E28">
        <v>323133</v>
      </c>
      <c r="F28">
        <v>0</v>
      </c>
      <c r="G28" t="str" cm="1">
        <f t="array" ref="G28">IFERROR(INDEX(ReferenceCard, MATCH(1, (INDEX(ReferenceCard,,1)=Table1[[#This Row],[SAP No]]) * (INDEX(ReferenceCard,,2)=Table1[[#This Row],[Mould No]]), 0), 3),)</f>
        <v>BX38-2000-RH-R-CL(GREEN) (ASEM)</v>
      </c>
      <c r="H28">
        <v>0</v>
      </c>
      <c r="I28" cm="1">
        <f t="array" ref="I28">IFERROR(INDEX(ReferenceCard, MATCH(1, (INDEX(ReferenceCard,,1)=Table1[[#This Row],[SAP No]]) * (INDEX(ReferenceCard,,2)=Table1[[#This Row],[Mould No]]), 0), 4),)</f>
        <v>4</v>
      </c>
      <c r="J28" s="4" cm="1">
        <f t="array" ref="J28">IFERROR(INDEX(ReferenceCard, MATCH(1, (INDEX(ReferenceCard,,1)=Table1[[#This Row],[SAP No]]) * (INDEX(ReferenceCard,,2)=Table1[[#This Row],[Mould No]]), 0), 9),)</f>
        <v>77</v>
      </c>
      <c r="K28" s="4" cm="1">
        <f t="array" ref="K28">IFERROR(INDEX(ReferenceCard, MATCH(1, (INDEX(ReferenceCard,,1)=Table1[[#This Row],[SAP No]]) * (INDEX(ReferenceCard,,2)=Table1[[#This Row],[Mould No]]), 0), 7),)</f>
        <v>77</v>
      </c>
      <c r="L28">
        <v>0</v>
      </c>
      <c r="M28">
        <v>0</v>
      </c>
      <c r="N28">
        <v>0</v>
      </c>
      <c r="O28">
        <v>0</v>
      </c>
      <c r="P28">
        <f>Table1[[#This Row],[Shot]]*Table1[[#This Row],[Cav]]</f>
        <v>0</v>
      </c>
      <c r="Q28">
        <v>0</v>
      </c>
      <c r="R28">
        <f>(Table1[[#This Row],[Part Weight (gm)]]*Table1[[#This Row],[Finish Good]])/1000</f>
        <v>0</v>
      </c>
      <c r="S28">
        <v>0</v>
      </c>
      <c r="T28">
        <f>IF(Table1[[#This Row],[Qty Order]]="Sample","-",IF(Table1[[#This Row],[Qty Order]]="RTFN","-",Table1[[#This Row],[Qty Order]]-Table1[[#This Row],[Qty Accumulate]]))</f>
        <v>0</v>
      </c>
      <c r="U28">
        <f>((Table1[[#This Row],[Shift Output]]*Table1[[#This Row],[Part Weight (gm)]])/1000)+Table1[[#This Row],[Reject Startup (kg)]]+Table1[[#This Row],[Reject Purging (kg)]]+Table1[[#This Row],[Reject Preform (kg)]]</f>
        <v>0</v>
      </c>
      <c r="V28" s="37">
        <f>(Table1[[#This Row],[Gross Weight (gm)]]-Table1[[#This Row],[Part Weight (gm)]])*Table1[[#This Row],[Shift Output]]/1000</f>
        <v>0</v>
      </c>
      <c r="W28" s="3">
        <v>0</v>
      </c>
      <c r="X28" s="36" t="e">
        <f>Table1[[#This Row],[Reject Startup (kg)]]/Table1[[#This Row],[Material Used]]</f>
        <v>#DIV/0!</v>
      </c>
      <c r="Y28" s="3">
        <v>0</v>
      </c>
      <c r="Z28" s="36" t="e">
        <f>Table1[[#This Row],[Reject Prod (kg)]]/Table1[[#This Row],[Material Used]]</f>
        <v>#DIV/0!</v>
      </c>
      <c r="AA28" s="4">
        <v>0</v>
      </c>
      <c r="AB28" s="5">
        <v>12</v>
      </c>
      <c r="AC28" s="4" cm="1">
        <f t="array" ref="AC28">IFERROR(INDEX(ReferenceCard, MATCH(1, (INDEX(ReferenceCard,,1)=Table1[[#This Row],[SAP No]]) * (INDEX(ReferenceCard,,2)=Table1[[#This Row],[Mould No]]), 0), 9),)</f>
        <v>77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L28" s="2"/>
      <c r="AM28" s="2"/>
      <c r="AN28" s="3">
        <v>0</v>
      </c>
      <c r="AO28" s="3">
        <v>0</v>
      </c>
      <c r="AP2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" spans="1:42" x14ac:dyDescent="0.35">
      <c r="A29" s="1">
        <v>46022</v>
      </c>
      <c r="B29">
        <v>1</v>
      </c>
      <c r="C29" t="s">
        <v>27</v>
      </c>
      <c r="D29" t="str" cm="1">
        <f t="array" ref="D29">IFERROR(INDEX(ReferenceCard, MATCH(1, (INDEX(ReferenceCard,,1)=Table1[[#This Row],[SAP No]]) * (INDEX(ReferenceCard,,2)=Table1[[#This Row],[Mould No]]), 0), 6),)</f>
        <v>PPSB520Y</v>
      </c>
      <c r="E29">
        <v>552181</v>
      </c>
      <c r="F29">
        <v>4</v>
      </c>
      <c r="G29" t="str" cm="1">
        <f t="array" ref="G29">IFERROR(INDEX(ReferenceCard, MATCH(1, (INDEX(ReferenceCard,,1)=Table1[[#This Row],[SAP No]]) * (INDEX(ReferenceCard,,2)=Table1[[#This Row],[Mould No]]), 0), 3),)</f>
        <v>BC28-0090-D-APH-5180-3538-PP-6 NOTCHES-MOLD4</v>
      </c>
      <c r="H29">
        <v>0</v>
      </c>
      <c r="I29" cm="1">
        <f t="array" ref="I29">IFERROR(INDEX(ReferenceCard, MATCH(1, (INDEX(ReferenceCard,,1)=Table1[[#This Row],[SAP No]]) * (INDEX(ReferenceCard,,2)=Table1[[#This Row],[Mould No]]), 0), 4),)</f>
        <v>6</v>
      </c>
      <c r="J29" s="4" cm="1">
        <f t="array" ref="J29">IFERROR(INDEX(ReferenceCard, MATCH(1, (INDEX(ReferenceCard,,1)=Table1[[#This Row],[SAP No]]) * (INDEX(ReferenceCard,,2)=Table1[[#This Row],[Mould No]]), 0), 9),)</f>
        <v>18.8</v>
      </c>
      <c r="K29" s="4" cm="1">
        <f t="array" ref="K29">IFERROR(INDEX(ReferenceCard, MATCH(1, (INDEX(ReferenceCard,,1)=Table1[[#This Row],[SAP No]]) * (INDEX(ReferenceCard,,2)=Table1[[#This Row],[Mould No]]), 0), 7),)</f>
        <v>18.8</v>
      </c>
      <c r="L29">
        <v>0</v>
      </c>
      <c r="M29">
        <v>0</v>
      </c>
      <c r="N29">
        <v>0</v>
      </c>
      <c r="O29">
        <v>0</v>
      </c>
      <c r="P29">
        <f>Table1[[#This Row],[Shot]]*Table1[[#This Row],[Cav]]</f>
        <v>0</v>
      </c>
      <c r="Q29">
        <v>0</v>
      </c>
      <c r="R29">
        <f>(Table1[[#This Row],[Part Weight (gm)]]*Table1[[#This Row],[Finish Good]])/1000</f>
        <v>0</v>
      </c>
      <c r="S29">
        <v>0</v>
      </c>
      <c r="T29">
        <f>IF(Table1[[#This Row],[Qty Order]]="Sample","-",IF(Table1[[#This Row],[Qty Order]]="RTFN","-",Table1[[#This Row],[Qty Order]]-Table1[[#This Row],[Qty Accumulate]]))</f>
        <v>0</v>
      </c>
      <c r="U29">
        <f>((Table1[[#This Row],[Shift Output]]*Table1[[#This Row],[Part Weight (gm)]])/1000)+Table1[[#This Row],[Reject Startup (kg)]]+Table1[[#This Row],[Reject Purging (kg)]]+Table1[[#This Row],[Reject Preform (kg)]]</f>
        <v>0</v>
      </c>
      <c r="V29" s="37">
        <f>(Table1[[#This Row],[Gross Weight (gm)]]-Table1[[#This Row],[Part Weight (gm)]])*Table1[[#This Row],[Shift Output]]/1000</f>
        <v>0</v>
      </c>
      <c r="W29" s="3">
        <v>0</v>
      </c>
      <c r="X29" s="36" t="e">
        <f>Table1[[#This Row],[Reject Startup (kg)]]/Table1[[#This Row],[Material Used]]</f>
        <v>#DIV/0!</v>
      </c>
      <c r="Y29" s="3">
        <v>0</v>
      </c>
      <c r="Z29" s="36" t="e">
        <f>Table1[[#This Row],[Reject Prod (kg)]]/Table1[[#This Row],[Material Used]]</f>
        <v>#DIV/0!</v>
      </c>
      <c r="AA29" s="4">
        <v>0</v>
      </c>
      <c r="AB29" s="5">
        <v>12</v>
      </c>
      <c r="AC29" s="4" cm="1">
        <f t="array" ref="AC29">IFERROR(INDEX(ReferenceCard, MATCH(1, (INDEX(ReferenceCard,,1)=Table1[[#This Row],[SAP No]]) * (INDEX(ReferenceCard,,2)=Table1[[#This Row],[Mould No]]), 0), 9),)</f>
        <v>18.8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L29" s="2"/>
      <c r="AM29" s="2"/>
      <c r="AN29" s="3">
        <v>0</v>
      </c>
      <c r="AO29" s="3">
        <v>0</v>
      </c>
      <c r="AP2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" spans="1:42" x14ac:dyDescent="0.35">
      <c r="A30" s="1">
        <v>46022</v>
      </c>
      <c r="B30">
        <v>1</v>
      </c>
      <c r="C30" t="s">
        <v>29</v>
      </c>
      <c r="D30" t="str" cm="1">
        <f t="array" ref="D30">IFERROR(INDEX(ReferenceCard, MATCH(1, (INDEX(ReferenceCard,,1)=Table1[[#This Row],[SAP No]]) * (INDEX(ReferenceCard,,2)=Table1[[#This Row],[Mould No]]), 0), 6),)</f>
        <v>PET</v>
      </c>
      <c r="E30">
        <v>620599</v>
      </c>
      <c r="F30">
        <v>0</v>
      </c>
      <c r="G30" t="str" cm="1">
        <f t="array" ref="G30">IFERROR(INDEX(ReferenceCard, MATCH(1, (INDEX(ReferenceCard,,1)=Table1[[#This Row],[SAP No]]) * (INDEX(ReferenceCard,,2)=Table1[[#This Row],[Mould No]]), 0), 3),)</f>
        <v>BC28-0750-K4-R-CL (55g)</v>
      </c>
      <c r="H30">
        <v>0</v>
      </c>
      <c r="I30" cm="1">
        <f t="array" ref="I30">IFERROR(INDEX(ReferenceCard, MATCH(1, (INDEX(ReferenceCard,,1)=Table1[[#This Row],[SAP No]]) * (INDEX(ReferenceCard,,2)=Table1[[#This Row],[Mould No]]), 0), 4),)</f>
        <v>4</v>
      </c>
      <c r="J30" s="4" cm="1">
        <f t="array" ref="J30">IFERROR(INDEX(ReferenceCard, MATCH(1, (INDEX(ReferenceCard,,1)=Table1[[#This Row],[SAP No]]) * (INDEX(ReferenceCard,,2)=Table1[[#This Row],[Mould No]]), 0), 9),)</f>
        <v>55</v>
      </c>
      <c r="K30" s="4" cm="1">
        <f t="array" ref="K30">IFERROR(INDEX(ReferenceCard, MATCH(1, (INDEX(ReferenceCard,,1)=Table1[[#This Row],[SAP No]]) * (INDEX(ReferenceCard,,2)=Table1[[#This Row],[Mould No]]), 0), 7),)</f>
        <v>55</v>
      </c>
      <c r="L30">
        <v>0</v>
      </c>
      <c r="M30">
        <v>0</v>
      </c>
      <c r="N30">
        <v>0</v>
      </c>
      <c r="O30">
        <v>0</v>
      </c>
      <c r="P30">
        <f>Table1[[#This Row],[Shot]]*Table1[[#This Row],[Cav]]</f>
        <v>0</v>
      </c>
      <c r="Q30">
        <v>0</v>
      </c>
      <c r="R30">
        <f>(Table1[[#This Row],[Part Weight (gm)]]*Table1[[#This Row],[Finish Good]])/1000</f>
        <v>0</v>
      </c>
      <c r="S30">
        <v>0</v>
      </c>
      <c r="T30">
        <f>IF(Table1[[#This Row],[Qty Order]]="Sample","-",IF(Table1[[#This Row],[Qty Order]]="RTFN","-",Table1[[#This Row],[Qty Order]]-Table1[[#This Row],[Qty Accumulate]]))</f>
        <v>0</v>
      </c>
      <c r="U30">
        <f>((Table1[[#This Row],[Shift Output]]*Table1[[#This Row],[Part Weight (gm)]])/1000)+Table1[[#This Row],[Reject Startup (kg)]]+Table1[[#This Row],[Reject Purging (kg)]]+Table1[[#This Row],[Reject Preform (kg)]]</f>
        <v>0</v>
      </c>
      <c r="V30" s="37">
        <f>(Table1[[#This Row],[Gross Weight (gm)]]-Table1[[#This Row],[Part Weight (gm)]])*Table1[[#This Row],[Shift Output]]/1000</f>
        <v>0</v>
      </c>
      <c r="W30" s="3">
        <v>0</v>
      </c>
      <c r="X30" s="36" t="e">
        <f>Table1[[#This Row],[Reject Startup (kg)]]/Table1[[#This Row],[Material Used]]</f>
        <v>#DIV/0!</v>
      </c>
      <c r="Y30" s="3">
        <v>0</v>
      </c>
      <c r="Z30" s="36" t="e">
        <f>Table1[[#This Row],[Reject Prod (kg)]]/Table1[[#This Row],[Material Used]]</f>
        <v>#DIV/0!</v>
      </c>
      <c r="AA30" s="4">
        <v>0</v>
      </c>
      <c r="AB30" s="5">
        <v>12</v>
      </c>
      <c r="AC30" s="4" cm="1">
        <f t="array" ref="AC30">IFERROR(INDEX(ReferenceCard, MATCH(1, (INDEX(ReferenceCard,,1)=Table1[[#This Row],[SAP No]]) * (INDEX(ReferenceCard,,2)=Table1[[#This Row],[Mould No]]), 0), 9),)</f>
        <v>55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L30" s="2"/>
      <c r="AM30" s="2"/>
      <c r="AN30" s="3">
        <v>0</v>
      </c>
      <c r="AO30" s="3">
        <v>0</v>
      </c>
      <c r="AP3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" spans="1:42" x14ac:dyDescent="0.35">
      <c r="A31" s="1">
        <v>46022</v>
      </c>
      <c r="B31">
        <v>1</v>
      </c>
      <c r="C31" t="s">
        <v>31</v>
      </c>
      <c r="D31" t="str" cm="1">
        <f t="array" ref="D31">IFERROR(INDEX(ReferenceCard, MATCH(1, (INDEX(ReferenceCard,,1)=Table1[[#This Row],[SAP No]]) * (INDEX(ReferenceCard,,2)=Table1[[#This Row],[Mould No]]), 0), 6),)</f>
        <v>PPSB520Y</v>
      </c>
      <c r="E31">
        <v>586276</v>
      </c>
      <c r="F31">
        <v>4</v>
      </c>
      <c r="G31" t="str" cm="1">
        <f t="array" ref="G31">IFERROR(INDEX(ReferenceCard, MATCH(1, (INDEX(ReferenceCard,,1)=Table1[[#This Row],[SAP No]]) * (INDEX(ReferenceCard,,2)=Table1[[#This Row],[Mould No]]), 0), 3),)</f>
        <v>BC28-0056-D-APH-LEB-604001-MOLD4</v>
      </c>
      <c r="H31">
        <v>0</v>
      </c>
      <c r="I31" cm="1">
        <f t="array" ref="I31">IFERROR(INDEX(ReferenceCard, MATCH(1, (INDEX(ReferenceCard,,1)=Table1[[#This Row],[SAP No]]) * (INDEX(ReferenceCard,,2)=Table1[[#This Row],[Mould No]]), 0), 4),)</f>
        <v>6</v>
      </c>
      <c r="J31" s="4" cm="1">
        <f t="array" ref="J31">IFERROR(INDEX(ReferenceCard, MATCH(1, (INDEX(ReferenceCard,,1)=Table1[[#This Row],[SAP No]]) * (INDEX(ReferenceCard,,2)=Table1[[#This Row],[Mould No]]), 0), 9),)</f>
        <v>12.3</v>
      </c>
      <c r="K31" s="4" cm="1">
        <f t="array" ref="K31">IFERROR(INDEX(ReferenceCard, MATCH(1, (INDEX(ReferenceCard,,1)=Table1[[#This Row],[SAP No]]) * (INDEX(ReferenceCard,,2)=Table1[[#This Row],[Mould No]]), 0), 7),)</f>
        <v>12.3</v>
      </c>
      <c r="L31">
        <v>0</v>
      </c>
      <c r="M31">
        <v>0</v>
      </c>
      <c r="N31">
        <v>0</v>
      </c>
      <c r="O31">
        <v>0</v>
      </c>
      <c r="P31">
        <f>Table1[[#This Row],[Shot]]*Table1[[#This Row],[Cav]]</f>
        <v>0</v>
      </c>
      <c r="Q31">
        <v>0</v>
      </c>
      <c r="R31">
        <f>(Table1[[#This Row],[Part Weight (gm)]]*Table1[[#This Row],[Finish Good]])/1000</f>
        <v>0</v>
      </c>
      <c r="S31">
        <v>0</v>
      </c>
      <c r="T31">
        <f>IF(Table1[[#This Row],[Qty Order]]="Sample","-",IF(Table1[[#This Row],[Qty Order]]="RTFN","-",Table1[[#This Row],[Qty Order]]-Table1[[#This Row],[Qty Accumulate]]))</f>
        <v>0</v>
      </c>
      <c r="U31">
        <f>((Table1[[#This Row],[Shift Output]]*Table1[[#This Row],[Part Weight (gm)]])/1000)+Table1[[#This Row],[Reject Startup (kg)]]+Table1[[#This Row],[Reject Purging (kg)]]+Table1[[#This Row],[Reject Preform (kg)]]</f>
        <v>0</v>
      </c>
      <c r="V31" s="37">
        <f>(Table1[[#This Row],[Gross Weight (gm)]]-Table1[[#This Row],[Part Weight (gm)]])*Table1[[#This Row],[Shift Output]]/1000</f>
        <v>0</v>
      </c>
      <c r="W31" s="3">
        <v>0</v>
      </c>
      <c r="X31" s="36" t="e">
        <f>Table1[[#This Row],[Reject Startup (kg)]]/Table1[[#This Row],[Material Used]]</f>
        <v>#DIV/0!</v>
      </c>
      <c r="Y31" s="3">
        <v>0</v>
      </c>
      <c r="Z31" s="36" t="e">
        <f>Table1[[#This Row],[Reject Prod (kg)]]/Table1[[#This Row],[Material Used]]</f>
        <v>#DIV/0!</v>
      </c>
      <c r="AA31" s="4">
        <v>0</v>
      </c>
      <c r="AB31" s="5">
        <v>12</v>
      </c>
      <c r="AC31" s="4" cm="1">
        <f t="array" ref="AC31">IFERROR(INDEX(ReferenceCard, MATCH(1, (INDEX(ReferenceCard,,1)=Table1[[#This Row],[SAP No]]) * (INDEX(ReferenceCard,,2)=Table1[[#This Row],[Mould No]]), 0), 9),)</f>
        <v>12.3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L31" s="2"/>
      <c r="AM31" s="2"/>
      <c r="AN31" s="3">
        <v>0</v>
      </c>
      <c r="AO31" s="3">
        <v>0</v>
      </c>
      <c r="AP3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" spans="1:42" x14ac:dyDescent="0.35">
      <c r="A32" s="1">
        <v>46022</v>
      </c>
      <c r="B32">
        <v>1</v>
      </c>
      <c r="C32" t="s">
        <v>33</v>
      </c>
      <c r="D32" t="str" cm="1">
        <f t="array" ref="D32">IFERROR(INDEX(ReferenceCard, MATCH(1, (INDEX(ReferenceCard,,1)=Table1[[#This Row],[SAP No]]) * (INDEX(ReferenceCard,,2)=Table1[[#This Row],[Mould No]]), 0), 6),)</f>
        <v>PET</v>
      </c>
      <c r="E32">
        <v>541381</v>
      </c>
      <c r="F32">
        <v>0</v>
      </c>
      <c r="G32" t="str" cm="1">
        <f t="array" ref="G32">IFERROR(INDEX(ReferenceCard, MATCH(1, (INDEX(ReferenceCard,,1)=Table1[[#This Row],[SAP No]]) * (INDEX(ReferenceCard,,2)=Table1[[#This Row],[Mould No]]), 0), 3),)</f>
        <v>BC28-1200-K-R-CL</v>
      </c>
      <c r="H32">
        <v>0</v>
      </c>
      <c r="I32" cm="1">
        <f t="array" ref="I32">IFERROR(INDEX(ReferenceCard, MATCH(1, (INDEX(ReferenceCard,,1)=Table1[[#This Row],[SAP No]]) * (INDEX(ReferenceCard,,2)=Table1[[#This Row],[Mould No]]), 0), 4),)</f>
        <v>4</v>
      </c>
      <c r="J32" s="4" cm="1">
        <f t="array" ref="J32">IFERROR(INDEX(ReferenceCard, MATCH(1, (INDEX(ReferenceCard,,1)=Table1[[#This Row],[SAP No]]) * (INDEX(ReferenceCard,,2)=Table1[[#This Row],[Mould No]]), 0), 9),)</f>
        <v>55</v>
      </c>
      <c r="K32" s="4" cm="1">
        <f t="array" ref="K32">IFERROR(INDEX(ReferenceCard, MATCH(1, (INDEX(ReferenceCard,,1)=Table1[[#This Row],[SAP No]]) * (INDEX(ReferenceCard,,2)=Table1[[#This Row],[Mould No]]), 0), 7),)</f>
        <v>55</v>
      </c>
      <c r="L32">
        <v>0</v>
      </c>
      <c r="M32">
        <v>0</v>
      </c>
      <c r="N32">
        <v>0</v>
      </c>
      <c r="O32">
        <v>0</v>
      </c>
      <c r="P32">
        <f>Table1[[#This Row],[Shot]]*Table1[[#This Row],[Cav]]</f>
        <v>0</v>
      </c>
      <c r="Q32">
        <v>0</v>
      </c>
      <c r="R32">
        <f>(Table1[[#This Row],[Part Weight (gm)]]*Table1[[#This Row],[Finish Good]])/1000</f>
        <v>0</v>
      </c>
      <c r="S32">
        <v>0</v>
      </c>
      <c r="T32">
        <f>IF(Table1[[#This Row],[Qty Order]]="Sample","-",IF(Table1[[#This Row],[Qty Order]]="RTFN","-",Table1[[#This Row],[Qty Order]]-Table1[[#This Row],[Qty Accumulate]]))</f>
        <v>0</v>
      </c>
      <c r="U32">
        <f>((Table1[[#This Row],[Shift Output]]*Table1[[#This Row],[Part Weight (gm)]])/1000)+Table1[[#This Row],[Reject Startup (kg)]]+Table1[[#This Row],[Reject Purging (kg)]]+Table1[[#This Row],[Reject Preform (kg)]]</f>
        <v>0</v>
      </c>
      <c r="V32" s="37">
        <f>(Table1[[#This Row],[Gross Weight (gm)]]-Table1[[#This Row],[Part Weight (gm)]])*Table1[[#This Row],[Shift Output]]/1000</f>
        <v>0</v>
      </c>
      <c r="W32" s="3">
        <v>0</v>
      </c>
      <c r="X32" s="36" t="e">
        <f>Table1[[#This Row],[Reject Startup (kg)]]/Table1[[#This Row],[Material Used]]</f>
        <v>#DIV/0!</v>
      </c>
      <c r="Y32" s="3">
        <v>0</v>
      </c>
      <c r="Z32" s="36" t="e">
        <f>Table1[[#This Row],[Reject Prod (kg)]]/Table1[[#This Row],[Material Used]]</f>
        <v>#DIV/0!</v>
      </c>
      <c r="AA32" s="4">
        <v>0</v>
      </c>
      <c r="AB32" s="5">
        <v>12</v>
      </c>
      <c r="AC32" s="4" cm="1">
        <f t="array" ref="AC32">IFERROR(INDEX(ReferenceCard, MATCH(1, (INDEX(ReferenceCard,,1)=Table1[[#This Row],[SAP No]]) * (INDEX(ReferenceCard,,2)=Table1[[#This Row],[Mould No]]), 0), 9),)</f>
        <v>55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L32" s="2"/>
      <c r="AM32" s="2"/>
      <c r="AN32" s="3">
        <v>0</v>
      </c>
      <c r="AO32" s="3">
        <v>0</v>
      </c>
      <c r="AP3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" spans="1:42" x14ac:dyDescent="0.35">
      <c r="A33" s="1">
        <v>46022</v>
      </c>
      <c r="B33">
        <v>1</v>
      </c>
      <c r="C33" t="s">
        <v>35</v>
      </c>
      <c r="D33" t="str" cm="1">
        <f t="array" ref="D33">IFERROR(INDEX(ReferenceCard, MATCH(1, (INDEX(ReferenceCard,,1)=Table1[[#This Row],[SAP No]]) * (INDEX(ReferenceCard,,2)=Table1[[#This Row],[Mould No]]), 0), 6),)</f>
        <v>PPSB520Y</v>
      </c>
      <c r="E33">
        <v>552181</v>
      </c>
      <c r="F33">
        <v>1</v>
      </c>
      <c r="G33" t="str" cm="1">
        <f t="array" ref="G33">IFERROR(INDEX(ReferenceCard, MATCH(1, (INDEX(ReferenceCard,,1)=Table1[[#This Row],[SAP No]]) * (INDEX(ReferenceCard,,2)=Table1[[#This Row],[Mould No]]), 0), 3),)</f>
        <v>BC28-0090-D-APH-5180-3538-PP-6 NOTCHES-MOLD1</v>
      </c>
      <c r="H33">
        <v>0</v>
      </c>
      <c r="I33" cm="1">
        <f t="array" ref="I33">IFERROR(INDEX(ReferenceCard, MATCH(1, (INDEX(ReferenceCard,,1)=Table1[[#This Row],[SAP No]]) * (INDEX(ReferenceCard,,2)=Table1[[#This Row],[Mould No]]), 0), 4),)</f>
        <v>6</v>
      </c>
      <c r="J33" s="4" cm="1">
        <f t="array" ref="J33">IFERROR(INDEX(ReferenceCard, MATCH(1, (INDEX(ReferenceCard,,1)=Table1[[#This Row],[SAP No]]) * (INDEX(ReferenceCard,,2)=Table1[[#This Row],[Mould No]]), 0), 9),)</f>
        <v>18.8</v>
      </c>
      <c r="K33" s="4" cm="1">
        <f t="array" ref="K33">IFERROR(INDEX(ReferenceCard, MATCH(1, (INDEX(ReferenceCard,,1)=Table1[[#This Row],[SAP No]]) * (INDEX(ReferenceCard,,2)=Table1[[#This Row],[Mould No]]), 0), 7),)</f>
        <v>18.8</v>
      </c>
      <c r="L33">
        <v>0</v>
      </c>
      <c r="M33">
        <v>0</v>
      </c>
      <c r="N33">
        <v>0</v>
      </c>
      <c r="O33">
        <v>0</v>
      </c>
      <c r="P33">
        <f>Table1[[#This Row],[Shot]]*Table1[[#This Row],[Cav]]</f>
        <v>0</v>
      </c>
      <c r="Q33">
        <v>0</v>
      </c>
      <c r="R33">
        <f>(Table1[[#This Row],[Part Weight (gm)]]*Table1[[#This Row],[Finish Good]])/1000</f>
        <v>0</v>
      </c>
      <c r="S33">
        <v>0</v>
      </c>
      <c r="T33">
        <f>IF(Table1[[#This Row],[Qty Order]]="Sample","-",IF(Table1[[#This Row],[Qty Order]]="RTFN","-",Table1[[#This Row],[Qty Order]]-Table1[[#This Row],[Qty Accumulate]]))</f>
        <v>0</v>
      </c>
      <c r="U33">
        <f>((Table1[[#This Row],[Shift Output]]*Table1[[#This Row],[Part Weight (gm)]])/1000)+Table1[[#This Row],[Reject Startup (kg)]]+Table1[[#This Row],[Reject Purging (kg)]]+Table1[[#This Row],[Reject Preform (kg)]]</f>
        <v>0</v>
      </c>
      <c r="V33" s="37">
        <f>(Table1[[#This Row],[Gross Weight (gm)]]-Table1[[#This Row],[Part Weight (gm)]])*Table1[[#This Row],[Shift Output]]/1000</f>
        <v>0</v>
      </c>
      <c r="W33" s="3">
        <v>0</v>
      </c>
      <c r="X33" s="36" t="e">
        <f>Table1[[#This Row],[Reject Startup (kg)]]/Table1[[#This Row],[Material Used]]</f>
        <v>#DIV/0!</v>
      </c>
      <c r="Y33" s="3">
        <v>0</v>
      </c>
      <c r="Z33" s="36" t="e">
        <f>Table1[[#This Row],[Reject Prod (kg)]]/Table1[[#This Row],[Material Used]]</f>
        <v>#DIV/0!</v>
      </c>
      <c r="AA33" s="4">
        <v>0</v>
      </c>
      <c r="AB33" s="5">
        <v>12</v>
      </c>
      <c r="AC33" s="4" cm="1">
        <f t="array" ref="AC33">IFERROR(INDEX(ReferenceCard, MATCH(1, (INDEX(ReferenceCard,,1)=Table1[[#This Row],[SAP No]]) * (INDEX(ReferenceCard,,2)=Table1[[#This Row],[Mould No]]), 0), 9),)</f>
        <v>18.8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L33" s="2"/>
      <c r="AM33" s="2"/>
      <c r="AN33" s="3">
        <v>0</v>
      </c>
      <c r="AO33" s="3">
        <v>0</v>
      </c>
      <c r="AP3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" spans="1:42" x14ac:dyDescent="0.35">
      <c r="A34" s="1">
        <v>46022</v>
      </c>
      <c r="B34">
        <v>1</v>
      </c>
      <c r="C34" t="s">
        <v>18</v>
      </c>
      <c r="D34" t="str" cm="1">
        <f t="array" ref="D34">IFERROR(INDEX(ReferenceCard, MATCH(1, (INDEX(ReferenceCard,,1)=Table1[[#This Row],[SAP No]]) * (INDEX(ReferenceCard,,2)=Table1[[#This Row],[Mould No]]), 0), 6),)</f>
        <v>PPSB520Y</v>
      </c>
      <c r="E34">
        <v>555979</v>
      </c>
      <c r="F34">
        <v>4</v>
      </c>
      <c r="G34" t="str" cm="1">
        <f t="array" ref="G34">IFERROR(INDEX(ReferenceCard, MATCH(1, (INDEX(ReferenceCard,,1)=Table1[[#This Row],[SAP No]]) * (INDEX(ReferenceCard,,2)=Table1[[#This Row],[Mould No]]), 0), 3),)</f>
        <v>BC28-0170-D-APH-5180-3539-PP-6 NOTCHES-MOLD4</v>
      </c>
      <c r="H34">
        <v>0</v>
      </c>
      <c r="I34" cm="1">
        <f t="array" ref="I34">IFERROR(INDEX(ReferenceCard, MATCH(1, (INDEX(ReferenceCard,,1)=Table1[[#This Row],[SAP No]]) * (INDEX(ReferenceCard,,2)=Table1[[#This Row],[Mould No]]), 0), 4),)</f>
        <v>6</v>
      </c>
      <c r="J34" s="4" cm="1">
        <f t="array" ref="J34">IFERROR(INDEX(ReferenceCard, MATCH(1, (INDEX(ReferenceCard,,1)=Table1[[#This Row],[SAP No]]) * (INDEX(ReferenceCard,,2)=Table1[[#This Row],[Mould No]]), 0), 9),)</f>
        <v>28</v>
      </c>
      <c r="K34" s="4" cm="1">
        <f t="array" ref="K34">IFERROR(INDEX(ReferenceCard, MATCH(1, (INDEX(ReferenceCard,,1)=Table1[[#This Row],[SAP No]]) * (INDEX(ReferenceCard,,2)=Table1[[#This Row],[Mould No]]), 0), 7),)</f>
        <v>28</v>
      </c>
      <c r="L34">
        <v>980</v>
      </c>
      <c r="M34">
        <v>0</v>
      </c>
      <c r="N34">
        <v>0</v>
      </c>
      <c r="O34">
        <v>0</v>
      </c>
      <c r="P34">
        <f>Table1[[#This Row],[Shot]]*Table1[[#This Row],[Cav]]</f>
        <v>5880</v>
      </c>
      <c r="Q34">
        <v>0</v>
      </c>
      <c r="R34">
        <f>(Table1[[#This Row],[Part Weight (gm)]]*Table1[[#This Row],[Finish Good]])/1000</f>
        <v>0</v>
      </c>
      <c r="S34">
        <v>0</v>
      </c>
      <c r="T34">
        <f>IF(Table1[[#This Row],[Qty Order]]="Sample","-",IF(Table1[[#This Row],[Qty Order]]="RTFN","-",Table1[[#This Row],[Qty Order]]-Table1[[#This Row],[Qty Accumulate]]))</f>
        <v>0</v>
      </c>
      <c r="U34">
        <f>((Table1[[#This Row],[Shift Output]]*Table1[[#This Row],[Part Weight (gm)]])/1000)+Table1[[#This Row],[Reject Startup (kg)]]+Table1[[#This Row],[Reject Purging (kg)]]+Table1[[#This Row],[Reject Preform (kg)]]</f>
        <v>164.64</v>
      </c>
      <c r="V34" s="37">
        <f>(Table1[[#This Row],[Gross Weight (gm)]]-Table1[[#This Row],[Part Weight (gm)]])*Table1[[#This Row],[Shift Output]]/1000</f>
        <v>0</v>
      </c>
      <c r="W34" s="3">
        <v>0</v>
      </c>
      <c r="X34" s="36">
        <f>Table1[[#This Row],[Reject Startup (kg)]]/Table1[[#This Row],[Material Used]]</f>
        <v>0</v>
      </c>
      <c r="Y34" s="3">
        <v>0</v>
      </c>
      <c r="Z34" s="36">
        <f>Table1[[#This Row],[Reject Prod (kg)]]/Table1[[#This Row],[Material Used]]</f>
        <v>0</v>
      </c>
      <c r="AA34" s="4">
        <v>43.5</v>
      </c>
      <c r="AB34" s="5">
        <v>12</v>
      </c>
      <c r="AC34" s="4" cm="1">
        <f t="array" ref="AC34">IFERROR(INDEX(ReferenceCard, MATCH(1, (INDEX(ReferenceCard,,1)=Table1[[#This Row],[SAP No]]) * (INDEX(ReferenceCard,,2)=Table1[[#This Row],[Mould No]]), 0), 9),)</f>
        <v>28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L34" s="2"/>
      <c r="AM34" s="2"/>
      <c r="AN34" s="3">
        <v>0</v>
      </c>
      <c r="AO34" s="3">
        <v>0</v>
      </c>
      <c r="AP3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" spans="1:42" x14ac:dyDescent="0.35">
      <c r="A35" s="1">
        <v>46021</v>
      </c>
      <c r="B35">
        <v>2</v>
      </c>
      <c r="C35" t="s">
        <v>0</v>
      </c>
      <c r="D35" t="str" cm="1">
        <f t="array" ref="D35">IFERROR(INDEX(ReferenceCard, MATCH(1, (INDEX(ReferenceCard,,1)=Table1[[#This Row],[SAP No]]) * (INDEX(ReferenceCard,,2)=Table1[[#This Row],[Mould No]]), 0), 6),)</f>
        <v>PET</v>
      </c>
      <c r="E35">
        <v>347623</v>
      </c>
      <c r="F35">
        <v>0</v>
      </c>
      <c r="G35" t="str" cm="1">
        <f t="array" ref="G35">IFERROR(INDEX(ReferenceCard, MATCH(1, (INDEX(ReferenceCard,,1)=Table1[[#This Row],[SAP No]]) * (INDEX(ReferenceCard,,2)=Table1[[#This Row],[Mould No]]), 0), 3),)</f>
        <v>BC28-0375-K-R-CL</v>
      </c>
      <c r="H35">
        <v>0</v>
      </c>
      <c r="I35" cm="1">
        <f t="array" ref="I35">IFERROR(INDEX(ReferenceCard, MATCH(1, (INDEX(ReferenceCard,,1)=Table1[[#This Row],[SAP No]]) * (INDEX(ReferenceCard,,2)=Table1[[#This Row],[Mould No]]), 0), 4),)</f>
        <v>4</v>
      </c>
      <c r="J35" s="4" cm="1">
        <f t="array" ref="J35">IFERROR(INDEX(ReferenceCard, MATCH(1, (INDEX(ReferenceCard,,1)=Table1[[#This Row],[SAP No]]) * (INDEX(ReferenceCard,,2)=Table1[[#This Row],[Mould No]]), 0), 9),)</f>
        <v>35.6</v>
      </c>
      <c r="K35" s="4" cm="1">
        <f t="array" ref="K35">IFERROR(INDEX(ReferenceCard, MATCH(1, (INDEX(ReferenceCard,,1)=Table1[[#This Row],[SAP No]]) * (INDEX(ReferenceCard,,2)=Table1[[#This Row],[Mould No]]), 0), 7),)</f>
        <v>35.6</v>
      </c>
      <c r="L35">
        <v>0</v>
      </c>
      <c r="M35">
        <v>0</v>
      </c>
      <c r="N35">
        <v>0</v>
      </c>
      <c r="O35">
        <v>0</v>
      </c>
      <c r="P35">
        <f>Table1[[#This Row],[Shot]]*Table1[[#This Row],[Cav]]</f>
        <v>0</v>
      </c>
      <c r="Q35">
        <v>0</v>
      </c>
      <c r="R35">
        <f>(Table1[[#This Row],[Part Weight (gm)]]*Table1[[#This Row],[Finish Good]])/1000</f>
        <v>0</v>
      </c>
      <c r="S35">
        <v>0</v>
      </c>
      <c r="T35">
        <f>IF(Table1[[#This Row],[Qty Order]]="Sample","-",IF(Table1[[#This Row],[Qty Order]]="RTFN","-",Table1[[#This Row],[Qty Order]]-Table1[[#This Row],[Qty Accumulate]]))</f>
        <v>0</v>
      </c>
      <c r="U35">
        <f>((Table1[[#This Row],[Shift Output]]*Table1[[#This Row],[Part Weight (gm)]])/1000)+Table1[[#This Row],[Reject Startup (kg)]]+Table1[[#This Row],[Reject Purging (kg)]]+Table1[[#This Row],[Reject Preform (kg)]]</f>
        <v>0</v>
      </c>
      <c r="V35" s="37">
        <f>(Table1[[#This Row],[Gross Weight (gm)]]-Table1[[#This Row],[Part Weight (gm)]])*Table1[[#This Row],[Shift Output]]/1000</f>
        <v>0</v>
      </c>
      <c r="W35" s="3">
        <v>0</v>
      </c>
      <c r="X35" s="36" t="e">
        <f>Table1[[#This Row],[Reject Startup (kg)]]/Table1[[#This Row],[Material Used]]</f>
        <v>#DIV/0!</v>
      </c>
      <c r="Y35" s="3">
        <v>0</v>
      </c>
      <c r="Z35" s="36" t="e">
        <f>Table1[[#This Row],[Reject Prod (kg)]]/Table1[[#This Row],[Material Used]]</f>
        <v>#DIV/0!</v>
      </c>
      <c r="AA35" s="4">
        <v>0</v>
      </c>
      <c r="AB35" s="5">
        <v>0</v>
      </c>
      <c r="AC35" s="4" cm="1">
        <f t="array" ref="AC35">IFERROR(INDEX(ReferenceCard, MATCH(1, (INDEX(ReferenceCard,,1)=Table1[[#This Row],[SAP No]]) * (INDEX(ReferenceCard,,2)=Table1[[#This Row],[Mould No]]), 0), 9),)</f>
        <v>35.6</v>
      </c>
      <c r="AD35" s="5">
        <v>0</v>
      </c>
      <c r="AE35" s="5">
        <v>0</v>
      </c>
      <c r="AF35" s="5">
        <v>0</v>
      </c>
      <c r="AG35" s="5">
        <v>12</v>
      </c>
      <c r="AH35" s="5">
        <v>0</v>
      </c>
      <c r="AI35" s="5">
        <v>0</v>
      </c>
      <c r="AJ35" s="5">
        <v>0</v>
      </c>
      <c r="AL35" s="2"/>
      <c r="AM35" s="2"/>
      <c r="AN35" s="3">
        <v>0</v>
      </c>
      <c r="AO35" s="3">
        <v>0</v>
      </c>
      <c r="AP3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" spans="1:42" x14ac:dyDescent="0.35">
      <c r="A36" s="1">
        <v>46021</v>
      </c>
      <c r="B36">
        <v>2</v>
      </c>
      <c r="C36" t="s">
        <v>3</v>
      </c>
      <c r="D36" t="str" cm="1">
        <f t="array" ref="D36">IFERROR(INDEX(ReferenceCard, MATCH(1, (INDEX(ReferenceCard,,1)=Table1[[#This Row],[SAP No]]) * (INDEX(ReferenceCard,,2)=Table1[[#This Row],[Mould No]]), 0), 6),)</f>
        <v>PET</v>
      </c>
      <c r="E36">
        <v>322493</v>
      </c>
      <c r="F36">
        <v>0</v>
      </c>
      <c r="G36" t="str" cm="1">
        <f t="array" ref="G36">IFERROR(INDEX(ReferenceCard, MATCH(1, (INDEX(ReferenceCard,,1)=Table1[[#This Row],[SAP No]]) * (INDEX(ReferenceCard,,2)=Table1[[#This Row],[Mould No]]), 0), 3),)</f>
        <v>BC28-0280-HD-R-CL-LW</v>
      </c>
      <c r="H36">
        <v>0</v>
      </c>
      <c r="I36" cm="1">
        <f t="array" ref="I36">IFERROR(INDEX(ReferenceCard, MATCH(1, (INDEX(ReferenceCard,,1)=Table1[[#This Row],[SAP No]]) * (INDEX(ReferenceCard,,2)=Table1[[#This Row],[Mould No]]), 0), 4),)</f>
        <v>4</v>
      </c>
      <c r="J36" s="4" cm="1">
        <f t="array" ref="J36">IFERROR(INDEX(ReferenceCard, MATCH(1, (INDEX(ReferenceCard,,1)=Table1[[#This Row],[SAP No]]) * (INDEX(ReferenceCard,,2)=Table1[[#This Row],[Mould No]]), 0), 9),)</f>
        <v>23</v>
      </c>
      <c r="K36" s="4" cm="1">
        <f t="array" ref="K36">IFERROR(INDEX(ReferenceCard, MATCH(1, (INDEX(ReferenceCard,,1)=Table1[[#This Row],[SAP No]]) * (INDEX(ReferenceCard,,2)=Table1[[#This Row],[Mould No]]), 0), 7),)</f>
        <v>23</v>
      </c>
      <c r="L36">
        <v>0</v>
      </c>
      <c r="M36">
        <v>0</v>
      </c>
      <c r="N36">
        <v>0</v>
      </c>
      <c r="O36">
        <v>0</v>
      </c>
      <c r="P36">
        <f>Table1[[#This Row],[Shot]]*Table1[[#This Row],[Cav]]</f>
        <v>0</v>
      </c>
      <c r="Q36">
        <v>0</v>
      </c>
      <c r="R36">
        <f>(Table1[[#This Row],[Part Weight (gm)]]*Table1[[#This Row],[Finish Good]])/1000</f>
        <v>0</v>
      </c>
      <c r="S36">
        <v>0</v>
      </c>
      <c r="T36">
        <f>IF(Table1[[#This Row],[Qty Order]]="Sample","-",IF(Table1[[#This Row],[Qty Order]]="RTFN","-",Table1[[#This Row],[Qty Order]]-Table1[[#This Row],[Qty Accumulate]]))</f>
        <v>0</v>
      </c>
      <c r="U36">
        <f>((Table1[[#This Row],[Shift Output]]*Table1[[#This Row],[Part Weight (gm)]])/1000)+Table1[[#This Row],[Reject Startup (kg)]]+Table1[[#This Row],[Reject Purging (kg)]]+Table1[[#This Row],[Reject Preform (kg)]]</f>
        <v>0</v>
      </c>
      <c r="V36" s="37">
        <f>(Table1[[#This Row],[Gross Weight (gm)]]-Table1[[#This Row],[Part Weight (gm)]])*Table1[[#This Row],[Shift Output]]/1000</f>
        <v>0</v>
      </c>
      <c r="W36" s="3">
        <v>0</v>
      </c>
      <c r="X36" s="36" t="e">
        <f>Table1[[#This Row],[Reject Startup (kg)]]/Table1[[#This Row],[Material Used]]</f>
        <v>#DIV/0!</v>
      </c>
      <c r="Y36" s="3">
        <v>0</v>
      </c>
      <c r="Z36" s="36" t="e">
        <f>Table1[[#This Row],[Reject Prod (kg)]]/Table1[[#This Row],[Material Used]]</f>
        <v>#DIV/0!</v>
      </c>
      <c r="AA36" s="4">
        <v>0</v>
      </c>
      <c r="AB36" s="5">
        <v>12</v>
      </c>
      <c r="AC36" s="4" cm="1">
        <f t="array" ref="AC36">IFERROR(INDEX(ReferenceCard, MATCH(1, (INDEX(ReferenceCard,,1)=Table1[[#This Row],[SAP No]]) * (INDEX(ReferenceCard,,2)=Table1[[#This Row],[Mould No]]), 0), 9),)</f>
        <v>23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L36" s="2"/>
      <c r="AM36" s="2"/>
      <c r="AN36" s="3">
        <v>0</v>
      </c>
      <c r="AO36" s="3">
        <v>0</v>
      </c>
      <c r="AP3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" spans="1:42" x14ac:dyDescent="0.35">
      <c r="A37" s="1">
        <v>46021</v>
      </c>
      <c r="B37">
        <v>2</v>
      </c>
      <c r="C37" t="s">
        <v>5</v>
      </c>
      <c r="D37" t="str" cm="1">
        <f t="array" ref="D37">IFERROR(INDEX(ReferenceCard, MATCH(1, (INDEX(ReferenceCard,,1)=Table1[[#This Row],[SAP No]]) * (INDEX(ReferenceCard,,2)=Table1[[#This Row],[Mould No]]), 0), 6),)</f>
        <v>PET</v>
      </c>
      <c r="E37">
        <v>442034</v>
      </c>
      <c r="F37">
        <v>0</v>
      </c>
      <c r="G37" t="str" cm="1">
        <f t="array" ref="G37">IFERROR(INDEX(ReferenceCard, MATCH(1, (INDEX(ReferenceCard,,1)=Table1[[#This Row],[SAP No]]) * (INDEX(ReferenceCard,,2)=Table1[[#This Row],[Mould No]]), 0), 3),)</f>
        <v>BC28-0250-Z-S-CL</v>
      </c>
      <c r="H37">
        <v>0</v>
      </c>
      <c r="I37" cm="1">
        <f t="array" ref="I37">IFERROR(INDEX(ReferenceCard, MATCH(1, (INDEX(ReferenceCard,,1)=Table1[[#This Row],[SAP No]]) * (INDEX(ReferenceCard,,2)=Table1[[#This Row],[Mould No]]), 0), 4),)</f>
        <v>4</v>
      </c>
      <c r="J37" s="4" cm="1">
        <f t="array" ref="J37">IFERROR(INDEX(ReferenceCard, MATCH(1, (INDEX(ReferenceCard,,1)=Table1[[#This Row],[SAP No]]) * (INDEX(ReferenceCard,,2)=Table1[[#This Row],[Mould No]]), 0), 9),)</f>
        <v>23</v>
      </c>
      <c r="K37" s="4" cm="1">
        <f t="array" ref="K37">IFERROR(INDEX(ReferenceCard, MATCH(1, (INDEX(ReferenceCard,,1)=Table1[[#This Row],[SAP No]]) * (INDEX(ReferenceCard,,2)=Table1[[#This Row],[Mould No]]), 0), 7),)</f>
        <v>23</v>
      </c>
      <c r="L37">
        <v>0</v>
      </c>
      <c r="M37">
        <v>0</v>
      </c>
      <c r="N37">
        <v>0</v>
      </c>
      <c r="O37">
        <v>0</v>
      </c>
      <c r="P37">
        <f>Table1[[#This Row],[Shot]]*Table1[[#This Row],[Cav]]</f>
        <v>0</v>
      </c>
      <c r="Q37">
        <v>0</v>
      </c>
      <c r="R37">
        <f>(Table1[[#This Row],[Part Weight (gm)]]*Table1[[#This Row],[Finish Good]])/1000</f>
        <v>0</v>
      </c>
      <c r="S37">
        <v>0</v>
      </c>
      <c r="T37">
        <f>IF(Table1[[#This Row],[Qty Order]]="Sample","-",IF(Table1[[#This Row],[Qty Order]]="RTFN","-",Table1[[#This Row],[Qty Order]]-Table1[[#This Row],[Qty Accumulate]]))</f>
        <v>0</v>
      </c>
      <c r="U37">
        <f>((Table1[[#This Row],[Shift Output]]*Table1[[#This Row],[Part Weight (gm)]])/1000)+Table1[[#This Row],[Reject Startup (kg)]]+Table1[[#This Row],[Reject Purging (kg)]]+Table1[[#This Row],[Reject Preform (kg)]]</f>
        <v>0</v>
      </c>
      <c r="V37" s="37">
        <f>(Table1[[#This Row],[Gross Weight (gm)]]-Table1[[#This Row],[Part Weight (gm)]])*Table1[[#This Row],[Shift Output]]/1000</f>
        <v>0</v>
      </c>
      <c r="W37" s="3">
        <v>0</v>
      </c>
      <c r="X37" s="36" t="e">
        <f>Table1[[#This Row],[Reject Startup (kg)]]/Table1[[#This Row],[Material Used]]</f>
        <v>#DIV/0!</v>
      </c>
      <c r="Y37" s="3">
        <v>0</v>
      </c>
      <c r="Z37" s="36" t="e">
        <f>Table1[[#This Row],[Reject Prod (kg)]]/Table1[[#This Row],[Material Used]]</f>
        <v>#DIV/0!</v>
      </c>
      <c r="AA37" s="4">
        <v>0</v>
      </c>
      <c r="AB37" s="5">
        <v>12</v>
      </c>
      <c r="AC37" s="4" cm="1">
        <f t="array" ref="AC37">IFERROR(INDEX(ReferenceCard, MATCH(1, (INDEX(ReferenceCard,,1)=Table1[[#This Row],[SAP No]]) * (INDEX(ReferenceCard,,2)=Table1[[#This Row],[Mould No]]), 0), 9),)</f>
        <v>23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L37" s="2"/>
      <c r="AM37" s="2"/>
      <c r="AN37" s="3">
        <v>0</v>
      </c>
      <c r="AO37" s="3">
        <v>0</v>
      </c>
      <c r="AP3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" spans="1:42" x14ac:dyDescent="0.35">
      <c r="A38" s="1">
        <v>46021</v>
      </c>
      <c r="B38">
        <v>2</v>
      </c>
      <c r="C38" t="s">
        <v>7</v>
      </c>
      <c r="D38" t="str" cm="1">
        <f t="array" ref="D38">IFERROR(INDEX(ReferenceCard, MATCH(1, (INDEX(ReferenceCard,,1)=Table1[[#This Row],[SAP No]]) * (INDEX(ReferenceCard,,2)=Table1[[#This Row],[Mould No]]), 0), 6),)</f>
        <v>PET</v>
      </c>
      <c r="E38">
        <v>426555</v>
      </c>
      <c r="F38">
        <v>0</v>
      </c>
      <c r="G38" t="str" cm="1">
        <f t="array" ref="G38">IFERROR(INDEX(ReferenceCard, MATCH(1, (INDEX(ReferenceCard,,1)=Table1[[#This Row],[SAP No]]) * (INDEX(ReferenceCard,,2)=Table1[[#This Row],[Mould No]]), 0), 3),)</f>
        <v>BX38-0330-Z-S-CL-HW</v>
      </c>
      <c r="H38">
        <v>0</v>
      </c>
      <c r="I38" cm="1">
        <f t="array" ref="I38">IFERROR(INDEX(ReferenceCard, MATCH(1, (INDEX(ReferenceCard,,1)=Table1[[#This Row],[SAP No]]) * (INDEX(ReferenceCard,,2)=Table1[[#This Row],[Mould No]]), 0), 4),)</f>
        <v>4</v>
      </c>
      <c r="J38" s="4" cm="1">
        <f t="array" ref="J38">IFERROR(INDEX(ReferenceCard, MATCH(1, (INDEX(ReferenceCard,,1)=Table1[[#This Row],[SAP No]]) * (INDEX(ReferenceCard,,2)=Table1[[#This Row],[Mould No]]), 0), 9),)</f>
        <v>29</v>
      </c>
      <c r="K38" s="4" cm="1">
        <f t="array" ref="K38">IFERROR(INDEX(ReferenceCard, MATCH(1, (INDEX(ReferenceCard,,1)=Table1[[#This Row],[SAP No]]) * (INDEX(ReferenceCard,,2)=Table1[[#This Row],[Mould No]]), 0), 7),)</f>
        <v>29</v>
      </c>
      <c r="L38">
        <v>0</v>
      </c>
      <c r="M38">
        <v>0</v>
      </c>
      <c r="N38">
        <v>0</v>
      </c>
      <c r="O38">
        <v>0</v>
      </c>
      <c r="P38">
        <f>Table1[[#This Row],[Shot]]*Table1[[#This Row],[Cav]]</f>
        <v>0</v>
      </c>
      <c r="Q38">
        <v>0</v>
      </c>
      <c r="R38">
        <f>(Table1[[#This Row],[Part Weight (gm)]]*Table1[[#This Row],[Finish Good]])/1000</f>
        <v>0</v>
      </c>
      <c r="S38">
        <v>0</v>
      </c>
      <c r="T38">
        <f>IF(Table1[[#This Row],[Qty Order]]="Sample","-",IF(Table1[[#This Row],[Qty Order]]="RTFN","-",Table1[[#This Row],[Qty Order]]-Table1[[#This Row],[Qty Accumulate]]))</f>
        <v>0</v>
      </c>
      <c r="U38">
        <f>((Table1[[#This Row],[Shift Output]]*Table1[[#This Row],[Part Weight (gm)]])/1000)+Table1[[#This Row],[Reject Startup (kg)]]+Table1[[#This Row],[Reject Purging (kg)]]+Table1[[#This Row],[Reject Preform (kg)]]</f>
        <v>0</v>
      </c>
      <c r="V38" s="37">
        <f>(Table1[[#This Row],[Gross Weight (gm)]]-Table1[[#This Row],[Part Weight (gm)]])*Table1[[#This Row],[Shift Output]]/1000</f>
        <v>0</v>
      </c>
      <c r="W38" s="3">
        <v>0</v>
      </c>
      <c r="X38" s="36" t="e">
        <f>Table1[[#This Row],[Reject Startup (kg)]]/Table1[[#This Row],[Material Used]]</f>
        <v>#DIV/0!</v>
      </c>
      <c r="Y38" s="3">
        <v>0</v>
      </c>
      <c r="Z38" s="36" t="e">
        <f>Table1[[#This Row],[Reject Prod (kg)]]/Table1[[#This Row],[Material Used]]</f>
        <v>#DIV/0!</v>
      </c>
      <c r="AA38" s="4">
        <v>0</v>
      </c>
      <c r="AB38" s="5">
        <v>0</v>
      </c>
      <c r="AC38" s="4" cm="1">
        <f t="array" ref="AC38">IFERROR(INDEX(ReferenceCard, MATCH(1, (INDEX(ReferenceCard,,1)=Table1[[#This Row],[SAP No]]) * (INDEX(ReferenceCard,,2)=Table1[[#This Row],[Mould No]]), 0), 9),)</f>
        <v>29</v>
      </c>
      <c r="AD38" s="5">
        <v>0</v>
      </c>
      <c r="AE38" s="5">
        <v>0</v>
      </c>
      <c r="AF38" s="5">
        <v>0</v>
      </c>
      <c r="AG38" s="5">
        <v>0</v>
      </c>
      <c r="AH38" s="5">
        <v>12</v>
      </c>
      <c r="AI38" s="5">
        <v>0</v>
      </c>
      <c r="AJ38" s="5">
        <v>0</v>
      </c>
      <c r="AL38" s="2"/>
      <c r="AM38" s="2"/>
      <c r="AN38" s="3">
        <v>0</v>
      </c>
      <c r="AO38" s="3">
        <v>0</v>
      </c>
      <c r="AP3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" spans="1:42" x14ac:dyDescent="0.35">
      <c r="A39" s="1">
        <v>46021</v>
      </c>
      <c r="B39">
        <v>2</v>
      </c>
      <c r="C39" t="s">
        <v>9</v>
      </c>
      <c r="D39" t="str" cm="1">
        <f t="array" ref="D39">IFERROR(INDEX(ReferenceCard, MATCH(1, (INDEX(ReferenceCard,,1)=Table1[[#This Row],[SAP No]]) * (INDEX(ReferenceCard,,2)=Table1[[#This Row],[Mould No]]), 0), 6),)</f>
        <v>PET</v>
      </c>
      <c r="E39">
        <v>611949</v>
      </c>
      <c r="F39">
        <v>0</v>
      </c>
      <c r="G39" t="str" cm="1">
        <f t="array" ref="G39">IFERROR(INDEX(ReferenceCard, MATCH(1, (INDEX(ReferenceCard,,1)=Table1[[#This Row],[SAP No]]) * (INDEX(ReferenceCard,,2)=Table1[[#This Row],[Mould No]]), 0), 3),)</f>
        <v>BBX38-0150-R-AM</v>
      </c>
      <c r="H39">
        <v>0</v>
      </c>
      <c r="I39" cm="1">
        <f t="array" ref="I39">IFERROR(INDEX(ReferenceCard, MATCH(1, (INDEX(ReferenceCard,,1)=Table1[[#This Row],[SAP No]]) * (INDEX(ReferenceCard,,2)=Table1[[#This Row],[Mould No]]), 0), 4),)</f>
        <v>4</v>
      </c>
      <c r="J39" s="4" cm="1">
        <f t="array" ref="J39">IFERROR(INDEX(ReferenceCard, MATCH(1, (INDEX(ReferenceCard,,1)=Table1[[#This Row],[SAP No]]) * (INDEX(ReferenceCard,,2)=Table1[[#This Row],[Mould No]]), 0), 9),)</f>
        <v>23</v>
      </c>
      <c r="K39" s="4" cm="1">
        <f t="array" ref="K39">IFERROR(INDEX(ReferenceCard, MATCH(1, (INDEX(ReferenceCard,,1)=Table1[[#This Row],[SAP No]]) * (INDEX(ReferenceCard,,2)=Table1[[#This Row],[Mould No]]), 0), 7),)</f>
        <v>23</v>
      </c>
      <c r="L39">
        <v>0</v>
      </c>
      <c r="M39">
        <v>0</v>
      </c>
      <c r="N39">
        <v>0</v>
      </c>
      <c r="O39">
        <v>0</v>
      </c>
      <c r="P39">
        <f>Table1[[#This Row],[Shot]]*Table1[[#This Row],[Cav]]</f>
        <v>0</v>
      </c>
      <c r="Q39">
        <v>0</v>
      </c>
      <c r="R39">
        <f>(Table1[[#This Row],[Part Weight (gm)]]*Table1[[#This Row],[Finish Good]])/1000</f>
        <v>0</v>
      </c>
      <c r="S39">
        <v>0</v>
      </c>
      <c r="T39">
        <f>IF(Table1[[#This Row],[Qty Order]]="Sample","-",IF(Table1[[#This Row],[Qty Order]]="RTFN","-",Table1[[#This Row],[Qty Order]]-Table1[[#This Row],[Qty Accumulate]]))</f>
        <v>0</v>
      </c>
      <c r="U39">
        <f>((Table1[[#This Row],[Shift Output]]*Table1[[#This Row],[Part Weight (gm)]])/1000)+Table1[[#This Row],[Reject Startup (kg)]]+Table1[[#This Row],[Reject Purging (kg)]]+Table1[[#This Row],[Reject Preform (kg)]]</f>
        <v>0</v>
      </c>
      <c r="V39" s="37">
        <f>(Table1[[#This Row],[Gross Weight (gm)]]-Table1[[#This Row],[Part Weight (gm)]])*Table1[[#This Row],[Shift Output]]/1000</f>
        <v>0</v>
      </c>
      <c r="W39" s="3">
        <v>0</v>
      </c>
      <c r="X39" s="36" t="e">
        <f>Table1[[#This Row],[Reject Startup (kg)]]/Table1[[#This Row],[Material Used]]</f>
        <v>#DIV/0!</v>
      </c>
      <c r="Y39" s="3">
        <v>0</v>
      </c>
      <c r="Z39" s="36" t="e">
        <f>Table1[[#This Row],[Reject Prod (kg)]]/Table1[[#This Row],[Material Used]]</f>
        <v>#DIV/0!</v>
      </c>
      <c r="AA39" s="4">
        <v>0</v>
      </c>
      <c r="AB39" s="5">
        <v>12</v>
      </c>
      <c r="AC39" s="4" cm="1">
        <f t="array" ref="AC39">IFERROR(INDEX(ReferenceCard, MATCH(1, (INDEX(ReferenceCard,,1)=Table1[[#This Row],[SAP No]]) * (INDEX(ReferenceCard,,2)=Table1[[#This Row],[Mould No]]), 0), 9),)</f>
        <v>23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L39" s="2"/>
      <c r="AM39" s="2"/>
      <c r="AN39" s="3">
        <v>0</v>
      </c>
      <c r="AO39" s="3">
        <v>0</v>
      </c>
      <c r="AP3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" spans="1:42" x14ac:dyDescent="0.35">
      <c r="A40" s="1">
        <v>46021</v>
      </c>
      <c r="B40">
        <v>2</v>
      </c>
      <c r="C40" t="s">
        <v>11</v>
      </c>
      <c r="D40" t="str" cm="1">
        <f t="array" ref="D40">IFERROR(INDEX(ReferenceCard, MATCH(1, (INDEX(ReferenceCard,,1)=Table1[[#This Row],[SAP No]]) * (INDEX(ReferenceCard,,2)=Table1[[#This Row],[Mould No]]), 0), 6),)</f>
        <v>rPET</v>
      </c>
      <c r="E40">
        <v>620994</v>
      </c>
      <c r="F40">
        <v>0</v>
      </c>
      <c r="G40" t="str" cm="1">
        <f t="array" ref="G40">IFERROR(INDEX(ReferenceCard, MATCH(1, (INDEX(ReferenceCard,,1)=Table1[[#This Row],[SAP No]]) * (INDEX(ReferenceCard,,2)=Table1[[#This Row],[Mould No]]), 0), 3),)</f>
        <v>JJ63-0400-SH-S-CL-rPET</v>
      </c>
      <c r="H40">
        <v>0</v>
      </c>
      <c r="I40" cm="1">
        <f t="array" ref="I40">IFERROR(INDEX(ReferenceCard, MATCH(1, (INDEX(ReferenceCard,,1)=Table1[[#This Row],[SAP No]]) * (INDEX(ReferenceCard,,2)=Table1[[#This Row],[Mould No]]), 0), 4),)</f>
        <v>4</v>
      </c>
      <c r="J40" s="4" cm="1">
        <f t="array" ref="J40">IFERROR(INDEX(ReferenceCard, MATCH(1, (INDEX(ReferenceCard,,1)=Table1[[#This Row],[SAP No]]) * (INDEX(ReferenceCard,,2)=Table1[[#This Row],[Mould No]]), 0), 9),)</f>
        <v>32.74</v>
      </c>
      <c r="K40" s="4" cm="1">
        <f t="array" ref="K40">IFERROR(INDEX(ReferenceCard, MATCH(1, (INDEX(ReferenceCard,,1)=Table1[[#This Row],[SAP No]]) * (INDEX(ReferenceCard,,2)=Table1[[#This Row],[Mould No]]), 0), 7),)</f>
        <v>33</v>
      </c>
      <c r="L40">
        <v>0</v>
      </c>
      <c r="M40">
        <v>0</v>
      </c>
      <c r="N40">
        <v>0</v>
      </c>
      <c r="O40">
        <v>0</v>
      </c>
      <c r="P40">
        <f>Table1[[#This Row],[Shot]]*Table1[[#This Row],[Cav]]</f>
        <v>0</v>
      </c>
      <c r="Q40">
        <v>0</v>
      </c>
      <c r="R40">
        <f>(Table1[[#This Row],[Part Weight (gm)]]*Table1[[#This Row],[Finish Good]])/1000</f>
        <v>0</v>
      </c>
      <c r="S40">
        <v>0</v>
      </c>
      <c r="T40">
        <f>IF(Table1[[#This Row],[Qty Order]]="Sample","-",IF(Table1[[#This Row],[Qty Order]]="RTFN","-",Table1[[#This Row],[Qty Order]]-Table1[[#This Row],[Qty Accumulate]]))</f>
        <v>0</v>
      </c>
      <c r="U40">
        <f>((Table1[[#This Row],[Shift Output]]*Table1[[#This Row],[Part Weight (gm)]])/1000)+Table1[[#This Row],[Reject Startup (kg)]]+Table1[[#This Row],[Reject Purging (kg)]]+Table1[[#This Row],[Reject Preform (kg)]]</f>
        <v>0</v>
      </c>
      <c r="V40" s="37">
        <f>(Table1[[#This Row],[Gross Weight (gm)]]-Table1[[#This Row],[Part Weight (gm)]])*Table1[[#This Row],[Shift Output]]/1000</f>
        <v>0</v>
      </c>
      <c r="W40" s="3">
        <v>0</v>
      </c>
      <c r="X40" s="36" t="e">
        <f>Table1[[#This Row],[Reject Startup (kg)]]/Table1[[#This Row],[Material Used]]</f>
        <v>#DIV/0!</v>
      </c>
      <c r="Y40" s="3">
        <v>0</v>
      </c>
      <c r="Z40" s="36" t="e">
        <f>Table1[[#This Row],[Reject Prod (kg)]]/Table1[[#This Row],[Material Used]]</f>
        <v>#DIV/0!</v>
      </c>
      <c r="AA40" s="4">
        <v>0</v>
      </c>
      <c r="AB40" s="5">
        <v>12</v>
      </c>
      <c r="AC40" s="4" cm="1">
        <f t="array" ref="AC40">IFERROR(INDEX(ReferenceCard, MATCH(1, (INDEX(ReferenceCard,,1)=Table1[[#This Row],[SAP No]]) * (INDEX(ReferenceCard,,2)=Table1[[#This Row],[Mould No]]), 0), 9),)</f>
        <v>32.74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L40" s="2"/>
      <c r="AM40" s="2"/>
      <c r="AN40" s="3">
        <v>0</v>
      </c>
      <c r="AO40" s="3">
        <v>0</v>
      </c>
      <c r="AP4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" spans="1:42" x14ac:dyDescent="0.35">
      <c r="A41" s="1">
        <v>46021</v>
      </c>
      <c r="B41">
        <v>2</v>
      </c>
      <c r="C41" t="s">
        <v>14</v>
      </c>
      <c r="D41" t="str" cm="1">
        <f t="array" ref="D41">IFERROR(INDEX(ReferenceCard, MATCH(1, (INDEX(ReferenceCard,,1)=Table1[[#This Row],[SAP No]]) * (INDEX(ReferenceCard,,2)=Table1[[#This Row],[Mould No]]), 0), 6),)</f>
        <v>PET</v>
      </c>
      <c r="E41">
        <v>324165</v>
      </c>
      <c r="F41">
        <v>0</v>
      </c>
      <c r="G41" t="str" cm="1">
        <f t="array" ref="G41">IFERROR(INDEX(ReferenceCard, MATCH(1, (INDEX(ReferenceCard,,1)=Table1[[#This Row],[SAP No]]) * (INDEX(ReferenceCard,,2)=Table1[[#This Row],[Mould No]]), 0), 3),)</f>
        <v>JJ63-0400-SH-S-WH</v>
      </c>
      <c r="H41">
        <v>0</v>
      </c>
      <c r="I41" cm="1">
        <f t="array" ref="I41">IFERROR(INDEX(ReferenceCard, MATCH(1, (INDEX(ReferenceCard,,1)=Table1[[#This Row],[SAP No]]) * (INDEX(ReferenceCard,,2)=Table1[[#This Row],[Mould No]]), 0), 4),)</f>
        <v>4</v>
      </c>
      <c r="J41" s="4" cm="1">
        <f t="array" ref="J41">IFERROR(INDEX(ReferenceCard, MATCH(1, (INDEX(ReferenceCard,,1)=Table1[[#This Row],[SAP No]]) * (INDEX(ReferenceCard,,2)=Table1[[#This Row],[Mould No]]), 0), 9),)</f>
        <v>32.56</v>
      </c>
      <c r="K41" s="4" cm="1">
        <f t="array" ref="K41">IFERROR(INDEX(ReferenceCard, MATCH(1, (INDEX(ReferenceCard,,1)=Table1[[#This Row],[SAP No]]) * (INDEX(ReferenceCard,,2)=Table1[[#This Row],[Mould No]]), 0), 7),)</f>
        <v>33</v>
      </c>
      <c r="L41">
        <v>0</v>
      </c>
      <c r="M41">
        <v>0</v>
      </c>
      <c r="N41">
        <v>0</v>
      </c>
      <c r="O41">
        <v>0</v>
      </c>
      <c r="P41">
        <f>Table1[[#This Row],[Shot]]*Table1[[#This Row],[Cav]]</f>
        <v>0</v>
      </c>
      <c r="Q41">
        <v>0</v>
      </c>
      <c r="R41">
        <f>(Table1[[#This Row],[Part Weight (gm)]]*Table1[[#This Row],[Finish Good]])/1000</f>
        <v>0</v>
      </c>
      <c r="S41">
        <v>0</v>
      </c>
      <c r="T41">
        <f>IF(Table1[[#This Row],[Qty Order]]="Sample","-",IF(Table1[[#This Row],[Qty Order]]="RTFN","-",Table1[[#This Row],[Qty Order]]-Table1[[#This Row],[Qty Accumulate]]))</f>
        <v>0</v>
      </c>
      <c r="U41">
        <f>((Table1[[#This Row],[Shift Output]]*Table1[[#This Row],[Part Weight (gm)]])/1000)+Table1[[#This Row],[Reject Startup (kg)]]+Table1[[#This Row],[Reject Purging (kg)]]+Table1[[#This Row],[Reject Preform (kg)]]</f>
        <v>0</v>
      </c>
      <c r="V41" s="37">
        <f>(Table1[[#This Row],[Gross Weight (gm)]]-Table1[[#This Row],[Part Weight (gm)]])*Table1[[#This Row],[Shift Output]]/1000</f>
        <v>0</v>
      </c>
      <c r="W41" s="3">
        <v>0</v>
      </c>
      <c r="X41" s="36" t="e">
        <f>Table1[[#This Row],[Reject Startup (kg)]]/Table1[[#This Row],[Material Used]]</f>
        <v>#DIV/0!</v>
      </c>
      <c r="Y41" s="3">
        <v>0</v>
      </c>
      <c r="Z41" s="36" t="e">
        <f>Table1[[#This Row],[Reject Prod (kg)]]/Table1[[#This Row],[Material Used]]</f>
        <v>#DIV/0!</v>
      </c>
      <c r="AA41" s="4">
        <v>0</v>
      </c>
      <c r="AB41" s="5">
        <v>12</v>
      </c>
      <c r="AC41" s="4" cm="1">
        <f t="array" ref="AC41">IFERROR(INDEX(ReferenceCard, MATCH(1, (INDEX(ReferenceCard,,1)=Table1[[#This Row],[SAP No]]) * (INDEX(ReferenceCard,,2)=Table1[[#This Row],[Mould No]]), 0), 9),)</f>
        <v>32.56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L41" s="2"/>
      <c r="AM41" s="2"/>
      <c r="AN41" s="3">
        <v>0</v>
      </c>
      <c r="AO41" s="3">
        <v>0</v>
      </c>
      <c r="AP4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" spans="1:42" x14ac:dyDescent="0.35">
      <c r="A42" s="1">
        <v>46021</v>
      </c>
      <c r="B42">
        <v>2</v>
      </c>
      <c r="C42" t="s">
        <v>16</v>
      </c>
      <c r="D42" t="str" cm="1">
        <f t="array" ref="D42">IFERROR(INDEX(ReferenceCard, MATCH(1, (INDEX(ReferenceCard,,1)=Table1[[#This Row],[SAP No]]) * (INDEX(ReferenceCard,,2)=Table1[[#This Row],[Mould No]]), 0), 6),)</f>
        <v>PET</v>
      </c>
      <c r="E42">
        <v>324638</v>
      </c>
      <c r="F42">
        <v>0</v>
      </c>
      <c r="G42" t="str" cm="1">
        <f t="array" ref="G42">IFERROR(INDEX(ReferenceCard, MATCH(1, (INDEX(ReferenceCard,,1)=Table1[[#This Row],[SAP No]]) * (INDEX(ReferenceCard,,2)=Table1[[#This Row],[Mould No]]), 0), 3),)</f>
        <v>BX38-2000-GH-R-CL (GREEN) (ASEM)</v>
      </c>
      <c r="H42">
        <v>0</v>
      </c>
      <c r="I42" cm="1">
        <f t="array" ref="I42">IFERROR(INDEX(ReferenceCard, MATCH(1, (INDEX(ReferenceCard,,1)=Table1[[#This Row],[SAP No]]) * (INDEX(ReferenceCard,,2)=Table1[[#This Row],[Mould No]]), 0), 4),)</f>
        <v>4</v>
      </c>
      <c r="J42" s="4" cm="1">
        <f t="array" ref="J42">IFERROR(INDEX(ReferenceCard, MATCH(1, (INDEX(ReferenceCard,,1)=Table1[[#This Row],[SAP No]]) * (INDEX(ReferenceCard,,2)=Table1[[#This Row],[Mould No]]), 0), 9),)</f>
        <v>77.5</v>
      </c>
      <c r="K42" s="4" cm="1">
        <f t="array" ref="K42">IFERROR(INDEX(ReferenceCard, MATCH(1, (INDEX(ReferenceCard,,1)=Table1[[#This Row],[SAP No]]) * (INDEX(ReferenceCard,,2)=Table1[[#This Row],[Mould No]]), 0), 7),)</f>
        <v>77.5</v>
      </c>
      <c r="L42">
        <v>0</v>
      </c>
      <c r="M42">
        <v>0</v>
      </c>
      <c r="N42">
        <v>0</v>
      </c>
      <c r="O42">
        <v>0</v>
      </c>
      <c r="P42">
        <f>Table1[[#This Row],[Shot]]*Table1[[#This Row],[Cav]]</f>
        <v>0</v>
      </c>
      <c r="Q42">
        <v>0</v>
      </c>
      <c r="R42">
        <f>(Table1[[#This Row],[Part Weight (gm)]]*Table1[[#This Row],[Finish Good]])/1000</f>
        <v>0</v>
      </c>
      <c r="S42">
        <v>0</v>
      </c>
      <c r="T42">
        <f>IF(Table1[[#This Row],[Qty Order]]="Sample","-",IF(Table1[[#This Row],[Qty Order]]="RTFN","-",Table1[[#This Row],[Qty Order]]-Table1[[#This Row],[Qty Accumulate]]))</f>
        <v>0</v>
      </c>
      <c r="U42">
        <f>((Table1[[#This Row],[Shift Output]]*Table1[[#This Row],[Part Weight (gm)]])/1000)+Table1[[#This Row],[Reject Startup (kg)]]+Table1[[#This Row],[Reject Purging (kg)]]+Table1[[#This Row],[Reject Preform (kg)]]</f>
        <v>0</v>
      </c>
      <c r="V42" s="37">
        <f>(Table1[[#This Row],[Gross Weight (gm)]]-Table1[[#This Row],[Part Weight (gm)]])*Table1[[#This Row],[Shift Output]]/1000</f>
        <v>0</v>
      </c>
      <c r="W42" s="3">
        <v>0</v>
      </c>
      <c r="X42" s="36" t="e">
        <f>Table1[[#This Row],[Reject Startup (kg)]]/Table1[[#This Row],[Material Used]]</f>
        <v>#DIV/0!</v>
      </c>
      <c r="Y42" s="3">
        <v>0</v>
      </c>
      <c r="Z42" s="36" t="e">
        <f>Table1[[#This Row],[Reject Prod (kg)]]/Table1[[#This Row],[Material Used]]</f>
        <v>#DIV/0!</v>
      </c>
      <c r="AA42" s="4">
        <v>0</v>
      </c>
      <c r="AB42" s="5">
        <v>12</v>
      </c>
      <c r="AC42" s="4" cm="1">
        <f t="array" ref="AC42">IFERROR(INDEX(ReferenceCard, MATCH(1, (INDEX(ReferenceCard,,1)=Table1[[#This Row],[SAP No]]) * (INDEX(ReferenceCard,,2)=Table1[[#This Row],[Mould No]]), 0), 9),)</f>
        <v>77.5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L42" s="2"/>
      <c r="AM42" s="2"/>
      <c r="AN42" s="3">
        <v>0</v>
      </c>
      <c r="AO42" s="3">
        <v>0</v>
      </c>
      <c r="AP4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" spans="1:42" x14ac:dyDescent="0.35">
      <c r="A43" s="1">
        <v>46021</v>
      </c>
      <c r="B43">
        <v>2</v>
      </c>
      <c r="C43" t="s">
        <v>23</v>
      </c>
      <c r="D43" t="str" cm="1">
        <f t="array" ref="D43">IFERROR(INDEX(ReferenceCard, MATCH(1, (INDEX(ReferenceCard,,1)=Table1[[#This Row],[SAP No]]) * (INDEX(ReferenceCard,,2)=Table1[[#This Row],[Mould No]]), 0), 6),)</f>
        <v>PPSB520Y</v>
      </c>
      <c r="E43">
        <v>586276</v>
      </c>
      <c r="F43">
        <v>2</v>
      </c>
      <c r="G43" t="str" cm="1">
        <f t="array" ref="G43">IFERROR(INDEX(ReferenceCard, MATCH(1, (INDEX(ReferenceCard,,1)=Table1[[#This Row],[SAP No]]) * (INDEX(ReferenceCard,,2)=Table1[[#This Row],[Mould No]]), 0), 3),)</f>
        <v>BC28-0056-D-APH-LEB-604001-MOLD2</v>
      </c>
      <c r="H43">
        <v>0</v>
      </c>
      <c r="I43" cm="1">
        <f t="array" ref="I43">IFERROR(INDEX(ReferenceCard, MATCH(1, (INDEX(ReferenceCard,,1)=Table1[[#This Row],[SAP No]]) * (INDEX(ReferenceCard,,2)=Table1[[#This Row],[Mould No]]), 0), 4),)</f>
        <v>6</v>
      </c>
      <c r="J43" s="4" cm="1">
        <f t="array" ref="J43">IFERROR(INDEX(ReferenceCard, MATCH(1, (INDEX(ReferenceCard,,1)=Table1[[#This Row],[SAP No]]) * (INDEX(ReferenceCard,,2)=Table1[[#This Row],[Mould No]]), 0), 9),)</f>
        <v>12.3</v>
      </c>
      <c r="K43" s="4" cm="1">
        <f t="array" ref="K43">IFERROR(INDEX(ReferenceCard, MATCH(1, (INDEX(ReferenceCard,,1)=Table1[[#This Row],[SAP No]]) * (INDEX(ReferenceCard,,2)=Table1[[#This Row],[Mould No]]), 0), 7),)</f>
        <v>12.3</v>
      </c>
      <c r="L43">
        <v>0</v>
      </c>
      <c r="M43">
        <v>0</v>
      </c>
      <c r="N43">
        <v>0</v>
      </c>
      <c r="O43">
        <v>0</v>
      </c>
      <c r="P43">
        <f>Table1[[#This Row],[Shot]]*Table1[[#This Row],[Cav]]</f>
        <v>0</v>
      </c>
      <c r="Q43">
        <v>0</v>
      </c>
      <c r="R43">
        <f>(Table1[[#This Row],[Part Weight (gm)]]*Table1[[#This Row],[Finish Good]])/1000</f>
        <v>0</v>
      </c>
      <c r="S43">
        <v>0</v>
      </c>
      <c r="T43">
        <f>IF(Table1[[#This Row],[Qty Order]]="Sample","-",IF(Table1[[#This Row],[Qty Order]]="RTFN","-",Table1[[#This Row],[Qty Order]]-Table1[[#This Row],[Qty Accumulate]]))</f>
        <v>0</v>
      </c>
      <c r="U43">
        <f>((Table1[[#This Row],[Shift Output]]*Table1[[#This Row],[Part Weight (gm)]])/1000)+Table1[[#This Row],[Reject Startup (kg)]]+Table1[[#This Row],[Reject Purging (kg)]]+Table1[[#This Row],[Reject Preform (kg)]]</f>
        <v>0</v>
      </c>
      <c r="V43" s="37">
        <f>(Table1[[#This Row],[Gross Weight (gm)]]-Table1[[#This Row],[Part Weight (gm)]])*Table1[[#This Row],[Shift Output]]/1000</f>
        <v>0</v>
      </c>
      <c r="W43" s="3">
        <v>0</v>
      </c>
      <c r="X43" s="36" t="e">
        <f>Table1[[#This Row],[Reject Startup (kg)]]/Table1[[#This Row],[Material Used]]</f>
        <v>#DIV/0!</v>
      </c>
      <c r="Y43" s="3">
        <v>0</v>
      </c>
      <c r="Z43" s="36" t="e">
        <f>Table1[[#This Row],[Reject Prod (kg)]]/Table1[[#This Row],[Material Used]]</f>
        <v>#DIV/0!</v>
      </c>
      <c r="AA43" s="4">
        <v>0</v>
      </c>
      <c r="AB43" s="5">
        <v>12</v>
      </c>
      <c r="AC43" s="4" cm="1">
        <f t="array" ref="AC43">IFERROR(INDEX(ReferenceCard, MATCH(1, (INDEX(ReferenceCard,,1)=Table1[[#This Row],[SAP No]]) * (INDEX(ReferenceCard,,2)=Table1[[#This Row],[Mould No]]), 0), 9),)</f>
        <v>12.3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L43" s="2"/>
      <c r="AM43" s="2"/>
      <c r="AN43" s="3">
        <v>0</v>
      </c>
      <c r="AO43" s="3">
        <v>0</v>
      </c>
      <c r="AP4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" spans="1:42" x14ac:dyDescent="0.35">
      <c r="A44" s="1">
        <v>46021</v>
      </c>
      <c r="B44">
        <v>2</v>
      </c>
      <c r="C44" t="s">
        <v>25</v>
      </c>
      <c r="D44" t="str" cm="1">
        <f t="array" ref="D44">IFERROR(INDEX(ReferenceCard, MATCH(1, (INDEX(ReferenceCard,,1)=Table1[[#This Row],[SAP No]]) * (INDEX(ReferenceCard,,2)=Table1[[#This Row],[Mould No]]), 0), 6),)</f>
        <v>PET</v>
      </c>
      <c r="E44">
        <v>323133</v>
      </c>
      <c r="F44">
        <v>0</v>
      </c>
      <c r="G44" t="str" cm="1">
        <f t="array" ref="G44">IFERROR(INDEX(ReferenceCard, MATCH(1, (INDEX(ReferenceCard,,1)=Table1[[#This Row],[SAP No]]) * (INDEX(ReferenceCard,,2)=Table1[[#This Row],[Mould No]]), 0), 3),)</f>
        <v>BX38-2000-RH-R-CL(GREEN) (ASEM)</v>
      </c>
      <c r="H44">
        <v>0</v>
      </c>
      <c r="I44" cm="1">
        <f t="array" ref="I44">IFERROR(INDEX(ReferenceCard, MATCH(1, (INDEX(ReferenceCard,,1)=Table1[[#This Row],[SAP No]]) * (INDEX(ReferenceCard,,2)=Table1[[#This Row],[Mould No]]), 0), 4),)</f>
        <v>4</v>
      </c>
      <c r="J44" s="4" cm="1">
        <f t="array" ref="J44">IFERROR(INDEX(ReferenceCard, MATCH(1, (INDEX(ReferenceCard,,1)=Table1[[#This Row],[SAP No]]) * (INDEX(ReferenceCard,,2)=Table1[[#This Row],[Mould No]]), 0), 9),)</f>
        <v>77</v>
      </c>
      <c r="K44" s="4" cm="1">
        <f t="array" ref="K44">IFERROR(INDEX(ReferenceCard, MATCH(1, (INDEX(ReferenceCard,,1)=Table1[[#This Row],[SAP No]]) * (INDEX(ReferenceCard,,2)=Table1[[#This Row],[Mould No]]), 0), 7),)</f>
        <v>77</v>
      </c>
      <c r="L44">
        <v>0</v>
      </c>
      <c r="M44">
        <v>0</v>
      </c>
      <c r="N44">
        <v>0</v>
      </c>
      <c r="O44">
        <v>0</v>
      </c>
      <c r="P44">
        <f>Table1[[#This Row],[Shot]]*Table1[[#This Row],[Cav]]</f>
        <v>0</v>
      </c>
      <c r="Q44">
        <v>0</v>
      </c>
      <c r="R44">
        <f>(Table1[[#This Row],[Part Weight (gm)]]*Table1[[#This Row],[Finish Good]])/1000</f>
        <v>0</v>
      </c>
      <c r="S44">
        <v>0</v>
      </c>
      <c r="T44">
        <f>IF(Table1[[#This Row],[Qty Order]]="Sample","-",IF(Table1[[#This Row],[Qty Order]]="RTFN","-",Table1[[#This Row],[Qty Order]]-Table1[[#This Row],[Qty Accumulate]]))</f>
        <v>0</v>
      </c>
      <c r="U44">
        <f>((Table1[[#This Row],[Shift Output]]*Table1[[#This Row],[Part Weight (gm)]])/1000)+Table1[[#This Row],[Reject Startup (kg)]]+Table1[[#This Row],[Reject Purging (kg)]]+Table1[[#This Row],[Reject Preform (kg)]]</f>
        <v>0</v>
      </c>
      <c r="V44" s="37">
        <f>(Table1[[#This Row],[Gross Weight (gm)]]-Table1[[#This Row],[Part Weight (gm)]])*Table1[[#This Row],[Shift Output]]/1000</f>
        <v>0</v>
      </c>
      <c r="W44" s="3">
        <v>0</v>
      </c>
      <c r="X44" s="36" t="e">
        <f>Table1[[#This Row],[Reject Startup (kg)]]/Table1[[#This Row],[Material Used]]</f>
        <v>#DIV/0!</v>
      </c>
      <c r="Y44" s="3">
        <v>0</v>
      </c>
      <c r="Z44" s="36" t="e">
        <f>Table1[[#This Row],[Reject Prod (kg)]]/Table1[[#This Row],[Material Used]]</f>
        <v>#DIV/0!</v>
      </c>
      <c r="AA44" s="4">
        <v>0</v>
      </c>
      <c r="AB44" s="5">
        <v>12</v>
      </c>
      <c r="AC44" s="4" cm="1">
        <f t="array" ref="AC44">IFERROR(INDEX(ReferenceCard, MATCH(1, (INDEX(ReferenceCard,,1)=Table1[[#This Row],[SAP No]]) * (INDEX(ReferenceCard,,2)=Table1[[#This Row],[Mould No]]), 0), 9),)</f>
        <v>77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L44" s="2"/>
      <c r="AM44" s="2"/>
      <c r="AN44" s="3">
        <v>0</v>
      </c>
      <c r="AO44" s="3">
        <v>0</v>
      </c>
      <c r="AP4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" spans="1:42" x14ac:dyDescent="0.35">
      <c r="A45" s="1">
        <v>46021</v>
      </c>
      <c r="B45">
        <v>2</v>
      </c>
      <c r="C45" t="s">
        <v>27</v>
      </c>
      <c r="D45" t="str" cm="1">
        <f t="array" ref="D45">IFERROR(INDEX(ReferenceCard, MATCH(1, (INDEX(ReferenceCard,,1)=Table1[[#This Row],[SAP No]]) * (INDEX(ReferenceCard,,2)=Table1[[#This Row],[Mould No]]), 0), 6),)</f>
        <v>PPSB520Y</v>
      </c>
      <c r="E45">
        <v>552181</v>
      </c>
      <c r="F45">
        <v>4</v>
      </c>
      <c r="G45" t="str" cm="1">
        <f t="array" ref="G45">IFERROR(INDEX(ReferenceCard, MATCH(1, (INDEX(ReferenceCard,,1)=Table1[[#This Row],[SAP No]]) * (INDEX(ReferenceCard,,2)=Table1[[#This Row],[Mould No]]), 0), 3),)</f>
        <v>BC28-0090-D-APH-5180-3538-PP-6 NOTCHES-MOLD4</v>
      </c>
      <c r="H45">
        <v>0</v>
      </c>
      <c r="I45" cm="1">
        <f t="array" ref="I45">IFERROR(INDEX(ReferenceCard, MATCH(1, (INDEX(ReferenceCard,,1)=Table1[[#This Row],[SAP No]]) * (INDEX(ReferenceCard,,2)=Table1[[#This Row],[Mould No]]), 0), 4),)</f>
        <v>6</v>
      </c>
      <c r="J45" s="4" cm="1">
        <f t="array" ref="J45">IFERROR(INDEX(ReferenceCard, MATCH(1, (INDEX(ReferenceCard,,1)=Table1[[#This Row],[SAP No]]) * (INDEX(ReferenceCard,,2)=Table1[[#This Row],[Mould No]]), 0), 9),)</f>
        <v>18.8</v>
      </c>
      <c r="K45" s="4" cm="1">
        <f t="array" ref="K45">IFERROR(INDEX(ReferenceCard, MATCH(1, (INDEX(ReferenceCard,,1)=Table1[[#This Row],[SAP No]]) * (INDEX(ReferenceCard,,2)=Table1[[#This Row],[Mould No]]), 0), 7),)</f>
        <v>18.8</v>
      </c>
      <c r="L45">
        <v>0</v>
      </c>
      <c r="M45">
        <v>0</v>
      </c>
      <c r="N45">
        <v>0</v>
      </c>
      <c r="O45">
        <v>0</v>
      </c>
      <c r="P45">
        <f>Table1[[#This Row],[Shot]]*Table1[[#This Row],[Cav]]</f>
        <v>0</v>
      </c>
      <c r="Q45">
        <v>0</v>
      </c>
      <c r="R45">
        <f>(Table1[[#This Row],[Part Weight (gm)]]*Table1[[#This Row],[Finish Good]])/1000</f>
        <v>0</v>
      </c>
      <c r="S45">
        <v>0</v>
      </c>
      <c r="T45">
        <f>IF(Table1[[#This Row],[Qty Order]]="Sample","-",IF(Table1[[#This Row],[Qty Order]]="RTFN","-",Table1[[#This Row],[Qty Order]]-Table1[[#This Row],[Qty Accumulate]]))</f>
        <v>0</v>
      </c>
      <c r="U45">
        <f>((Table1[[#This Row],[Shift Output]]*Table1[[#This Row],[Part Weight (gm)]])/1000)+Table1[[#This Row],[Reject Startup (kg)]]+Table1[[#This Row],[Reject Purging (kg)]]+Table1[[#This Row],[Reject Preform (kg)]]</f>
        <v>0</v>
      </c>
      <c r="V45" s="37">
        <f>(Table1[[#This Row],[Gross Weight (gm)]]-Table1[[#This Row],[Part Weight (gm)]])*Table1[[#This Row],[Shift Output]]/1000</f>
        <v>0</v>
      </c>
      <c r="W45" s="3">
        <v>0</v>
      </c>
      <c r="X45" s="36" t="e">
        <f>Table1[[#This Row],[Reject Startup (kg)]]/Table1[[#This Row],[Material Used]]</f>
        <v>#DIV/0!</v>
      </c>
      <c r="Y45" s="3">
        <v>0</v>
      </c>
      <c r="Z45" s="36" t="e">
        <f>Table1[[#This Row],[Reject Prod (kg)]]/Table1[[#This Row],[Material Used]]</f>
        <v>#DIV/0!</v>
      </c>
      <c r="AA45" s="4">
        <v>0</v>
      </c>
      <c r="AB45" s="5">
        <v>12</v>
      </c>
      <c r="AC45" s="4" cm="1">
        <f t="array" ref="AC45">IFERROR(INDEX(ReferenceCard, MATCH(1, (INDEX(ReferenceCard,,1)=Table1[[#This Row],[SAP No]]) * (INDEX(ReferenceCard,,2)=Table1[[#This Row],[Mould No]]), 0), 9),)</f>
        <v>18.8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L45" s="2"/>
      <c r="AM45" s="2"/>
      <c r="AN45" s="3">
        <v>0</v>
      </c>
      <c r="AO45" s="3">
        <v>0</v>
      </c>
      <c r="AP4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" spans="1:42" x14ac:dyDescent="0.35">
      <c r="A46" s="1">
        <v>46021</v>
      </c>
      <c r="B46">
        <v>2</v>
      </c>
      <c r="C46" t="s">
        <v>29</v>
      </c>
      <c r="D46" t="str" cm="1">
        <f t="array" ref="D46">IFERROR(INDEX(ReferenceCard, MATCH(1, (INDEX(ReferenceCard,,1)=Table1[[#This Row],[SAP No]]) * (INDEX(ReferenceCard,,2)=Table1[[#This Row],[Mould No]]), 0), 6),)</f>
        <v>PET</v>
      </c>
      <c r="E46">
        <v>620599</v>
      </c>
      <c r="F46">
        <v>0</v>
      </c>
      <c r="G46" t="str" cm="1">
        <f t="array" ref="G46">IFERROR(INDEX(ReferenceCard, MATCH(1, (INDEX(ReferenceCard,,1)=Table1[[#This Row],[SAP No]]) * (INDEX(ReferenceCard,,2)=Table1[[#This Row],[Mould No]]), 0), 3),)</f>
        <v>BC28-0750-K4-R-CL (55g)</v>
      </c>
      <c r="H46">
        <v>0</v>
      </c>
      <c r="I46" cm="1">
        <f t="array" ref="I46">IFERROR(INDEX(ReferenceCard, MATCH(1, (INDEX(ReferenceCard,,1)=Table1[[#This Row],[SAP No]]) * (INDEX(ReferenceCard,,2)=Table1[[#This Row],[Mould No]]), 0), 4),)</f>
        <v>4</v>
      </c>
      <c r="J46" s="4" cm="1">
        <f t="array" ref="J46">IFERROR(INDEX(ReferenceCard, MATCH(1, (INDEX(ReferenceCard,,1)=Table1[[#This Row],[SAP No]]) * (INDEX(ReferenceCard,,2)=Table1[[#This Row],[Mould No]]), 0), 9),)</f>
        <v>55</v>
      </c>
      <c r="K46" s="4" cm="1">
        <f t="array" ref="K46">IFERROR(INDEX(ReferenceCard, MATCH(1, (INDEX(ReferenceCard,,1)=Table1[[#This Row],[SAP No]]) * (INDEX(ReferenceCard,,2)=Table1[[#This Row],[Mould No]]), 0), 7),)</f>
        <v>55</v>
      </c>
      <c r="L46">
        <v>0</v>
      </c>
      <c r="M46">
        <v>0</v>
      </c>
      <c r="N46">
        <v>0</v>
      </c>
      <c r="O46">
        <v>0</v>
      </c>
      <c r="P46">
        <f>Table1[[#This Row],[Shot]]*Table1[[#This Row],[Cav]]</f>
        <v>0</v>
      </c>
      <c r="Q46">
        <v>0</v>
      </c>
      <c r="R46">
        <f>(Table1[[#This Row],[Part Weight (gm)]]*Table1[[#This Row],[Finish Good]])/1000</f>
        <v>0</v>
      </c>
      <c r="S46">
        <v>0</v>
      </c>
      <c r="T46">
        <f>IF(Table1[[#This Row],[Qty Order]]="Sample","-",IF(Table1[[#This Row],[Qty Order]]="RTFN","-",Table1[[#This Row],[Qty Order]]-Table1[[#This Row],[Qty Accumulate]]))</f>
        <v>0</v>
      </c>
      <c r="U46">
        <f>((Table1[[#This Row],[Shift Output]]*Table1[[#This Row],[Part Weight (gm)]])/1000)+Table1[[#This Row],[Reject Startup (kg)]]+Table1[[#This Row],[Reject Purging (kg)]]+Table1[[#This Row],[Reject Preform (kg)]]</f>
        <v>0</v>
      </c>
      <c r="V46" s="37">
        <f>(Table1[[#This Row],[Gross Weight (gm)]]-Table1[[#This Row],[Part Weight (gm)]])*Table1[[#This Row],[Shift Output]]/1000</f>
        <v>0</v>
      </c>
      <c r="W46" s="3">
        <v>0</v>
      </c>
      <c r="X46" s="36" t="e">
        <f>Table1[[#This Row],[Reject Startup (kg)]]/Table1[[#This Row],[Material Used]]</f>
        <v>#DIV/0!</v>
      </c>
      <c r="Y46" s="3">
        <v>0</v>
      </c>
      <c r="Z46" s="36" t="e">
        <f>Table1[[#This Row],[Reject Prod (kg)]]/Table1[[#This Row],[Material Used]]</f>
        <v>#DIV/0!</v>
      </c>
      <c r="AA46" s="4">
        <v>0</v>
      </c>
      <c r="AB46" s="5">
        <v>12</v>
      </c>
      <c r="AC46" s="4" cm="1">
        <f t="array" ref="AC46">IFERROR(INDEX(ReferenceCard, MATCH(1, (INDEX(ReferenceCard,,1)=Table1[[#This Row],[SAP No]]) * (INDEX(ReferenceCard,,2)=Table1[[#This Row],[Mould No]]), 0), 9),)</f>
        <v>55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L46" s="2"/>
      <c r="AM46" s="2"/>
      <c r="AN46" s="3">
        <v>0</v>
      </c>
      <c r="AO46" s="3">
        <v>0</v>
      </c>
      <c r="AP4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" spans="1:42" x14ac:dyDescent="0.35">
      <c r="A47" s="1">
        <v>46021</v>
      </c>
      <c r="B47">
        <v>2</v>
      </c>
      <c r="C47" t="s">
        <v>31</v>
      </c>
      <c r="D47" t="str" cm="1">
        <f t="array" ref="D47">IFERROR(INDEX(ReferenceCard, MATCH(1, (INDEX(ReferenceCard,,1)=Table1[[#This Row],[SAP No]]) * (INDEX(ReferenceCard,,2)=Table1[[#This Row],[Mould No]]), 0), 6),)</f>
        <v>PPSB520Y</v>
      </c>
      <c r="E47">
        <v>586276</v>
      </c>
      <c r="F47">
        <v>4</v>
      </c>
      <c r="G47" t="str" cm="1">
        <f t="array" ref="G47">IFERROR(INDEX(ReferenceCard, MATCH(1, (INDEX(ReferenceCard,,1)=Table1[[#This Row],[SAP No]]) * (INDEX(ReferenceCard,,2)=Table1[[#This Row],[Mould No]]), 0), 3),)</f>
        <v>BC28-0056-D-APH-LEB-604001-MOLD4</v>
      </c>
      <c r="H47">
        <v>0</v>
      </c>
      <c r="I47" cm="1">
        <f t="array" ref="I47">IFERROR(INDEX(ReferenceCard, MATCH(1, (INDEX(ReferenceCard,,1)=Table1[[#This Row],[SAP No]]) * (INDEX(ReferenceCard,,2)=Table1[[#This Row],[Mould No]]), 0), 4),)</f>
        <v>6</v>
      </c>
      <c r="J47" s="4" cm="1">
        <f t="array" ref="J47">IFERROR(INDEX(ReferenceCard, MATCH(1, (INDEX(ReferenceCard,,1)=Table1[[#This Row],[SAP No]]) * (INDEX(ReferenceCard,,2)=Table1[[#This Row],[Mould No]]), 0), 9),)</f>
        <v>12.3</v>
      </c>
      <c r="K47" s="4" cm="1">
        <f t="array" ref="K47">IFERROR(INDEX(ReferenceCard, MATCH(1, (INDEX(ReferenceCard,,1)=Table1[[#This Row],[SAP No]]) * (INDEX(ReferenceCard,,2)=Table1[[#This Row],[Mould No]]), 0), 7),)</f>
        <v>12.3</v>
      </c>
      <c r="L47">
        <v>0</v>
      </c>
      <c r="M47">
        <v>0</v>
      </c>
      <c r="N47">
        <v>0</v>
      </c>
      <c r="O47">
        <v>0</v>
      </c>
      <c r="P47">
        <f>Table1[[#This Row],[Shot]]*Table1[[#This Row],[Cav]]</f>
        <v>0</v>
      </c>
      <c r="Q47">
        <v>0</v>
      </c>
      <c r="R47">
        <f>(Table1[[#This Row],[Part Weight (gm)]]*Table1[[#This Row],[Finish Good]])/1000</f>
        <v>0</v>
      </c>
      <c r="S47">
        <v>0</v>
      </c>
      <c r="T47">
        <f>IF(Table1[[#This Row],[Qty Order]]="Sample","-",IF(Table1[[#This Row],[Qty Order]]="RTFN","-",Table1[[#This Row],[Qty Order]]-Table1[[#This Row],[Qty Accumulate]]))</f>
        <v>0</v>
      </c>
      <c r="U47">
        <f>((Table1[[#This Row],[Shift Output]]*Table1[[#This Row],[Part Weight (gm)]])/1000)+Table1[[#This Row],[Reject Startup (kg)]]+Table1[[#This Row],[Reject Purging (kg)]]+Table1[[#This Row],[Reject Preform (kg)]]</f>
        <v>0</v>
      </c>
      <c r="V47" s="37">
        <f>(Table1[[#This Row],[Gross Weight (gm)]]-Table1[[#This Row],[Part Weight (gm)]])*Table1[[#This Row],[Shift Output]]/1000</f>
        <v>0</v>
      </c>
      <c r="W47" s="3">
        <v>0</v>
      </c>
      <c r="X47" s="36" t="e">
        <f>Table1[[#This Row],[Reject Startup (kg)]]/Table1[[#This Row],[Material Used]]</f>
        <v>#DIV/0!</v>
      </c>
      <c r="Y47" s="3">
        <v>0</v>
      </c>
      <c r="Z47" s="36" t="e">
        <f>Table1[[#This Row],[Reject Prod (kg)]]/Table1[[#This Row],[Material Used]]</f>
        <v>#DIV/0!</v>
      </c>
      <c r="AA47" s="4">
        <v>0</v>
      </c>
      <c r="AB47" s="5">
        <v>12</v>
      </c>
      <c r="AC47" s="4" cm="1">
        <f t="array" ref="AC47">IFERROR(INDEX(ReferenceCard, MATCH(1, (INDEX(ReferenceCard,,1)=Table1[[#This Row],[SAP No]]) * (INDEX(ReferenceCard,,2)=Table1[[#This Row],[Mould No]]), 0), 9),)</f>
        <v>12.3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L47" s="2"/>
      <c r="AM47" s="2"/>
      <c r="AN47" s="3">
        <v>0</v>
      </c>
      <c r="AO47" s="3">
        <v>0</v>
      </c>
      <c r="AP4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" spans="1:42" x14ac:dyDescent="0.35">
      <c r="A48" s="1">
        <v>46021</v>
      </c>
      <c r="B48">
        <v>2</v>
      </c>
      <c r="C48" t="s">
        <v>33</v>
      </c>
      <c r="D48" t="str" cm="1">
        <f t="array" ref="D48">IFERROR(INDEX(ReferenceCard, MATCH(1, (INDEX(ReferenceCard,,1)=Table1[[#This Row],[SAP No]]) * (INDEX(ReferenceCard,,2)=Table1[[#This Row],[Mould No]]), 0), 6),)</f>
        <v>PET</v>
      </c>
      <c r="E48">
        <v>541381</v>
      </c>
      <c r="F48">
        <v>0</v>
      </c>
      <c r="G48" t="str" cm="1">
        <f t="array" ref="G48">IFERROR(INDEX(ReferenceCard, MATCH(1, (INDEX(ReferenceCard,,1)=Table1[[#This Row],[SAP No]]) * (INDEX(ReferenceCard,,2)=Table1[[#This Row],[Mould No]]), 0), 3),)</f>
        <v>BC28-1200-K-R-CL</v>
      </c>
      <c r="H48">
        <v>0</v>
      </c>
      <c r="I48" cm="1">
        <f t="array" ref="I48">IFERROR(INDEX(ReferenceCard, MATCH(1, (INDEX(ReferenceCard,,1)=Table1[[#This Row],[SAP No]]) * (INDEX(ReferenceCard,,2)=Table1[[#This Row],[Mould No]]), 0), 4),)</f>
        <v>4</v>
      </c>
      <c r="J48" s="4" cm="1">
        <f t="array" ref="J48">IFERROR(INDEX(ReferenceCard, MATCH(1, (INDEX(ReferenceCard,,1)=Table1[[#This Row],[SAP No]]) * (INDEX(ReferenceCard,,2)=Table1[[#This Row],[Mould No]]), 0), 9),)</f>
        <v>55</v>
      </c>
      <c r="K48" s="4" cm="1">
        <f t="array" ref="K48">IFERROR(INDEX(ReferenceCard, MATCH(1, (INDEX(ReferenceCard,,1)=Table1[[#This Row],[SAP No]]) * (INDEX(ReferenceCard,,2)=Table1[[#This Row],[Mould No]]), 0), 7),)</f>
        <v>55</v>
      </c>
      <c r="L48">
        <v>0</v>
      </c>
      <c r="M48">
        <v>0</v>
      </c>
      <c r="N48">
        <v>0</v>
      </c>
      <c r="O48">
        <v>0</v>
      </c>
      <c r="P48">
        <f>Table1[[#This Row],[Shot]]*Table1[[#This Row],[Cav]]</f>
        <v>0</v>
      </c>
      <c r="Q48">
        <v>0</v>
      </c>
      <c r="R48">
        <f>(Table1[[#This Row],[Part Weight (gm)]]*Table1[[#This Row],[Finish Good]])/1000</f>
        <v>0</v>
      </c>
      <c r="S48">
        <v>0</v>
      </c>
      <c r="T48">
        <f>IF(Table1[[#This Row],[Qty Order]]="Sample","-",IF(Table1[[#This Row],[Qty Order]]="RTFN","-",Table1[[#This Row],[Qty Order]]-Table1[[#This Row],[Qty Accumulate]]))</f>
        <v>0</v>
      </c>
      <c r="U48">
        <f>((Table1[[#This Row],[Shift Output]]*Table1[[#This Row],[Part Weight (gm)]])/1000)+Table1[[#This Row],[Reject Startup (kg)]]+Table1[[#This Row],[Reject Purging (kg)]]+Table1[[#This Row],[Reject Preform (kg)]]</f>
        <v>0</v>
      </c>
      <c r="V48" s="37">
        <f>(Table1[[#This Row],[Gross Weight (gm)]]-Table1[[#This Row],[Part Weight (gm)]])*Table1[[#This Row],[Shift Output]]/1000</f>
        <v>0</v>
      </c>
      <c r="W48" s="3">
        <v>0</v>
      </c>
      <c r="X48" s="36" t="e">
        <f>Table1[[#This Row],[Reject Startup (kg)]]/Table1[[#This Row],[Material Used]]</f>
        <v>#DIV/0!</v>
      </c>
      <c r="Y48" s="3">
        <v>0</v>
      </c>
      <c r="Z48" s="36" t="e">
        <f>Table1[[#This Row],[Reject Prod (kg)]]/Table1[[#This Row],[Material Used]]</f>
        <v>#DIV/0!</v>
      </c>
      <c r="AA48" s="4">
        <v>0</v>
      </c>
      <c r="AB48" s="5">
        <v>12</v>
      </c>
      <c r="AC48" s="4" cm="1">
        <f t="array" ref="AC48">IFERROR(INDEX(ReferenceCard, MATCH(1, (INDEX(ReferenceCard,,1)=Table1[[#This Row],[SAP No]]) * (INDEX(ReferenceCard,,2)=Table1[[#This Row],[Mould No]]), 0), 9),)</f>
        <v>55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L48" s="2"/>
      <c r="AM48" s="2"/>
      <c r="AN48" s="3">
        <v>0</v>
      </c>
      <c r="AO48" s="3">
        <v>0</v>
      </c>
      <c r="AP4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" spans="1:42" x14ac:dyDescent="0.35">
      <c r="A49" s="1">
        <v>46021</v>
      </c>
      <c r="B49">
        <v>2</v>
      </c>
      <c r="C49" t="s">
        <v>35</v>
      </c>
      <c r="D49" t="str" cm="1">
        <f t="array" ref="D49">IFERROR(INDEX(ReferenceCard, MATCH(1, (INDEX(ReferenceCard,,1)=Table1[[#This Row],[SAP No]]) * (INDEX(ReferenceCard,,2)=Table1[[#This Row],[Mould No]]), 0), 6),)</f>
        <v>PPSB520Y</v>
      </c>
      <c r="E49">
        <v>552181</v>
      </c>
      <c r="F49">
        <v>1</v>
      </c>
      <c r="G49" t="str" cm="1">
        <f t="array" ref="G49">IFERROR(INDEX(ReferenceCard, MATCH(1, (INDEX(ReferenceCard,,1)=Table1[[#This Row],[SAP No]]) * (INDEX(ReferenceCard,,2)=Table1[[#This Row],[Mould No]]), 0), 3),)</f>
        <v>BC28-0090-D-APH-5180-3538-PP-6 NOTCHES-MOLD1</v>
      </c>
      <c r="H49">
        <v>0</v>
      </c>
      <c r="I49" cm="1">
        <f t="array" ref="I49">IFERROR(INDEX(ReferenceCard, MATCH(1, (INDEX(ReferenceCard,,1)=Table1[[#This Row],[SAP No]]) * (INDEX(ReferenceCard,,2)=Table1[[#This Row],[Mould No]]), 0), 4),)</f>
        <v>6</v>
      </c>
      <c r="J49" s="4" cm="1">
        <f t="array" ref="J49">IFERROR(INDEX(ReferenceCard, MATCH(1, (INDEX(ReferenceCard,,1)=Table1[[#This Row],[SAP No]]) * (INDEX(ReferenceCard,,2)=Table1[[#This Row],[Mould No]]), 0), 9),)</f>
        <v>18.8</v>
      </c>
      <c r="K49" s="4" cm="1">
        <f t="array" ref="K49">IFERROR(INDEX(ReferenceCard, MATCH(1, (INDEX(ReferenceCard,,1)=Table1[[#This Row],[SAP No]]) * (INDEX(ReferenceCard,,2)=Table1[[#This Row],[Mould No]]), 0), 7),)</f>
        <v>18.8</v>
      </c>
      <c r="L49">
        <v>0</v>
      </c>
      <c r="M49">
        <v>0</v>
      </c>
      <c r="N49">
        <v>0</v>
      </c>
      <c r="O49">
        <v>0</v>
      </c>
      <c r="P49">
        <f>Table1[[#This Row],[Shot]]*Table1[[#This Row],[Cav]]</f>
        <v>0</v>
      </c>
      <c r="Q49">
        <v>0</v>
      </c>
      <c r="R49">
        <f>(Table1[[#This Row],[Part Weight (gm)]]*Table1[[#This Row],[Finish Good]])/1000</f>
        <v>0</v>
      </c>
      <c r="S49">
        <v>0</v>
      </c>
      <c r="T49">
        <f>IF(Table1[[#This Row],[Qty Order]]="Sample","-",IF(Table1[[#This Row],[Qty Order]]="RTFN","-",Table1[[#This Row],[Qty Order]]-Table1[[#This Row],[Qty Accumulate]]))</f>
        <v>0</v>
      </c>
      <c r="U49">
        <f>((Table1[[#This Row],[Shift Output]]*Table1[[#This Row],[Part Weight (gm)]])/1000)+Table1[[#This Row],[Reject Startup (kg)]]+Table1[[#This Row],[Reject Purging (kg)]]+Table1[[#This Row],[Reject Preform (kg)]]</f>
        <v>0</v>
      </c>
      <c r="V49" s="37">
        <f>(Table1[[#This Row],[Gross Weight (gm)]]-Table1[[#This Row],[Part Weight (gm)]])*Table1[[#This Row],[Shift Output]]/1000</f>
        <v>0</v>
      </c>
      <c r="W49" s="3">
        <v>0</v>
      </c>
      <c r="X49" s="36" t="e">
        <f>Table1[[#This Row],[Reject Startup (kg)]]/Table1[[#This Row],[Material Used]]</f>
        <v>#DIV/0!</v>
      </c>
      <c r="Y49" s="3">
        <v>0</v>
      </c>
      <c r="Z49" s="36" t="e">
        <f>Table1[[#This Row],[Reject Prod (kg)]]/Table1[[#This Row],[Material Used]]</f>
        <v>#DIV/0!</v>
      </c>
      <c r="AA49" s="4">
        <v>0</v>
      </c>
      <c r="AB49" s="5">
        <v>12</v>
      </c>
      <c r="AC49" s="4" cm="1">
        <f t="array" ref="AC49">IFERROR(INDEX(ReferenceCard, MATCH(1, (INDEX(ReferenceCard,,1)=Table1[[#This Row],[SAP No]]) * (INDEX(ReferenceCard,,2)=Table1[[#This Row],[Mould No]]), 0), 9),)</f>
        <v>18.8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L49" s="2"/>
      <c r="AM49" s="2"/>
      <c r="AN49" s="3">
        <v>0</v>
      </c>
      <c r="AO49" s="3">
        <v>0</v>
      </c>
      <c r="AP4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" spans="1:42" x14ac:dyDescent="0.35">
      <c r="A50" s="1">
        <v>46021</v>
      </c>
      <c r="B50">
        <v>2</v>
      </c>
      <c r="C50" t="s">
        <v>18</v>
      </c>
      <c r="D50" t="str" cm="1">
        <f t="array" ref="D50">IFERROR(INDEX(ReferenceCard, MATCH(1, (INDEX(ReferenceCard,,1)=Table1[[#This Row],[SAP No]]) * (INDEX(ReferenceCard,,2)=Table1[[#This Row],[Mould No]]), 0), 6),)</f>
        <v>PPSB520Y</v>
      </c>
      <c r="E50">
        <v>555979</v>
      </c>
      <c r="F50">
        <v>4</v>
      </c>
      <c r="G50" t="str" cm="1">
        <f t="array" ref="G50">IFERROR(INDEX(ReferenceCard, MATCH(1, (INDEX(ReferenceCard,,1)=Table1[[#This Row],[SAP No]]) * (INDEX(ReferenceCard,,2)=Table1[[#This Row],[Mould No]]), 0), 3),)</f>
        <v>BC28-0170-D-APH-5180-3539-PP-6 NOTCHES-MOLD4</v>
      </c>
      <c r="H50">
        <v>0</v>
      </c>
      <c r="I50" cm="1">
        <f t="array" ref="I50">IFERROR(INDEX(ReferenceCard, MATCH(1, (INDEX(ReferenceCard,,1)=Table1[[#This Row],[SAP No]]) * (INDEX(ReferenceCard,,2)=Table1[[#This Row],[Mould No]]), 0), 4),)</f>
        <v>6</v>
      </c>
      <c r="J50" s="4" cm="1">
        <f t="array" ref="J50">IFERROR(INDEX(ReferenceCard, MATCH(1, (INDEX(ReferenceCard,,1)=Table1[[#This Row],[SAP No]]) * (INDEX(ReferenceCard,,2)=Table1[[#This Row],[Mould No]]), 0), 9),)</f>
        <v>28</v>
      </c>
      <c r="K50" s="4" cm="1">
        <f t="array" ref="K50">IFERROR(INDEX(ReferenceCard, MATCH(1, (INDEX(ReferenceCard,,1)=Table1[[#This Row],[SAP No]]) * (INDEX(ReferenceCard,,2)=Table1[[#This Row],[Mould No]]), 0), 7),)</f>
        <v>28</v>
      </c>
      <c r="L50">
        <v>931</v>
      </c>
      <c r="M50">
        <v>0</v>
      </c>
      <c r="N50">
        <v>0</v>
      </c>
      <c r="O50">
        <v>0</v>
      </c>
      <c r="P50">
        <f>Table1[[#This Row],[Shot]]*Table1[[#This Row],[Cav]]</f>
        <v>5586</v>
      </c>
      <c r="Q50">
        <v>0</v>
      </c>
      <c r="R50">
        <f>(Table1[[#This Row],[Part Weight (gm)]]*Table1[[#This Row],[Finish Good]])/1000</f>
        <v>0</v>
      </c>
      <c r="S50">
        <v>0</v>
      </c>
      <c r="T50">
        <f>IF(Table1[[#This Row],[Qty Order]]="Sample","-",IF(Table1[[#This Row],[Qty Order]]="RTFN","-",Table1[[#This Row],[Qty Order]]-Table1[[#This Row],[Qty Accumulate]]))</f>
        <v>0</v>
      </c>
      <c r="U50">
        <f>((Table1[[#This Row],[Shift Output]]*Table1[[#This Row],[Part Weight (gm)]])/1000)+Table1[[#This Row],[Reject Startup (kg)]]+Table1[[#This Row],[Reject Purging (kg)]]+Table1[[#This Row],[Reject Preform (kg)]]</f>
        <v>156.40799999999999</v>
      </c>
      <c r="V50" s="37">
        <f>(Table1[[#This Row],[Gross Weight (gm)]]-Table1[[#This Row],[Part Weight (gm)]])*Table1[[#This Row],[Shift Output]]/1000</f>
        <v>0</v>
      </c>
      <c r="W50" s="3">
        <v>0</v>
      </c>
      <c r="X50" s="36">
        <f>Table1[[#This Row],[Reject Startup (kg)]]/Table1[[#This Row],[Material Used]]</f>
        <v>0</v>
      </c>
      <c r="Y50" s="3">
        <v>0</v>
      </c>
      <c r="Z50" s="36">
        <f>Table1[[#This Row],[Reject Prod (kg)]]/Table1[[#This Row],[Material Used]]</f>
        <v>0</v>
      </c>
      <c r="AA50" s="4">
        <v>43.5</v>
      </c>
      <c r="AB50" s="5">
        <v>12</v>
      </c>
      <c r="AC50" s="4" cm="1">
        <f t="array" ref="AC50">IFERROR(INDEX(ReferenceCard, MATCH(1, (INDEX(ReferenceCard,,1)=Table1[[#This Row],[SAP No]]) * (INDEX(ReferenceCard,,2)=Table1[[#This Row],[Mould No]]), 0), 9),)</f>
        <v>28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L50" s="2"/>
      <c r="AM50" s="2"/>
      <c r="AN50" s="3">
        <v>0</v>
      </c>
      <c r="AO50" s="3">
        <v>0</v>
      </c>
      <c r="AP5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" spans="1:42" x14ac:dyDescent="0.35">
      <c r="A51" s="1">
        <v>46021</v>
      </c>
      <c r="B51">
        <v>1</v>
      </c>
      <c r="C51" t="s">
        <v>0</v>
      </c>
      <c r="D51" t="str" cm="1">
        <f t="array" ref="D51">IFERROR(INDEX(ReferenceCard, MATCH(1, (INDEX(ReferenceCard,,1)=Table1[[#This Row],[SAP No]]) * (INDEX(ReferenceCard,,2)=Table1[[#This Row],[Mould No]]), 0), 6),)</f>
        <v>PET</v>
      </c>
      <c r="E51">
        <v>347623</v>
      </c>
      <c r="F51">
        <v>0</v>
      </c>
      <c r="G51" t="str" cm="1">
        <f t="array" ref="G51">IFERROR(INDEX(ReferenceCard, MATCH(1, (INDEX(ReferenceCard,,1)=Table1[[#This Row],[SAP No]]) * (INDEX(ReferenceCard,,2)=Table1[[#This Row],[Mould No]]), 0), 3),)</f>
        <v>BC28-0375-K-R-CL</v>
      </c>
      <c r="H51">
        <v>0</v>
      </c>
      <c r="I51" cm="1">
        <f t="array" ref="I51">IFERROR(INDEX(ReferenceCard, MATCH(1, (INDEX(ReferenceCard,,1)=Table1[[#This Row],[SAP No]]) * (INDEX(ReferenceCard,,2)=Table1[[#This Row],[Mould No]]), 0), 4),)</f>
        <v>4</v>
      </c>
      <c r="J51" s="4" cm="1">
        <f t="array" ref="J51">IFERROR(INDEX(ReferenceCard, MATCH(1, (INDEX(ReferenceCard,,1)=Table1[[#This Row],[SAP No]]) * (INDEX(ReferenceCard,,2)=Table1[[#This Row],[Mould No]]), 0), 9),)</f>
        <v>35.6</v>
      </c>
      <c r="K51" s="4" cm="1">
        <f t="array" ref="K51">IFERROR(INDEX(ReferenceCard, MATCH(1, (INDEX(ReferenceCard,,1)=Table1[[#This Row],[SAP No]]) * (INDEX(ReferenceCard,,2)=Table1[[#This Row],[Mould No]]), 0), 7),)</f>
        <v>35.6</v>
      </c>
      <c r="L51">
        <v>0</v>
      </c>
      <c r="M51">
        <v>0</v>
      </c>
      <c r="N51">
        <v>0</v>
      </c>
      <c r="O51">
        <v>0</v>
      </c>
      <c r="P51">
        <f>Table1[[#This Row],[Shot]]*Table1[[#This Row],[Cav]]</f>
        <v>0</v>
      </c>
      <c r="Q51">
        <v>0</v>
      </c>
      <c r="R51">
        <f>(Table1[[#This Row],[Part Weight (gm)]]*Table1[[#This Row],[Finish Good]])/1000</f>
        <v>0</v>
      </c>
      <c r="S51">
        <v>0</v>
      </c>
      <c r="T51">
        <f>IF(Table1[[#This Row],[Qty Order]]="Sample","-",IF(Table1[[#This Row],[Qty Order]]="RTFN","-",Table1[[#This Row],[Qty Order]]-Table1[[#This Row],[Qty Accumulate]]))</f>
        <v>0</v>
      </c>
      <c r="U51">
        <f>((Table1[[#This Row],[Shift Output]]*Table1[[#This Row],[Part Weight (gm)]])/1000)+Table1[[#This Row],[Reject Startup (kg)]]+Table1[[#This Row],[Reject Purging (kg)]]+Table1[[#This Row],[Reject Preform (kg)]]</f>
        <v>0</v>
      </c>
      <c r="V51" s="37">
        <f>(Table1[[#This Row],[Gross Weight (gm)]]-Table1[[#This Row],[Part Weight (gm)]])*Table1[[#This Row],[Shift Output]]/1000</f>
        <v>0</v>
      </c>
      <c r="W51" s="3">
        <v>0</v>
      </c>
      <c r="X51" s="36" t="e">
        <f>Table1[[#This Row],[Reject Startup (kg)]]/Table1[[#This Row],[Material Used]]</f>
        <v>#DIV/0!</v>
      </c>
      <c r="Y51" s="3">
        <v>0</v>
      </c>
      <c r="Z51" s="36" t="e">
        <f>Table1[[#This Row],[Reject Prod (kg)]]/Table1[[#This Row],[Material Used]]</f>
        <v>#DIV/0!</v>
      </c>
      <c r="AA51" s="4">
        <v>0</v>
      </c>
      <c r="AB51" s="5">
        <v>0</v>
      </c>
      <c r="AC51" s="4" cm="1">
        <f t="array" ref="AC51">IFERROR(INDEX(ReferenceCard, MATCH(1, (INDEX(ReferenceCard,,1)=Table1[[#This Row],[SAP No]]) * (INDEX(ReferenceCard,,2)=Table1[[#This Row],[Mould No]]), 0), 9),)</f>
        <v>35.6</v>
      </c>
      <c r="AD51" s="5">
        <v>0</v>
      </c>
      <c r="AE51" s="5">
        <v>0</v>
      </c>
      <c r="AF51" s="5">
        <v>0</v>
      </c>
      <c r="AG51" s="5">
        <v>12</v>
      </c>
      <c r="AH51" s="5">
        <v>0</v>
      </c>
      <c r="AI51" s="5">
        <v>0</v>
      </c>
      <c r="AJ51" s="5">
        <v>0</v>
      </c>
      <c r="AL51" s="2"/>
      <c r="AM51" s="2"/>
      <c r="AN51" s="3">
        <v>0</v>
      </c>
      <c r="AO51" s="3">
        <v>0</v>
      </c>
      <c r="AP5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" spans="1:42" x14ac:dyDescent="0.35">
      <c r="A52" s="1">
        <v>46021</v>
      </c>
      <c r="B52">
        <v>1</v>
      </c>
      <c r="C52" t="s">
        <v>3</v>
      </c>
      <c r="D52" t="str" cm="1">
        <f t="array" ref="D52">IFERROR(INDEX(ReferenceCard, MATCH(1, (INDEX(ReferenceCard,,1)=Table1[[#This Row],[SAP No]]) * (INDEX(ReferenceCard,,2)=Table1[[#This Row],[Mould No]]), 0), 6),)</f>
        <v>PET</v>
      </c>
      <c r="E52">
        <v>322493</v>
      </c>
      <c r="F52">
        <v>0</v>
      </c>
      <c r="G52" t="str" cm="1">
        <f t="array" ref="G52">IFERROR(INDEX(ReferenceCard, MATCH(1, (INDEX(ReferenceCard,,1)=Table1[[#This Row],[SAP No]]) * (INDEX(ReferenceCard,,2)=Table1[[#This Row],[Mould No]]), 0), 3),)</f>
        <v>BC28-0280-HD-R-CL-LW</v>
      </c>
      <c r="H52">
        <v>0</v>
      </c>
      <c r="I52" cm="1">
        <f t="array" ref="I52">IFERROR(INDEX(ReferenceCard, MATCH(1, (INDEX(ReferenceCard,,1)=Table1[[#This Row],[SAP No]]) * (INDEX(ReferenceCard,,2)=Table1[[#This Row],[Mould No]]), 0), 4),)</f>
        <v>4</v>
      </c>
      <c r="J52" s="4" cm="1">
        <f t="array" ref="J52">IFERROR(INDEX(ReferenceCard, MATCH(1, (INDEX(ReferenceCard,,1)=Table1[[#This Row],[SAP No]]) * (INDEX(ReferenceCard,,2)=Table1[[#This Row],[Mould No]]), 0), 9),)</f>
        <v>23</v>
      </c>
      <c r="K52" s="4" cm="1">
        <f t="array" ref="K52">IFERROR(INDEX(ReferenceCard, MATCH(1, (INDEX(ReferenceCard,,1)=Table1[[#This Row],[SAP No]]) * (INDEX(ReferenceCard,,2)=Table1[[#This Row],[Mould No]]), 0), 7),)</f>
        <v>23</v>
      </c>
      <c r="L52">
        <v>0</v>
      </c>
      <c r="M52">
        <v>0</v>
      </c>
      <c r="N52">
        <v>0</v>
      </c>
      <c r="O52">
        <v>0</v>
      </c>
      <c r="P52">
        <f>Table1[[#This Row],[Shot]]*Table1[[#This Row],[Cav]]</f>
        <v>0</v>
      </c>
      <c r="Q52">
        <v>0</v>
      </c>
      <c r="R52">
        <f>(Table1[[#This Row],[Part Weight (gm)]]*Table1[[#This Row],[Finish Good]])/1000</f>
        <v>0</v>
      </c>
      <c r="S52">
        <v>0</v>
      </c>
      <c r="T52">
        <f>IF(Table1[[#This Row],[Qty Order]]="Sample","-",IF(Table1[[#This Row],[Qty Order]]="RTFN","-",Table1[[#This Row],[Qty Order]]-Table1[[#This Row],[Qty Accumulate]]))</f>
        <v>0</v>
      </c>
      <c r="U52">
        <f>((Table1[[#This Row],[Shift Output]]*Table1[[#This Row],[Part Weight (gm)]])/1000)+Table1[[#This Row],[Reject Startup (kg)]]+Table1[[#This Row],[Reject Purging (kg)]]+Table1[[#This Row],[Reject Preform (kg)]]</f>
        <v>0</v>
      </c>
      <c r="V52" s="37">
        <f>(Table1[[#This Row],[Gross Weight (gm)]]-Table1[[#This Row],[Part Weight (gm)]])*Table1[[#This Row],[Shift Output]]/1000</f>
        <v>0</v>
      </c>
      <c r="W52" s="3">
        <v>0</v>
      </c>
      <c r="X52" s="36" t="e">
        <f>Table1[[#This Row],[Reject Startup (kg)]]/Table1[[#This Row],[Material Used]]</f>
        <v>#DIV/0!</v>
      </c>
      <c r="Y52" s="3">
        <v>0</v>
      </c>
      <c r="Z52" s="36" t="e">
        <f>Table1[[#This Row],[Reject Prod (kg)]]/Table1[[#This Row],[Material Used]]</f>
        <v>#DIV/0!</v>
      </c>
      <c r="AA52" s="4">
        <v>0</v>
      </c>
      <c r="AB52" s="5">
        <v>12</v>
      </c>
      <c r="AC52" s="4" cm="1">
        <f t="array" ref="AC52">IFERROR(INDEX(ReferenceCard, MATCH(1, (INDEX(ReferenceCard,,1)=Table1[[#This Row],[SAP No]]) * (INDEX(ReferenceCard,,2)=Table1[[#This Row],[Mould No]]), 0), 9),)</f>
        <v>23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L52" s="2"/>
      <c r="AM52" s="2"/>
      <c r="AN52" s="3">
        <v>0</v>
      </c>
      <c r="AO52" s="3">
        <v>0</v>
      </c>
      <c r="AP5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" spans="1:42" x14ac:dyDescent="0.35">
      <c r="A53" s="1">
        <v>46021</v>
      </c>
      <c r="B53">
        <v>1</v>
      </c>
      <c r="C53" t="s">
        <v>5</v>
      </c>
      <c r="D53" t="str" cm="1">
        <f t="array" ref="D53">IFERROR(INDEX(ReferenceCard, MATCH(1, (INDEX(ReferenceCard,,1)=Table1[[#This Row],[SAP No]]) * (INDEX(ReferenceCard,,2)=Table1[[#This Row],[Mould No]]), 0), 6),)</f>
        <v>PET</v>
      </c>
      <c r="E53">
        <v>442034</v>
      </c>
      <c r="F53">
        <v>0</v>
      </c>
      <c r="G53" t="str" cm="1">
        <f t="array" ref="G53">IFERROR(INDEX(ReferenceCard, MATCH(1, (INDEX(ReferenceCard,,1)=Table1[[#This Row],[SAP No]]) * (INDEX(ReferenceCard,,2)=Table1[[#This Row],[Mould No]]), 0), 3),)</f>
        <v>BC28-0250-Z-S-CL</v>
      </c>
      <c r="H53">
        <v>0</v>
      </c>
      <c r="I53" cm="1">
        <f t="array" ref="I53">IFERROR(INDEX(ReferenceCard, MATCH(1, (INDEX(ReferenceCard,,1)=Table1[[#This Row],[SAP No]]) * (INDEX(ReferenceCard,,2)=Table1[[#This Row],[Mould No]]), 0), 4),)</f>
        <v>4</v>
      </c>
      <c r="J53" s="4" cm="1">
        <f t="array" ref="J53">IFERROR(INDEX(ReferenceCard, MATCH(1, (INDEX(ReferenceCard,,1)=Table1[[#This Row],[SAP No]]) * (INDEX(ReferenceCard,,2)=Table1[[#This Row],[Mould No]]), 0), 9),)</f>
        <v>23</v>
      </c>
      <c r="K53" s="4" cm="1">
        <f t="array" ref="K53">IFERROR(INDEX(ReferenceCard, MATCH(1, (INDEX(ReferenceCard,,1)=Table1[[#This Row],[SAP No]]) * (INDEX(ReferenceCard,,2)=Table1[[#This Row],[Mould No]]), 0), 7),)</f>
        <v>23</v>
      </c>
      <c r="L53">
        <v>0</v>
      </c>
      <c r="M53">
        <v>0</v>
      </c>
      <c r="N53">
        <v>0</v>
      </c>
      <c r="O53">
        <v>0</v>
      </c>
      <c r="P53">
        <f>Table1[[#This Row],[Shot]]*Table1[[#This Row],[Cav]]</f>
        <v>0</v>
      </c>
      <c r="Q53">
        <v>0</v>
      </c>
      <c r="R53">
        <f>(Table1[[#This Row],[Part Weight (gm)]]*Table1[[#This Row],[Finish Good]])/1000</f>
        <v>0</v>
      </c>
      <c r="S53">
        <v>0</v>
      </c>
      <c r="T53">
        <f>IF(Table1[[#This Row],[Qty Order]]="Sample","-",IF(Table1[[#This Row],[Qty Order]]="RTFN","-",Table1[[#This Row],[Qty Order]]-Table1[[#This Row],[Qty Accumulate]]))</f>
        <v>0</v>
      </c>
      <c r="U53">
        <f>((Table1[[#This Row],[Shift Output]]*Table1[[#This Row],[Part Weight (gm)]])/1000)+Table1[[#This Row],[Reject Startup (kg)]]+Table1[[#This Row],[Reject Purging (kg)]]+Table1[[#This Row],[Reject Preform (kg)]]</f>
        <v>0</v>
      </c>
      <c r="V53" s="37">
        <f>(Table1[[#This Row],[Gross Weight (gm)]]-Table1[[#This Row],[Part Weight (gm)]])*Table1[[#This Row],[Shift Output]]/1000</f>
        <v>0</v>
      </c>
      <c r="W53" s="3">
        <v>0</v>
      </c>
      <c r="X53" s="36" t="e">
        <f>Table1[[#This Row],[Reject Startup (kg)]]/Table1[[#This Row],[Material Used]]</f>
        <v>#DIV/0!</v>
      </c>
      <c r="Y53" s="3">
        <v>0</v>
      </c>
      <c r="Z53" s="36" t="e">
        <f>Table1[[#This Row],[Reject Prod (kg)]]/Table1[[#This Row],[Material Used]]</f>
        <v>#DIV/0!</v>
      </c>
      <c r="AA53" s="4">
        <v>0</v>
      </c>
      <c r="AB53" s="5">
        <v>12</v>
      </c>
      <c r="AC53" s="4" cm="1">
        <f t="array" ref="AC53">IFERROR(INDEX(ReferenceCard, MATCH(1, (INDEX(ReferenceCard,,1)=Table1[[#This Row],[SAP No]]) * (INDEX(ReferenceCard,,2)=Table1[[#This Row],[Mould No]]), 0), 9),)</f>
        <v>23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L53" s="2"/>
      <c r="AM53" s="2"/>
      <c r="AN53" s="3">
        <v>0</v>
      </c>
      <c r="AO53" s="3">
        <v>0</v>
      </c>
      <c r="AP5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" spans="1:42" x14ac:dyDescent="0.35">
      <c r="A54" s="1">
        <v>46021</v>
      </c>
      <c r="B54">
        <v>1</v>
      </c>
      <c r="C54" t="s">
        <v>7</v>
      </c>
      <c r="D54" t="str" cm="1">
        <f t="array" ref="D54">IFERROR(INDEX(ReferenceCard, MATCH(1, (INDEX(ReferenceCard,,1)=Table1[[#This Row],[SAP No]]) * (INDEX(ReferenceCard,,2)=Table1[[#This Row],[Mould No]]), 0), 6),)</f>
        <v>PET</v>
      </c>
      <c r="E54">
        <v>426555</v>
      </c>
      <c r="F54">
        <v>0</v>
      </c>
      <c r="G54" t="str" cm="1">
        <f t="array" ref="G54">IFERROR(INDEX(ReferenceCard, MATCH(1, (INDEX(ReferenceCard,,1)=Table1[[#This Row],[SAP No]]) * (INDEX(ReferenceCard,,2)=Table1[[#This Row],[Mould No]]), 0), 3),)</f>
        <v>BX38-0330-Z-S-CL-HW</v>
      </c>
      <c r="H54">
        <v>0</v>
      </c>
      <c r="I54" cm="1">
        <f t="array" ref="I54">IFERROR(INDEX(ReferenceCard, MATCH(1, (INDEX(ReferenceCard,,1)=Table1[[#This Row],[SAP No]]) * (INDEX(ReferenceCard,,2)=Table1[[#This Row],[Mould No]]), 0), 4),)</f>
        <v>4</v>
      </c>
      <c r="J54" s="4" cm="1">
        <f t="array" ref="J54">IFERROR(INDEX(ReferenceCard, MATCH(1, (INDEX(ReferenceCard,,1)=Table1[[#This Row],[SAP No]]) * (INDEX(ReferenceCard,,2)=Table1[[#This Row],[Mould No]]), 0), 9),)</f>
        <v>29</v>
      </c>
      <c r="K54" s="4" cm="1">
        <f t="array" ref="K54">IFERROR(INDEX(ReferenceCard, MATCH(1, (INDEX(ReferenceCard,,1)=Table1[[#This Row],[SAP No]]) * (INDEX(ReferenceCard,,2)=Table1[[#This Row],[Mould No]]), 0), 7),)</f>
        <v>29</v>
      </c>
      <c r="L54">
        <v>0</v>
      </c>
      <c r="M54">
        <v>0</v>
      </c>
      <c r="N54">
        <v>0</v>
      </c>
      <c r="O54">
        <v>0</v>
      </c>
      <c r="P54">
        <f>Table1[[#This Row],[Shot]]*Table1[[#This Row],[Cav]]</f>
        <v>0</v>
      </c>
      <c r="Q54">
        <v>0</v>
      </c>
      <c r="R54">
        <f>(Table1[[#This Row],[Part Weight (gm)]]*Table1[[#This Row],[Finish Good]])/1000</f>
        <v>0</v>
      </c>
      <c r="S54">
        <v>0</v>
      </c>
      <c r="T54">
        <f>IF(Table1[[#This Row],[Qty Order]]="Sample","-",IF(Table1[[#This Row],[Qty Order]]="RTFN","-",Table1[[#This Row],[Qty Order]]-Table1[[#This Row],[Qty Accumulate]]))</f>
        <v>0</v>
      </c>
      <c r="U54">
        <f>((Table1[[#This Row],[Shift Output]]*Table1[[#This Row],[Part Weight (gm)]])/1000)+Table1[[#This Row],[Reject Startup (kg)]]+Table1[[#This Row],[Reject Purging (kg)]]+Table1[[#This Row],[Reject Preform (kg)]]</f>
        <v>0</v>
      </c>
      <c r="V54" s="37">
        <f>(Table1[[#This Row],[Gross Weight (gm)]]-Table1[[#This Row],[Part Weight (gm)]])*Table1[[#This Row],[Shift Output]]/1000</f>
        <v>0</v>
      </c>
      <c r="W54" s="3">
        <v>0</v>
      </c>
      <c r="X54" s="36" t="e">
        <f>Table1[[#This Row],[Reject Startup (kg)]]/Table1[[#This Row],[Material Used]]</f>
        <v>#DIV/0!</v>
      </c>
      <c r="Y54" s="3">
        <v>0</v>
      </c>
      <c r="Z54" s="36" t="e">
        <f>Table1[[#This Row],[Reject Prod (kg)]]/Table1[[#This Row],[Material Used]]</f>
        <v>#DIV/0!</v>
      </c>
      <c r="AA54" s="4">
        <v>0</v>
      </c>
      <c r="AB54" s="5">
        <v>0</v>
      </c>
      <c r="AC54" s="4" cm="1">
        <f t="array" ref="AC54">IFERROR(INDEX(ReferenceCard, MATCH(1, (INDEX(ReferenceCard,,1)=Table1[[#This Row],[SAP No]]) * (INDEX(ReferenceCard,,2)=Table1[[#This Row],[Mould No]]), 0), 9),)</f>
        <v>29</v>
      </c>
      <c r="AD54" s="5">
        <v>0</v>
      </c>
      <c r="AE54" s="5">
        <v>0</v>
      </c>
      <c r="AF54" s="5">
        <v>0</v>
      </c>
      <c r="AG54" s="5">
        <v>0</v>
      </c>
      <c r="AH54" s="5">
        <v>12</v>
      </c>
      <c r="AI54" s="5">
        <v>0</v>
      </c>
      <c r="AJ54" s="5">
        <v>0</v>
      </c>
      <c r="AL54" s="2"/>
      <c r="AM54" s="2"/>
      <c r="AN54" s="3">
        <v>0</v>
      </c>
      <c r="AO54" s="3">
        <v>0</v>
      </c>
      <c r="AP5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" spans="1:42" x14ac:dyDescent="0.35">
      <c r="A55" s="1">
        <v>46021</v>
      </c>
      <c r="B55">
        <v>1</v>
      </c>
      <c r="C55" t="s">
        <v>9</v>
      </c>
      <c r="D55" t="str" cm="1">
        <f t="array" ref="D55">IFERROR(INDEX(ReferenceCard, MATCH(1, (INDEX(ReferenceCard,,1)=Table1[[#This Row],[SAP No]]) * (INDEX(ReferenceCard,,2)=Table1[[#This Row],[Mould No]]), 0), 6),)</f>
        <v>PET</v>
      </c>
      <c r="E55">
        <v>611949</v>
      </c>
      <c r="F55">
        <v>0</v>
      </c>
      <c r="G55" t="str" cm="1">
        <f t="array" ref="G55">IFERROR(INDEX(ReferenceCard, MATCH(1, (INDEX(ReferenceCard,,1)=Table1[[#This Row],[SAP No]]) * (INDEX(ReferenceCard,,2)=Table1[[#This Row],[Mould No]]), 0), 3),)</f>
        <v>BBX38-0150-R-AM</v>
      </c>
      <c r="H55">
        <v>0</v>
      </c>
      <c r="I55" cm="1">
        <f t="array" ref="I55">IFERROR(INDEX(ReferenceCard, MATCH(1, (INDEX(ReferenceCard,,1)=Table1[[#This Row],[SAP No]]) * (INDEX(ReferenceCard,,2)=Table1[[#This Row],[Mould No]]), 0), 4),)</f>
        <v>4</v>
      </c>
      <c r="J55" s="4" cm="1">
        <f t="array" ref="J55">IFERROR(INDEX(ReferenceCard, MATCH(1, (INDEX(ReferenceCard,,1)=Table1[[#This Row],[SAP No]]) * (INDEX(ReferenceCard,,2)=Table1[[#This Row],[Mould No]]), 0), 9),)</f>
        <v>23</v>
      </c>
      <c r="K55" s="4" cm="1">
        <f t="array" ref="K55">IFERROR(INDEX(ReferenceCard, MATCH(1, (INDEX(ReferenceCard,,1)=Table1[[#This Row],[SAP No]]) * (INDEX(ReferenceCard,,2)=Table1[[#This Row],[Mould No]]), 0), 7),)</f>
        <v>23</v>
      </c>
      <c r="L55">
        <v>0</v>
      </c>
      <c r="M55">
        <v>0</v>
      </c>
      <c r="N55">
        <v>0</v>
      </c>
      <c r="O55">
        <v>0</v>
      </c>
      <c r="P55">
        <f>Table1[[#This Row],[Shot]]*Table1[[#This Row],[Cav]]</f>
        <v>0</v>
      </c>
      <c r="Q55">
        <v>0</v>
      </c>
      <c r="R55">
        <f>(Table1[[#This Row],[Part Weight (gm)]]*Table1[[#This Row],[Finish Good]])/1000</f>
        <v>0</v>
      </c>
      <c r="S55">
        <v>0</v>
      </c>
      <c r="T55">
        <f>IF(Table1[[#This Row],[Qty Order]]="Sample","-",IF(Table1[[#This Row],[Qty Order]]="RTFN","-",Table1[[#This Row],[Qty Order]]-Table1[[#This Row],[Qty Accumulate]]))</f>
        <v>0</v>
      </c>
      <c r="U55">
        <f>((Table1[[#This Row],[Shift Output]]*Table1[[#This Row],[Part Weight (gm)]])/1000)+Table1[[#This Row],[Reject Startup (kg)]]+Table1[[#This Row],[Reject Purging (kg)]]+Table1[[#This Row],[Reject Preform (kg)]]</f>
        <v>0</v>
      </c>
      <c r="V55" s="37">
        <f>(Table1[[#This Row],[Gross Weight (gm)]]-Table1[[#This Row],[Part Weight (gm)]])*Table1[[#This Row],[Shift Output]]/1000</f>
        <v>0</v>
      </c>
      <c r="W55" s="3">
        <v>0</v>
      </c>
      <c r="X55" s="36" t="e">
        <f>Table1[[#This Row],[Reject Startup (kg)]]/Table1[[#This Row],[Material Used]]</f>
        <v>#DIV/0!</v>
      </c>
      <c r="Y55" s="3">
        <v>0</v>
      </c>
      <c r="Z55" s="36" t="e">
        <f>Table1[[#This Row],[Reject Prod (kg)]]/Table1[[#This Row],[Material Used]]</f>
        <v>#DIV/0!</v>
      </c>
      <c r="AA55" s="4">
        <v>0</v>
      </c>
      <c r="AB55" s="5">
        <v>12</v>
      </c>
      <c r="AC55" s="4" cm="1">
        <f t="array" ref="AC55">IFERROR(INDEX(ReferenceCard, MATCH(1, (INDEX(ReferenceCard,,1)=Table1[[#This Row],[SAP No]]) * (INDEX(ReferenceCard,,2)=Table1[[#This Row],[Mould No]]), 0), 9),)</f>
        <v>23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L55" s="2"/>
      <c r="AM55" s="2"/>
      <c r="AN55" s="3">
        <v>0</v>
      </c>
      <c r="AO55" s="3">
        <v>0</v>
      </c>
      <c r="AP5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6" spans="1:42" x14ac:dyDescent="0.35">
      <c r="A56" s="1">
        <v>46021</v>
      </c>
      <c r="B56">
        <v>1</v>
      </c>
      <c r="C56" t="s">
        <v>11</v>
      </c>
      <c r="D56" t="str" cm="1">
        <f t="array" ref="D56">IFERROR(INDEX(ReferenceCard, MATCH(1, (INDEX(ReferenceCard,,1)=Table1[[#This Row],[SAP No]]) * (INDEX(ReferenceCard,,2)=Table1[[#This Row],[Mould No]]), 0), 6),)</f>
        <v>rPET</v>
      </c>
      <c r="E56">
        <v>620994</v>
      </c>
      <c r="F56">
        <v>0</v>
      </c>
      <c r="G56" t="str" cm="1">
        <f t="array" ref="G56">IFERROR(INDEX(ReferenceCard, MATCH(1, (INDEX(ReferenceCard,,1)=Table1[[#This Row],[SAP No]]) * (INDEX(ReferenceCard,,2)=Table1[[#This Row],[Mould No]]), 0), 3),)</f>
        <v>JJ63-0400-SH-S-CL-rPET</v>
      </c>
      <c r="H56">
        <v>0</v>
      </c>
      <c r="I56" cm="1">
        <f t="array" ref="I56">IFERROR(INDEX(ReferenceCard, MATCH(1, (INDEX(ReferenceCard,,1)=Table1[[#This Row],[SAP No]]) * (INDEX(ReferenceCard,,2)=Table1[[#This Row],[Mould No]]), 0), 4),)</f>
        <v>4</v>
      </c>
      <c r="J56" s="4" cm="1">
        <f t="array" ref="J56">IFERROR(INDEX(ReferenceCard, MATCH(1, (INDEX(ReferenceCard,,1)=Table1[[#This Row],[SAP No]]) * (INDEX(ReferenceCard,,2)=Table1[[#This Row],[Mould No]]), 0), 9),)</f>
        <v>32.74</v>
      </c>
      <c r="K56" s="4" cm="1">
        <f t="array" ref="K56">IFERROR(INDEX(ReferenceCard, MATCH(1, (INDEX(ReferenceCard,,1)=Table1[[#This Row],[SAP No]]) * (INDEX(ReferenceCard,,2)=Table1[[#This Row],[Mould No]]), 0), 7),)</f>
        <v>33</v>
      </c>
      <c r="L56">
        <v>0</v>
      </c>
      <c r="M56">
        <v>0</v>
      </c>
      <c r="N56">
        <v>0</v>
      </c>
      <c r="O56">
        <v>0</v>
      </c>
      <c r="P56">
        <f>Table1[[#This Row],[Shot]]*Table1[[#This Row],[Cav]]</f>
        <v>0</v>
      </c>
      <c r="Q56">
        <v>0</v>
      </c>
      <c r="R56">
        <f>(Table1[[#This Row],[Part Weight (gm)]]*Table1[[#This Row],[Finish Good]])/1000</f>
        <v>0</v>
      </c>
      <c r="S56">
        <v>0</v>
      </c>
      <c r="T56">
        <f>IF(Table1[[#This Row],[Qty Order]]="Sample","-",IF(Table1[[#This Row],[Qty Order]]="RTFN","-",Table1[[#This Row],[Qty Order]]-Table1[[#This Row],[Qty Accumulate]]))</f>
        <v>0</v>
      </c>
      <c r="U56">
        <f>((Table1[[#This Row],[Shift Output]]*Table1[[#This Row],[Part Weight (gm)]])/1000)+Table1[[#This Row],[Reject Startup (kg)]]+Table1[[#This Row],[Reject Purging (kg)]]+Table1[[#This Row],[Reject Preform (kg)]]</f>
        <v>0</v>
      </c>
      <c r="V56" s="37">
        <f>(Table1[[#This Row],[Gross Weight (gm)]]-Table1[[#This Row],[Part Weight (gm)]])*Table1[[#This Row],[Shift Output]]/1000</f>
        <v>0</v>
      </c>
      <c r="W56" s="3">
        <v>0</v>
      </c>
      <c r="X56" s="36" t="e">
        <f>Table1[[#This Row],[Reject Startup (kg)]]/Table1[[#This Row],[Material Used]]</f>
        <v>#DIV/0!</v>
      </c>
      <c r="Y56" s="3">
        <v>0</v>
      </c>
      <c r="Z56" s="36" t="e">
        <f>Table1[[#This Row],[Reject Prod (kg)]]/Table1[[#This Row],[Material Used]]</f>
        <v>#DIV/0!</v>
      </c>
      <c r="AA56" s="4">
        <v>0</v>
      </c>
      <c r="AB56" s="5">
        <v>12</v>
      </c>
      <c r="AC56" s="4" cm="1">
        <f t="array" ref="AC56">IFERROR(INDEX(ReferenceCard, MATCH(1, (INDEX(ReferenceCard,,1)=Table1[[#This Row],[SAP No]]) * (INDEX(ReferenceCard,,2)=Table1[[#This Row],[Mould No]]), 0), 9),)</f>
        <v>32.74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L56" s="2"/>
      <c r="AM56" s="2"/>
      <c r="AN56" s="3">
        <v>0</v>
      </c>
      <c r="AO56" s="3">
        <v>0</v>
      </c>
      <c r="AP5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7" spans="1:42" x14ac:dyDescent="0.35">
      <c r="A57" s="1">
        <v>46021</v>
      </c>
      <c r="B57">
        <v>1</v>
      </c>
      <c r="C57" t="s">
        <v>14</v>
      </c>
      <c r="D57" t="str" cm="1">
        <f t="array" ref="D57">IFERROR(INDEX(ReferenceCard, MATCH(1, (INDEX(ReferenceCard,,1)=Table1[[#This Row],[SAP No]]) * (INDEX(ReferenceCard,,2)=Table1[[#This Row],[Mould No]]), 0), 6),)</f>
        <v>PET</v>
      </c>
      <c r="E57">
        <v>324165</v>
      </c>
      <c r="F57">
        <v>0</v>
      </c>
      <c r="G57" t="str" cm="1">
        <f t="array" ref="G57">IFERROR(INDEX(ReferenceCard, MATCH(1, (INDEX(ReferenceCard,,1)=Table1[[#This Row],[SAP No]]) * (INDEX(ReferenceCard,,2)=Table1[[#This Row],[Mould No]]), 0), 3),)</f>
        <v>JJ63-0400-SH-S-WH</v>
      </c>
      <c r="H57">
        <v>0</v>
      </c>
      <c r="I57" cm="1">
        <f t="array" ref="I57">IFERROR(INDEX(ReferenceCard, MATCH(1, (INDEX(ReferenceCard,,1)=Table1[[#This Row],[SAP No]]) * (INDEX(ReferenceCard,,2)=Table1[[#This Row],[Mould No]]), 0), 4),)</f>
        <v>4</v>
      </c>
      <c r="J57" s="4" cm="1">
        <f t="array" ref="J57">IFERROR(INDEX(ReferenceCard, MATCH(1, (INDEX(ReferenceCard,,1)=Table1[[#This Row],[SAP No]]) * (INDEX(ReferenceCard,,2)=Table1[[#This Row],[Mould No]]), 0), 9),)</f>
        <v>32.56</v>
      </c>
      <c r="K57" s="4" cm="1">
        <f t="array" ref="K57">IFERROR(INDEX(ReferenceCard, MATCH(1, (INDEX(ReferenceCard,,1)=Table1[[#This Row],[SAP No]]) * (INDEX(ReferenceCard,,2)=Table1[[#This Row],[Mould No]]), 0), 7),)</f>
        <v>33</v>
      </c>
      <c r="L57">
        <v>0</v>
      </c>
      <c r="M57">
        <v>0</v>
      </c>
      <c r="N57">
        <v>0</v>
      </c>
      <c r="O57">
        <v>0</v>
      </c>
      <c r="P57">
        <f>Table1[[#This Row],[Shot]]*Table1[[#This Row],[Cav]]</f>
        <v>0</v>
      </c>
      <c r="Q57">
        <v>0</v>
      </c>
      <c r="R57">
        <f>(Table1[[#This Row],[Part Weight (gm)]]*Table1[[#This Row],[Finish Good]])/1000</f>
        <v>0</v>
      </c>
      <c r="S57">
        <v>0</v>
      </c>
      <c r="T57">
        <f>IF(Table1[[#This Row],[Qty Order]]="Sample","-",IF(Table1[[#This Row],[Qty Order]]="RTFN","-",Table1[[#This Row],[Qty Order]]-Table1[[#This Row],[Qty Accumulate]]))</f>
        <v>0</v>
      </c>
      <c r="U57">
        <f>((Table1[[#This Row],[Shift Output]]*Table1[[#This Row],[Part Weight (gm)]])/1000)+Table1[[#This Row],[Reject Startup (kg)]]+Table1[[#This Row],[Reject Purging (kg)]]+Table1[[#This Row],[Reject Preform (kg)]]</f>
        <v>0</v>
      </c>
      <c r="V57" s="37">
        <f>(Table1[[#This Row],[Gross Weight (gm)]]-Table1[[#This Row],[Part Weight (gm)]])*Table1[[#This Row],[Shift Output]]/1000</f>
        <v>0</v>
      </c>
      <c r="W57" s="3">
        <v>0</v>
      </c>
      <c r="X57" s="36" t="e">
        <f>Table1[[#This Row],[Reject Startup (kg)]]/Table1[[#This Row],[Material Used]]</f>
        <v>#DIV/0!</v>
      </c>
      <c r="Y57" s="3">
        <v>0</v>
      </c>
      <c r="Z57" s="36" t="e">
        <f>Table1[[#This Row],[Reject Prod (kg)]]/Table1[[#This Row],[Material Used]]</f>
        <v>#DIV/0!</v>
      </c>
      <c r="AA57" s="4">
        <v>0</v>
      </c>
      <c r="AB57" s="5">
        <v>12</v>
      </c>
      <c r="AC57" s="4" cm="1">
        <f t="array" ref="AC57">IFERROR(INDEX(ReferenceCard, MATCH(1, (INDEX(ReferenceCard,,1)=Table1[[#This Row],[SAP No]]) * (INDEX(ReferenceCard,,2)=Table1[[#This Row],[Mould No]]), 0), 9),)</f>
        <v>32.56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L57" s="2"/>
      <c r="AM57" s="2"/>
      <c r="AN57" s="3">
        <v>0</v>
      </c>
      <c r="AO57" s="3">
        <v>0</v>
      </c>
      <c r="AP5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8" spans="1:42" x14ac:dyDescent="0.35">
      <c r="A58" s="1">
        <v>46021</v>
      </c>
      <c r="B58">
        <v>1</v>
      </c>
      <c r="C58" t="s">
        <v>16</v>
      </c>
      <c r="D58" t="str" cm="1">
        <f t="array" ref="D58">IFERROR(INDEX(ReferenceCard, MATCH(1, (INDEX(ReferenceCard,,1)=Table1[[#This Row],[SAP No]]) * (INDEX(ReferenceCard,,2)=Table1[[#This Row],[Mould No]]), 0), 6),)</f>
        <v>PET</v>
      </c>
      <c r="E58">
        <v>324638</v>
      </c>
      <c r="F58">
        <v>0</v>
      </c>
      <c r="G58" t="str" cm="1">
        <f t="array" ref="G58">IFERROR(INDEX(ReferenceCard, MATCH(1, (INDEX(ReferenceCard,,1)=Table1[[#This Row],[SAP No]]) * (INDEX(ReferenceCard,,2)=Table1[[#This Row],[Mould No]]), 0), 3),)</f>
        <v>BX38-2000-GH-R-CL (GREEN) (ASEM)</v>
      </c>
      <c r="H58">
        <v>0</v>
      </c>
      <c r="I58" cm="1">
        <f t="array" ref="I58">IFERROR(INDEX(ReferenceCard, MATCH(1, (INDEX(ReferenceCard,,1)=Table1[[#This Row],[SAP No]]) * (INDEX(ReferenceCard,,2)=Table1[[#This Row],[Mould No]]), 0), 4),)</f>
        <v>4</v>
      </c>
      <c r="J58" s="4" cm="1">
        <f t="array" ref="J58">IFERROR(INDEX(ReferenceCard, MATCH(1, (INDEX(ReferenceCard,,1)=Table1[[#This Row],[SAP No]]) * (INDEX(ReferenceCard,,2)=Table1[[#This Row],[Mould No]]), 0), 9),)</f>
        <v>77.5</v>
      </c>
      <c r="K58" s="4" cm="1">
        <f t="array" ref="K58">IFERROR(INDEX(ReferenceCard, MATCH(1, (INDEX(ReferenceCard,,1)=Table1[[#This Row],[SAP No]]) * (INDEX(ReferenceCard,,2)=Table1[[#This Row],[Mould No]]), 0), 7),)</f>
        <v>77.5</v>
      </c>
      <c r="L58">
        <v>0</v>
      </c>
      <c r="M58">
        <v>0</v>
      </c>
      <c r="N58">
        <v>0</v>
      </c>
      <c r="O58">
        <v>0</v>
      </c>
      <c r="P58">
        <f>Table1[[#This Row],[Shot]]*Table1[[#This Row],[Cav]]</f>
        <v>0</v>
      </c>
      <c r="Q58">
        <v>0</v>
      </c>
      <c r="R58">
        <f>(Table1[[#This Row],[Part Weight (gm)]]*Table1[[#This Row],[Finish Good]])/1000</f>
        <v>0</v>
      </c>
      <c r="S58">
        <v>0</v>
      </c>
      <c r="T58">
        <f>IF(Table1[[#This Row],[Qty Order]]="Sample","-",IF(Table1[[#This Row],[Qty Order]]="RTFN","-",Table1[[#This Row],[Qty Order]]-Table1[[#This Row],[Qty Accumulate]]))</f>
        <v>0</v>
      </c>
      <c r="U58">
        <f>((Table1[[#This Row],[Shift Output]]*Table1[[#This Row],[Part Weight (gm)]])/1000)+Table1[[#This Row],[Reject Startup (kg)]]+Table1[[#This Row],[Reject Purging (kg)]]+Table1[[#This Row],[Reject Preform (kg)]]</f>
        <v>0</v>
      </c>
      <c r="V58" s="37">
        <f>(Table1[[#This Row],[Gross Weight (gm)]]-Table1[[#This Row],[Part Weight (gm)]])*Table1[[#This Row],[Shift Output]]/1000</f>
        <v>0</v>
      </c>
      <c r="W58" s="3">
        <v>0</v>
      </c>
      <c r="X58" s="36" t="e">
        <f>Table1[[#This Row],[Reject Startup (kg)]]/Table1[[#This Row],[Material Used]]</f>
        <v>#DIV/0!</v>
      </c>
      <c r="Y58" s="3">
        <v>0</v>
      </c>
      <c r="Z58" s="36" t="e">
        <f>Table1[[#This Row],[Reject Prod (kg)]]/Table1[[#This Row],[Material Used]]</f>
        <v>#DIV/0!</v>
      </c>
      <c r="AA58" s="4">
        <v>0</v>
      </c>
      <c r="AB58" s="5">
        <v>12</v>
      </c>
      <c r="AC58" s="4" cm="1">
        <f t="array" ref="AC58">IFERROR(INDEX(ReferenceCard, MATCH(1, (INDEX(ReferenceCard,,1)=Table1[[#This Row],[SAP No]]) * (INDEX(ReferenceCard,,2)=Table1[[#This Row],[Mould No]]), 0), 9),)</f>
        <v>77.5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L58" s="2"/>
      <c r="AM58" s="2"/>
      <c r="AN58" s="3">
        <v>0</v>
      </c>
      <c r="AO58" s="3">
        <v>0</v>
      </c>
      <c r="AP5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9" spans="1:42" x14ac:dyDescent="0.35">
      <c r="A59" s="1">
        <v>46021</v>
      </c>
      <c r="B59">
        <v>1</v>
      </c>
      <c r="C59" t="s">
        <v>23</v>
      </c>
      <c r="D59" t="str" cm="1">
        <f t="array" ref="D59">IFERROR(INDEX(ReferenceCard, MATCH(1, (INDEX(ReferenceCard,,1)=Table1[[#This Row],[SAP No]]) * (INDEX(ReferenceCard,,2)=Table1[[#This Row],[Mould No]]), 0), 6),)</f>
        <v>PPSB520Y</v>
      </c>
      <c r="E59">
        <v>586276</v>
      </c>
      <c r="F59">
        <v>2</v>
      </c>
      <c r="G59" t="str" cm="1">
        <f t="array" ref="G59">IFERROR(INDEX(ReferenceCard, MATCH(1, (INDEX(ReferenceCard,,1)=Table1[[#This Row],[SAP No]]) * (INDEX(ReferenceCard,,2)=Table1[[#This Row],[Mould No]]), 0), 3),)</f>
        <v>BC28-0056-D-APH-LEB-604001-MOLD2</v>
      </c>
      <c r="H59">
        <v>0</v>
      </c>
      <c r="I59" cm="1">
        <f t="array" ref="I59">IFERROR(INDEX(ReferenceCard, MATCH(1, (INDEX(ReferenceCard,,1)=Table1[[#This Row],[SAP No]]) * (INDEX(ReferenceCard,,2)=Table1[[#This Row],[Mould No]]), 0), 4),)</f>
        <v>6</v>
      </c>
      <c r="J59" s="4" cm="1">
        <f t="array" ref="J59">IFERROR(INDEX(ReferenceCard, MATCH(1, (INDEX(ReferenceCard,,1)=Table1[[#This Row],[SAP No]]) * (INDEX(ReferenceCard,,2)=Table1[[#This Row],[Mould No]]), 0), 9),)</f>
        <v>12.3</v>
      </c>
      <c r="K59" s="4" cm="1">
        <f t="array" ref="K59">IFERROR(INDEX(ReferenceCard, MATCH(1, (INDEX(ReferenceCard,,1)=Table1[[#This Row],[SAP No]]) * (INDEX(ReferenceCard,,2)=Table1[[#This Row],[Mould No]]), 0), 7),)</f>
        <v>12.3</v>
      </c>
      <c r="L59">
        <v>0</v>
      </c>
      <c r="M59">
        <v>0</v>
      </c>
      <c r="N59">
        <v>0</v>
      </c>
      <c r="O59">
        <v>0</v>
      </c>
      <c r="P59">
        <f>Table1[[#This Row],[Shot]]*Table1[[#This Row],[Cav]]</f>
        <v>0</v>
      </c>
      <c r="Q59">
        <v>0</v>
      </c>
      <c r="R59">
        <f>(Table1[[#This Row],[Part Weight (gm)]]*Table1[[#This Row],[Finish Good]])/1000</f>
        <v>0</v>
      </c>
      <c r="S59">
        <v>0</v>
      </c>
      <c r="T59">
        <f>IF(Table1[[#This Row],[Qty Order]]="Sample","-",IF(Table1[[#This Row],[Qty Order]]="RTFN","-",Table1[[#This Row],[Qty Order]]-Table1[[#This Row],[Qty Accumulate]]))</f>
        <v>0</v>
      </c>
      <c r="U59">
        <f>((Table1[[#This Row],[Shift Output]]*Table1[[#This Row],[Part Weight (gm)]])/1000)+Table1[[#This Row],[Reject Startup (kg)]]+Table1[[#This Row],[Reject Purging (kg)]]+Table1[[#This Row],[Reject Preform (kg)]]</f>
        <v>0</v>
      </c>
      <c r="V59" s="37">
        <f>(Table1[[#This Row],[Gross Weight (gm)]]-Table1[[#This Row],[Part Weight (gm)]])*Table1[[#This Row],[Shift Output]]/1000</f>
        <v>0</v>
      </c>
      <c r="W59" s="3">
        <v>0</v>
      </c>
      <c r="X59" s="36" t="e">
        <f>Table1[[#This Row],[Reject Startup (kg)]]/Table1[[#This Row],[Material Used]]</f>
        <v>#DIV/0!</v>
      </c>
      <c r="Y59" s="3">
        <v>0</v>
      </c>
      <c r="Z59" s="36" t="e">
        <f>Table1[[#This Row],[Reject Prod (kg)]]/Table1[[#This Row],[Material Used]]</f>
        <v>#DIV/0!</v>
      </c>
      <c r="AA59" s="4">
        <v>0</v>
      </c>
      <c r="AB59" s="5">
        <v>12</v>
      </c>
      <c r="AC59" s="4" cm="1">
        <f t="array" ref="AC59">IFERROR(INDEX(ReferenceCard, MATCH(1, (INDEX(ReferenceCard,,1)=Table1[[#This Row],[SAP No]]) * (INDEX(ReferenceCard,,2)=Table1[[#This Row],[Mould No]]), 0), 9),)</f>
        <v>12.3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L59" s="2"/>
      <c r="AM59" s="2"/>
      <c r="AN59" s="3">
        <v>0</v>
      </c>
      <c r="AO59" s="3">
        <v>0</v>
      </c>
      <c r="AP5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0" spans="1:42" x14ac:dyDescent="0.35">
      <c r="A60" s="1">
        <v>46021</v>
      </c>
      <c r="B60">
        <v>1</v>
      </c>
      <c r="C60" t="s">
        <v>25</v>
      </c>
      <c r="D60" t="str" cm="1">
        <f t="array" ref="D60">IFERROR(INDEX(ReferenceCard, MATCH(1, (INDEX(ReferenceCard,,1)=Table1[[#This Row],[SAP No]]) * (INDEX(ReferenceCard,,2)=Table1[[#This Row],[Mould No]]), 0), 6),)</f>
        <v>PET</v>
      </c>
      <c r="E60">
        <v>323133</v>
      </c>
      <c r="F60">
        <v>0</v>
      </c>
      <c r="G60" t="str" cm="1">
        <f t="array" ref="G60">IFERROR(INDEX(ReferenceCard, MATCH(1, (INDEX(ReferenceCard,,1)=Table1[[#This Row],[SAP No]]) * (INDEX(ReferenceCard,,2)=Table1[[#This Row],[Mould No]]), 0), 3),)</f>
        <v>BX38-2000-RH-R-CL(GREEN) (ASEM)</v>
      </c>
      <c r="H60">
        <v>0</v>
      </c>
      <c r="I60" cm="1">
        <f t="array" ref="I60">IFERROR(INDEX(ReferenceCard, MATCH(1, (INDEX(ReferenceCard,,1)=Table1[[#This Row],[SAP No]]) * (INDEX(ReferenceCard,,2)=Table1[[#This Row],[Mould No]]), 0), 4),)</f>
        <v>4</v>
      </c>
      <c r="J60" s="4" cm="1">
        <f t="array" ref="J60">IFERROR(INDEX(ReferenceCard, MATCH(1, (INDEX(ReferenceCard,,1)=Table1[[#This Row],[SAP No]]) * (INDEX(ReferenceCard,,2)=Table1[[#This Row],[Mould No]]), 0), 9),)</f>
        <v>77</v>
      </c>
      <c r="K60" s="4" cm="1">
        <f t="array" ref="K60">IFERROR(INDEX(ReferenceCard, MATCH(1, (INDEX(ReferenceCard,,1)=Table1[[#This Row],[SAP No]]) * (INDEX(ReferenceCard,,2)=Table1[[#This Row],[Mould No]]), 0), 7),)</f>
        <v>77</v>
      </c>
      <c r="L60">
        <v>0</v>
      </c>
      <c r="M60">
        <v>0</v>
      </c>
      <c r="N60">
        <v>0</v>
      </c>
      <c r="O60">
        <v>0</v>
      </c>
      <c r="P60">
        <f>Table1[[#This Row],[Shot]]*Table1[[#This Row],[Cav]]</f>
        <v>0</v>
      </c>
      <c r="Q60">
        <v>0</v>
      </c>
      <c r="R60">
        <f>(Table1[[#This Row],[Part Weight (gm)]]*Table1[[#This Row],[Finish Good]])/1000</f>
        <v>0</v>
      </c>
      <c r="S60">
        <v>0</v>
      </c>
      <c r="T60">
        <f>IF(Table1[[#This Row],[Qty Order]]="Sample","-",IF(Table1[[#This Row],[Qty Order]]="RTFN","-",Table1[[#This Row],[Qty Order]]-Table1[[#This Row],[Qty Accumulate]]))</f>
        <v>0</v>
      </c>
      <c r="U60">
        <f>((Table1[[#This Row],[Shift Output]]*Table1[[#This Row],[Part Weight (gm)]])/1000)+Table1[[#This Row],[Reject Startup (kg)]]+Table1[[#This Row],[Reject Purging (kg)]]+Table1[[#This Row],[Reject Preform (kg)]]</f>
        <v>0</v>
      </c>
      <c r="V60" s="37">
        <f>(Table1[[#This Row],[Gross Weight (gm)]]-Table1[[#This Row],[Part Weight (gm)]])*Table1[[#This Row],[Shift Output]]/1000</f>
        <v>0</v>
      </c>
      <c r="W60" s="3">
        <v>0</v>
      </c>
      <c r="X60" s="36" t="e">
        <f>Table1[[#This Row],[Reject Startup (kg)]]/Table1[[#This Row],[Material Used]]</f>
        <v>#DIV/0!</v>
      </c>
      <c r="Y60" s="3">
        <v>0</v>
      </c>
      <c r="Z60" s="36" t="e">
        <f>Table1[[#This Row],[Reject Prod (kg)]]/Table1[[#This Row],[Material Used]]</f>
        <v>#DIV/0!</v>
      </c>
      <c r="AA60" s="4">
        <v>0</v>
      </c>
      <c r="AB60" s="5">
        <v>12</v>
      </c>
      <c r="AC60" s="4" cm="1">
        <f t="array" ref="AC60">IFERROR(INDEX(ReferenceCard, MATCH(1, (INDEX(ReferenceCard,,1)=Table1[[#This Row],[SAP No]]) * (INDEX(ReferenceCard,,2)=Table1[[#This Row],[Mould No]]), 0), 9),)</f>
        <v>77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L60" s="2"/>
      <c r="AM60" s="2"/>
      <c r="AN60" s="3">
        <v>0</v>
      </c>
      <c r="AO60" s="3">
        <v>0</v>
      </c>
      <c r="AP6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1" spans="1:42" x14ac:dyDescent="0.35">
      <c r="A61" s="1">
        <v>46021</v>
      </c>
      <c r="B61">
        <v>1</v>
      </c>
      <c r="C61" t="s">
        <v>27</v>
      </c>
      <c r="D61" t="str" cm="1">
        <f t="array" ref="D61">IFERROR(INDEX(ReferenceCard, MATCH(1, (INDEX(ReferenceCard,,1)=Table1[[#This Row],[SAP No]]) * (INDEX(ReferenceCard,,2)=Table1[[#This Row],[Mould No]]), 0), 6),)</f>
        <v>PPSB520Y</v>
      </c>
      <c r="E61">
        <v>552181</v>
      </c>
      <c r="F61">
        <v>4</v>
      </c>
      <c r="G61" t="str" cm="1">
        <f t="array" ref="G61">IFERROR(INDEX(ReferenceCard, MATCH(1, (INDEX(ReferenceCard,,1)=Table1[[#This Row],[SAP No]]) * (INDEX(ReferenceCard,,2)=Table1[[#This Row],[Mould No]]), 0), 3),)</f>
        <v>BC28-0090-D-APH-5180-3538-PP-6 NOTCHES-MOLD4</v>
      </c>
      <c r="H61">
        <v>0</v>
      </c>
      <c r="I61" cm="1">
        <f t="array" ref="I61">IFERROR(INDEX(ReferenceCard, MATCH(1, (INDEX(ReferenceCard,,1)=Table1[[#This Row],[SAP No]]) * (INDEX(ReferenceCard,,2)=Table1[[#This Row],[Mould No]]), 0), 4),)</f>
        <v>6</v>
      </c>
      <c r="J61" s="4" cm="1">
        <f t="array" ref="J61">IFERROR(INDEX(ReferenceCard, MATCH(1, (INDEX(ReferenceCard,,1)=Table1[[#This Row],[SAP No]]) * (INDEX(ReferenceCard,,2)=Table1[[#This Row],[Mould No]]), 0), 9),)</f>
        <v>18.8</v>
      </c>
      <c r="K61" s="4" cm="1">
        <f t="array" ref="K61">IFERROR(INDEX(ReferenceCard, MATCH(1, (INDEX(ReferenceCard,,1)=Table1[[#This Row],[SAP No]]) * (INDEX(ReferenceCard,,2)=Table1[[#This Row],[Mould No]]), 0), 7),)</f>
        <v>18.8</v>
      </c>
      <c r="L61">
        <v>0</v>
      </c>
      <c r="M61">
        <v>0</v>
      </c>
      <c r="N61">
        <v>0</v>
      </c>
      <c r="O61">
        <v>0</v>
      </c>
      <c r="P61">
        <f>Table1[[#This Row],[Shot]]*Table1[[#This Row],[Cav]]</f>
        <v>0</v>
      </c>
      <c r="Q61">
        <v>0</v>
      </c>
      <c r="R61">
        <f>(Table1[[#This Row],[Part Weight (gm)]]*Table1[[#This Row],[Finish Good]])/1000</f>
        <v>0</v>
      </c>
      <c r="S61">
        <v>0</v>
      </c>
      <c r="T61">
        <f>IF(Table1[[#This Row],[Qty Order]]="Sample","-",IF(Table1[[#This Row],[Qty Order]]="RTFN","-",Table1[[#This Row],[Qty Order]]-Table1[[#This Row],[Qty Accumulate]]))</f>
        <v>0</v>
      </c>
      <c r="U61">
        <f>((Table1[[#This Row],[Shift Output]]*Table1[[#This Row],[Part Weight (gm)]])/1000)+Table1[[#This Row],[Reject Startup (kg)]]+Table1[[#This Row],[Reject Purging (kg)]]+Table1[[#This Row],[Reject Preform (kg)]]</f>
        <v>0</v>
      </c>
      <c r="V61" s="37">
        <f>(Table1[[#This Row],[Gross Weight (gm)]]-Table1[[#This Row],[Part Weight (gm)]])*Table1[[#This Row],[Shift Output]]/1000</f>
        <v>0</v>
      </c>
      <c r="W61" s="3">
        <v>0</v>
      </c>
      <c r="X61" s="36" t="e">
        <f>Table1[[#This Row],[Reject Startup (kg)]]/Table1[[#This Row],[Material Used]]</f>
        <v>#DIV/0!</v>
      </c>
      <c r="Y61" s="3">
        <v>0</v>
      </c>
      <c r="Z61" s="36" t="e">
        <f>Table1[[#This Row],[Reject Prod (kg)]]/Table1[[#This Row],[Material Used]]</f>
        <v>#DIV/0!</v>
      </c>
      <c r="AA61" s="4">
        <v>0</v>
      </c>
      <c r="AB61" s="5">
        <v>12</v>
      </c>
      <c r="AC61" s="4" cm="1">
        <f t="array" ref="AC61">IFERROR(INDEX(ReferenceCard, MATCH(1, (INDEX(ReferenceCard,,1)=Table1[[#This Row],[SAP No]]) * (INDEX(ReferenceCard,,2)=Table1[[#This Row],[Mould No]]), 0), 9),)</f>
        <v>18.8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L61" s="2"/>
      <c r="AM61" s="2"/>
      <c r="AN61" s="3">
        <v>0</v>
      </c>
      <c r="AO61" s="3">
        <v>0</v>
      </c>
      <c r="AP6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2" spans="1:42" x14ac:dyDescent="0.35">
      <c r="A62" s="1">
        <v>46021</v>
      </c>
      <c r="B62">
        <v>1</v>
      </c>
      <c r="C62" t="s">
        <v>29</v>
      </c>
      <c r="D62" t="str" cm="1">
        <f t="array" ref="D62">IFERROR(INDEX(ReferenceCard, MATCH(1, (INDEX(ReferenceCard,,1)=Table1[[#This Row],[SAP No]]) * (INDEX(ReferenceCard,,2)=Table1[[#This Row],[Mould No]]), 0), 6),)</f>
        <v>PET</v>
      </c>
      <c r="E62">
        <v>620599</v>
      </c>
      <c r="F62">
        <v>0</v>
      </c>
      <c r="G62" t="str" cm="1">
        <f t="array" ref="G62">IFERROR(INDEX(ReferenceCard, MATCH(1, (INDEX(ReferenceCard,,1)=Table1[[#This Row],[SAP No]]) * (INDEX(ReferenceCard,,2)=Table1[[#This Row],[Mould No]]), 0), 3),)</f>
        <v>BC28-0750-K4-R-CL (55g)</v>
      </c>
      <c r="H62">
        <v>0</v>
      </c>
      <c r="I62" cm="1">
        <f t="array" ref="I62">IFERROR(INDEX(ReferenceCard, MATCH(1, (INDEX(ReferenceCard,,1)=Table1[[#This Row],[SAP No]]) * (INDEX(ReferenceCard,,2)=Table1[[#This Row],[Mould No]]), 0), 4),)</f>
        <v>4</v>
      </c>
      <c r="J62" s="4" cm="1">
        <f t="array" ref="J62">IFERROR(INDEX(ReferenceCard, MATCH(1, (INDEX(ReferenceCard,,1)=Table1[[#This Row],[SAP No]]) * (INDEX(ReferenceCard,,2)=Table1[[#This Row],[Mould No]]), 0), 9),)</f>
        <v>55</v>
      </c>
      <c r="K62" s="4" cm="1">
        <f t="array" ref="K62">IFERROR(INDEX(ReferenceCard, MATCH(1, (INDEX(ReferenceCard,,1)=Table1[[#This Row],[SAP No]]) * (INDEX(ReferenceCard,,2)=Table1[[#This Row],[Mould No]]), 0), 7),)</f>
        <v>55</v>
      </c>
      <c r="L62">
        <v>0</v>
      </c>
      <c r="M62">
        <v>0</v>
      </c>
      <c r="N62">
        <v>0</v>
      </c>
      <c r="O62">
        <v>0</v>
      </c>
      <c r="P62">
        <f>Table1[[#This Row],[Shot]]*Table1[[#This Row],[Cav]]</f>
        <v>0</v>
      </c>
      <c r="Q62">
        <v>0</v>
      </c>
      <c r="R62">
        <f>(Table1[[#This Row],[Part Weight (gm)]]*Table1[[#This Row],[Finish Good]])/1000</f>
        <v>0</v>
      </c>
      <c r="S62">
        <v>0</v>
      </c>
      <c r="T62">
        <f>IF(Table1[[#This Row],[Qty Order]]="Sample","-",IF(Table1[[#This Row],[Qty Order]]="RTFN","-",Table1[[#This Row],[Qty Order]]-Table1[[#This Row],[Qty Accumulate]]))</f>
        <v>0</v>
      </c>
      <c r="U62">
        <f>((Table1[[#This Row],[Shift Output]]*Table1[[#This Row],[Part Weight (gm)]])/1000)+Table1[[#This Row],[Reject Startup (kg)]]+Table1[[#This Row],[Reject Purging (kg)]]+Table1[[#This Row],[Reject Preform (kg)]]</f>
        <v>0</v>
      </c>
      <c r="V62" s="37">
        <f>(Table1[[#This Row],[Gross Weight (gm)]]-Table1[[#This Row],[Part Weight (gm)]])*Table1[[#This Row],[Shift Output]]/1000</f>
        <v>0</v>
      </c>
      <c r="W62" s="3">
        <v>0</v>
      </c>
      <c r="X62" s="36" t="e">
        <f>Table1[[#This Row],[Reject Startup (kg)]]/Table1[[#This Row],[Material Used]]</f>
        <v>#DIV/0!</v>
      </c>
      <c r="Y62" s="3">
        <v>0</v>
      </c>
      <c r="Z62" s="36" t="e">
        <f>Table1[[#This Row],[Reject Prod (kg)]]/Table1[[#This Row],[Material Used]]</f>
        <v>#DIV/0!</v>
      </c>
      <c r="AA62" s="4">
        <v>0</v>
      </c>
      <c r="AB62" s="5">
        <v>12</v>
      </c>
      <c r="AC62" s="4" cm="1">
        <f t="array" ref="AC62">IFERROR(INDEX(ReferenceCard, MATCH(1, (INDEX(ReferenceCard,,1)=Table1[[#This Row],[SAP No]]) * (INDEX(ReferenceCard,,2)=Table1[[#This Row],[Mould No]]), 0), 9),)</f>
        <v>55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L62" s="2"/>
      <c r="AM62" s="2"/>
      <c r="AN62" s="3">
        <v>0</v>
      </c>
      <c r="AO62" s="3">
        <v>0</v>
      </c>
      <c r="AP6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3" spans="1:42" x14ac:dyDescent="0.35">
      <c r="A63" s="1">
        <v>46021</v>
      </c>
      <c r="B63">
        <v>1</v>
      </c>
      <c r="C63" t="s">
        <v>31</v>
      </c>
      <c r="D63" t="str" cm="1">
        <f t="array" ref="D63">IFERROR(INDEX(ReferenceCard, MATCH(1, (INDEX(ReferenceCard,,1)=Table1[[#This Row],[SAP No]]) * (INDEX(ReferenceCard,,2)=Table1[[#This Row],[Mould No]]), 0), 6),)</f>
        <v>PPSB520Y</v>
      </c>
      <c r="E63">
        <v>586276</v>
      </c>
      <c r="F63">
        <v>4</v>
      </c>
      <c r="G63" t="str" cm="1">
        <f t="array" ref="G63">IFERROR(INDEX(ReferenceCard, MATCH(1, (INDEX(ReferenceCard,,1)=Table1[[#This Row],[SAP No]]) * (INDEX(ReferenceCard,,2)=Table1[[#This Row],[Mould No]]), 0), 3),)</f>
        <v>BC28-0056-D-APH-LEB-604001-MOLD4</v>
      </c>
      <c r="H63">
        <v>0</v>
      </c>
      <c r="I63" cm="1">
        <f t="array" ref="I63">IFERROR(INDEX(ReferenceCard, MATCH(1, (INDEX(ReferenceCard,,1)=Table1[[#This Row],[SAP No]]) * (INDEX(ReferenceCard,,2)=Table1[[#This Row],[Mould No]]), 0), 4),)</f>
        <v>6</v>
      </c>
      <c r="J63" s="4" cm="1">
        <f t="array" ref="J63">IFERROR(INDEX(ReferenceCard, MATCH(1, (INDEX(ReferenceCard,,1)=Table1[[#This Row],[SAP No]]) * (INDEX(ReferenceCard,,2)=Table1[[#This Row],[Mould No]]), 0), 9),)</f>
        <v>12.3</v>
      </c>
      <c r="K63" s="4" cm="1">
        <f t="array" ref="K63">IFERROR(INDEX(ReferenceCard, MATCH(1, (INDEX(ReferenceCard,,1)=Table1[[#This Row],[SAP No]]) * (INDEX(ReferenceCard,,2)=Table1[[#This Row],[Mould No]]), 0), 7),)</f>
        <v>12.3</v>
      </c>
      <c r="L63">
        <v>0</v>
      </c>
      <c r="M63">
        <v>0</v>
      </c>
      <c r="N63">
        <v>0</v>
      </c>
      <c r="O63">
        <v>0</v>
      </c>
      <c r="P63">
        <f>Table1[[#This Row],[Shot]]*Table1[[#This Row],[Cav]]</f>
        <v>0</v>
      </c>
      <c r="Q63">
        <v>0</v>
      </c>
      <c r="R63">
        <f>(Table1[[#This Row],[Part Weight (gm)]]*Table1[[#This Row],[Finish Good]])/1000</f>
        <v>0</v>
      </c>
      <c r="S63">
        <v>0</v>
      </c>
      <c r="T63">
        <f>IF(Table1[[#This Row],[Qty Order]]="Sample","-",IF(Table1[[#This Row],[Qty Order]]="RTFN","-",Table1[[#This Row],[Qty Order]]-Table1[[#This Row],[Qty Accumulate]]))</f>
        <v>0</v>
      </c>
      <c r="U63">
        <f>((Table1[[#This Row],[Shift Output]]*Table1[[#This Row],[Part Weight (gm)]])/1000)+Table1[[#This Row],[Reject Startup (kg)]]+Table1[[#This Row],[Reject Purging (kg)]]+Table1[[#This Row],[Reject Preform (kg)]]</f>
        <v>0</v>
      </c>
      <c r="V63" s="37">
        <f>(Table1[[#This Row],[Gross Weight (gm)]]-Table1[[#This Row],[Part Weight (gm)]])*Table1[[#This Row],[Shift Output]]/1000</f>
        <v>0</v>
      </c>
      <c r="W63" s="3">
        <v>0</v>
      </c>
      <c r="X63" s="36" t="e">
        <f>Table1[[#This Row],[Reject Startup (kg)]]/Table1[[#This Row],[Material Used]]</f>
        <v>#DIV/0!</v>
      </c>
      <c r="Y63" s="3">
        <v>0</v>
      </c>
      <c r="Z63" s="36" t="e">
        <f>Table1[[#This Row],[Reject Prod (kg)]]/Table1[[#This Row],[Material Used]]</f>
        <v>#DIV/0!</v>
      </c>
      <c r="AA63" s="4">
        <v>0</v>
      </c>
      <c r="AB63" s="5">
        <v>12</v>
      </c>
      <c r="AC63" s="4" cm="1">
        <f t="array" ref="AC63">IFERROR(INDEX(ReferenceCard, MATCH(1, (INDEX(ReferenceCard,,1)=Table1[[#This Row],[SAP No]]) * (INDEX(ReferenceCard,,2)=Table1[[#This Row],[Mould No]]), 0), 9),)</f>
        <v>12.3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L63" s="2"/>
      <c r="AM63" s="2"/>
      <c r="AN63" s="3">
        <v>0</v>
      </c>
      <c r="AO63" s="3">
        <v>0</v>
      </c>
      <c r="AP6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4" spans="1:42" x14ac:dyDescent="0.35">
      <c r="A64" s="1">
        <v>46021</v>
      </c>
      <c r="B64">
        <v>1</v>
      </c>
      <c r="C64" t="s">
        <v>33</v>
      </c>
      <c r="D64" t="str" cm="1">
        <f t="array" ref="D64">IFERROR(INDEX(ReferenceCard, MATCH(1, (INDEX(ReferenceCard,,1)=Table1[[#This Row],[SAP No]]) * (INDEX(ReferenceCard,,2)=Table1[[#This Row],[Mould No]]), 0), 6),)</f>
        <v>PET</v>
      </c>
      <c r="E64">
        <v>541381</v>
      </c>
      <c r="F64">
        <v>0</v>
      </c>
      <c r="G64" t="str" cm="1">
        <f t="array" ref="G64">IFERROR(INDEX(ReferenceCard, MATCH(1, (INDEX(ReferenceCard,,1)=Table1[[#This Row],[SAP No]]) * (INDEX(ReferenceCard,,2)=Table1[[#This Row],[Mould No]]), 0), 3),)</f>
        <v>BC28-1200-K-R-CL</v>
      </c>
      <c r="H64">
        <v>0</v>
      </c>
      <c r="I64" cm="1">
        <f t="array" ref="I64">IFERROR(INDEX(ReferenceCard, MATCH(1, (INDEX(ReferenceCard,,1)=Table1[[#This Row],[SAP No]]) * (INDEX(ReferenceCard,,2)=Table1[[#This Row],[Mould No]]), 0), 4),)</f>
        <v>4</v>
      </c>
      <c r="J64" s="4" cm="1">
        <f t="array" ref="J64">IFERROR(INDEX(ReferenceCard, MATCH(1, (INDEX(ReferenceCard,,1)=Table1[[#This Row],[SAP No]]) * (INDEX(ReferenceCard,,2)=Table1[[#This Row],[Mould No]]), 0), 9),)</f>
        <v>55</v>
      </c>
      <c r="K64" s="4" cm="1">
        <f t="array" ref="K64">IFERROR(INDEX(ReferenceCard, MATCH(1, (INDEX(ReferenceCard,,1)=Table1[[#This Row],[SAP No]]) * (INDEX(ReferenceCard,,2)=Table1[[#This Row],[Mould No]]), 0), 7),)</f>
        <v>55</v>
      </c>
      <c r="L64">
        <v>0</v>
      </c>
      <c r="M64">
        <v>0</v>
      </c>
      <c r="N64">
        <v>0</v>
      </c>
      <c r="O64">
        <v>0</v>
      </c>
      <c r="P64">
        <f>Table1[[#This Row],[Shot]]*Table1[[#This Row],[Cav]]</f>
        <v>0</v>
      </c>
      <c r="Q64">
        <v>0</v>
      </c>
      <c r="R64">
        <f>(Table1[[#This Row],[Part Weight (gm)]]*Table1[[#This Row],[Finish Good]])/1000</f>
        <v>0</v>
      </c>
      <c r="S64">
        <v>0</v>
      </c>
      <c r="T64">
        <f>IF(Table1[[#This Row],[Qty Order]]="Sample","-",IF(Table1[[#This Row],[Qty Order]]="RTFN","-",Table1[[#This Row],[Qty Order]]-Table1[[#This Row],[Qty Accumulate]]))</f>
        <v>0</v>
      </c>
      <c r="U64">
        <f>((Table1[[#This Row],[Shift Output]]*Table1[[#This Row],[Part Weight (gm)]])/1000)+Table1[[#This Row],[Reject Startup (kg)]]+Table1[[#This Row],[Reject Purging (kg)]]+Table1[[#This Row],[Reject Preform (kg)]]</f>
        <v>0</v>
      </c>
      <c r="V64" s="37">
        <f>(Table1[[#This Row],[Gross Weight (gm)]]-Table1[[#This Row],[Part Weight (gm)]])*Table1[[#This Row],[Shift Output]]/1000</f>
        <v>0</v>
      </c>
      <c r="W64" s="3">
        <v>0</v>
      </c>
      <c r="X64" s="36" t="e">
        <f>Table1[[#This Row],[Reject Startup (kg)]]/Table1[[#This Row],[Material Used]]</f>
        <v>#DIV/0!</v>
      </c>
      <c r="Y64" s="3">
        <v>0</v>
      </c>
      <c r="Z64" s="36" t="e">
        <f>Table1[[#This Row],[Reject Prod (kg)]]/Table1[[#This Row],[Material Used]]</f>
        <v>#DIV/0!</v>
      </c>
      <c r="AA64" s="4">
        <v>0</v>
      </c>
      <c r="AB64" s="5">
        <v>12</v>
      </c>
      <c r="AC64" s="4" cm="1">
        <f t="array" ref="AC64">IFERROR(INDEX(ReferenceCard, MATCH(1, (INDEX(ReferenceCard,,1)=Table1[[#This Row],[SAP No]]) * (INDEX(ReferenceCard,,2)=Table1[[#This Row],[Mould No]]), 0), 9),)</f>
        <v>55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L64" s="2"/>
      <c r="AM64" s="2"/>
      <c r="AN64" s="3">
        <v>0</v>
      </c>
      <c r="AO64" s="3">
        <v>0</v>
      </c>
      <c r="AP6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5" spans="1:42" x14ac:dyDescent="0.35">
      <c r="A65" s="1">
        <v>46021</v>
      </c>
      <c r="B65">
        <v>1</v>
      </c>
      <c r="C65" t="s">
        <v>35</v>
      </c>
      <c r="D65" t="str" cm="1">
        <f t="array" ref="D65">IFERROR(INDEX(ReferenceCard, MATCH(1, (INDEX(ReferenceCard,,1)=Table1[[#This Row],[SAP No]]) * (INDEX(ReferenceCard,,2)=Table1[[#This Row],[Mould No]]), 0), 6),)</f>
        <v>PPSB520Y</v>
      </c>
      <c r="E65">
        <v>552181</v>
      </c>
      <c r="F65">
        <v>1</v>
      </c>
      <c r="G65" t="str" cm="1">
        <f t="array" ref="G65">IFERROR(INDEX(ReferenceCard, MATCH(1, (INDEX(ReferenceCard,,1)=Table1[[#This Row],[SAP No]]) * (INDEX(ReferenceCard,,2)=Table1[[#This Row],[Mould No]]), 0), 3),)</f>
        <v>BC28-0090-D-APH-5180-3538-PP-6 NOTCHES-MOLD1</v>
      </c>
      <c r="H65">
        <v>0</v>
      </c>
      <c r="I65" cm="1">
        <f t="array" ref="I65">IFERROR(INDEX(ReferenceCard, MATCH(1, (INDEX(ReferenceCard,,1)=Table1[[#This Row],[SAP No]]) * (INDEX(ReferenceCard,,2)=Table1[[#This Row],[Mould No]]), 0), 4),)</f>
        <v>6</v>
      </c>
      <c r="J65" s="4" cm="1">
        <f t="array" ref="J65">IFERROR(INDEX(ReferenceCard, MATCH(1, (INDEX(ReferenceCard,,1)=Table1[[#This Row],[SAP No]]) * (INDEX(ReferenceCard,,2)=Table1[[#This Row],[Mould No]]), 0), 9),)</f>
        <v>18.8</v>
      </c>
      <c r="K65" s="4" cm="1">
        <f t="array" ref="K65">IFERROR(INDEX(ReferenceCard, MATCH(1, (INDEX(ReferenceCard,,1)=Table1[[#This Row],[SAP No]]) * (INDEX(ReferenceCard,,2)=Table1[[#This Row],[Mould No]]), 0), 7),)</f>
        <v>18.8</v>
      </c>
      <c r="L65">
        <v>0</v>
      </c>
      <c r="M65">
        <v>0</v>
      </c>
      <c r="N65">
        <v>0</v>
      </c>
      <c r="O65">
        <v>0</v>
      </c>
      <c r="P65">
        <f>Table1[[#This Row],[Shot]]*Table1[[#This Row],[Cav]]</f>
        <v>0</v>
      </c>
      <c r="Q65">
        <v>0</v>
      </c>
      <c r="R65">
        <f>(Table1[[#This Row],[Part Weight (gm)]]*Table1[[#This Row],[Finish Good]])/1000</f>
        <v>0</v>
      </c>
      <c r="S65">
        <v>0</v>
      </c>
      <c r="T65">
        <f>IF(Table1[[#This Row],[Qty Order]]="Sample","-",IF(Table1[[#This Row],[Qty Order]]="RTFN","-",Table1[[#This Row],[Qty Order]]-Table1[[#This Row],[Qty Accumulate]]))</f>
        <v>0</v>
      </c>
      <c r="U65">
        <f>((Table1[[#This Row],[Shift Output]]*Table1[[#This Row],[Part Weight (gm)]])/1000)+Table1[[#This Row],[Reject Startup (kg)]]+Table1[[#This Row],[Reject Purging (kg)]]+Table1[[#This Row],[Reject Preform (kg)]]</f>
        <v>0</v>
      </c>
      <c r="V65" s="37">
        <f>(Table1[[#This Row],[Gross Weight (gm)]]-Table1[[#This Row],[Part Weight (gm)]])*Table1[[#This Row],[Shift Output]]/1000</f>
        <v>0</v>
      </c>
      <c r="W65" s="3">
        <v>0</v>
      </c>
      <c r="X65" s="36" t="e">
        <f>Table1[[#This Row],[Reject Startup (kg)]]/Table1[[#This Row],[Material Used]]</f>
        <v>#DIV/0!</v>
      </c>
      <c r="Y65" s="3">
        <v>0</v>
      </c>
      <c r="Z65" s="36" t="e">
        <f>Table1[[#This Row],[Reject Prod (kg)]]/Table1[[#This Row],[Material Used]]</f>
        <v>#DIV/0!</v>
      </c>
      <c r="AA65" s="4">
        <v>0</v>
      </c>
      <c r="AB65" s="5">
        <v>12</v>
      </c>
      <c r="AC65" s="4" cm="1">
        <f t="array" ref="AC65">IFERROR(INDEX(ReferenceCard, MATCH(1, (INDEX(ReferenceCard,,1)=Table1[[#This Row],[SAP No]]) * (INDEX(ReferenceCard,,2)=Table1[[#This Row],[Mould No]]), 0), 9),)</f>
        <v>18.8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L65" s="2"/>
      <c r="AM65" s="2"/>
      <c r="AN65" s="3">
        <v>0</v>
      </c>
      <c r="AO65" s="3">
        <v>0</v>
      </c>
      <c r="AP6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6" spans="1:42" x14ac:dyDescent="0.35">
      <c r="A66" s="1">
        <v>46021</v>
      </c>
      <c r="B66">
        <v>1</v>
      </c>
      <c r="C66" t="s">
        <v>18</v>
      </c>
      <c r="D66" t="str" cm="1">
        <f t="array" ref="D66">IFERROR(INDEX(ReferenceCard, MATCH(1, (INDEX(ReferenceCard,,1)=Table1[[#This Row],[SAP No]]) * (INDEX(ReferenceCard,,2)=Table1[[#This Row],[Mould No]]), 0), 6),)</f>
        <v>PPSB520Y</v>
      </c>
      <c r="E66">
        <v>555979</v>
      </c>
      <c r="F66">
        <v>4</v>
      </c>
      <c r="G66" t="str" cm="1">
        <f t="array" ref="G66">IFERROR(INDEX(ReferenceCard, MATCH(1, (INDEX(ReferenceCard,,1)=Table1[[#This Row],[SAP No]]) * (INDEX(ReferenceCard,,2)=Table1[[#This Row],[Mould No]]), 0), 3),)</f>
        <v>BC28-0170-D-APH-5180-3539-PP-6 NOTCHES-MOLD4</v>
      </c>
      <c r="H66">
        <v>0</v>
      </c>
      <c r="I66" cm="1">
        <f t="array" ref="I66">IFERROR(INDEX(ReferenceCard, MATCH(1, (INDEX(ReferenceCard,,1)=Table1[[#This Row],[SAP No]]) * (INDEX(ReferenceCard,,2)=Table1[[#This Row],[Mould No]]), 0), 4),)</f>
        <v>6</v>
      </c>
      <c r="J66" s="4" cm="1">
        <f t="array" ref="J66">IFERROR(INDEX(ReferenceCard, MATCH(1, (INDEX(ReferenceCard,,1)=Table1[[#This Row],[SAP No]]) * (INDEX(ReferenceCard,,2)=Table1[[#This Row],[Mould No]]), 0), 9),)</f>
        <v>28</v>
      </c>
      <c r="K66" s="4" cm="1">
        <f t="array" ref="K66">IFERROR(INDEX(ReferenceCard, MATCH(1, (INDEX(ReferenceCard,,1)=Table1[[#This Row],[SAP No]]) * (INDEX(ReferenceCard,,2)=Table1[[#This Row],[Mould No]]), 0), 7),)</f>
        <v>28</v>
      </c>
      <c r="L66">
        <v>960</v>
      </c>
      <c r="M66">
        <v>0</v>
      </c>
      <c r="N66">
        <v>0</v>
      </c>
      <c r="O66">
        <v>0</v>
      </c>
      <c r="P66">
        <f>Table1[[#This Row],[Shot]]*Table1[[#This Row],[Cav]]</f>
        <v>5760</v>
      </c>
      <c r="Q66">
        <v>0</v>
      </c>
      <c r="R66">
        <f>(Table1[[#This Row],[Part Weight (gm)]]*Table1[[#This Row],[Finish Good]])/1000</f>
        <v>0</v>
      </c>
      <c r="S66">
        <v>0</v>
      </c>
      <c r="T66">
        <f>IF(Table1[[#This Row],[Qty Order]]="Sample","-",IF(Table1[[#This Row],[Qty Order]]="RTFN","-",Table1[[#This Row],[Qty Order]]-Table1[[#This Row],[Qty Accumulate]]))</f>
        <v>0</v>
      </c>
      <c r="U66">
        <f>((Table1[[#This Row],[Shift Output]]*Table1[[#This Row],[Part Weight (gm)]])/1000)+Table1[[#This Row],[Reject Startup (kg)]]+Table1[[#This Row],[Reject Purging (kg)]]+Table1[[#This Row],[Reject Preform (kg)]]</f>
        <v>161.28</v>
      </c>
      <c r="V66" s="37">
        <f>(Table1[[#This Row],[Gross Weight (gm)]]-Table1[[#This Row],[Part Weight (gm)]])*Table1[[#This Row],[Shift Output]]/1000</f>
        <v>0</v>
      </c>
      <c r="W66" s="3">
        <v>0</v>
      </c>
      <c r="X66" s="36">
        <f>Table1[[#This Row],[Reject Startup (kg)]]/Table1[[#This Row],[Material Used]]</f>
        <v>0</v>
      </c>
      <c r="Y66" s="3">
        <v>0</v>
      </c>
      <c r="Z66" s="36">
        <f>Table1[[#This Row],[Reject Prod (kg)]]/Table1[[#This Row],[Material Used]]</f>
        <v>0</v>
      </c>
      <c r="AA66" s="4">
        <v>43.5</v>
      </c>
      <c r="AB66" s="5">
        <v>12</v>
      </c>
      <c r="AC66" s="4" cm="1">
        <f t="array" ref="AC66">IFERROR(INDEX(ReferenceCard, MATCH(1, (INDEX(ReferenceCard,,1)=Table1[[#This Row],[SAP No]]) * (INDEX(ReferenceCard,,2)=Table1[[#This Row],[Mould No]]), 0), 9),)</f>
        <v>28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L66" s="2"/>
      <c r="AM66" s="2"/>
      <c r="AN66" s="3">
        <v>0</v>
      </c>
      <c r="AO66" s="3">
        <v>0</v>
      </c>
      <c r="AP6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7" spans="1:42" x14ac:dyDescent="0.35">
      <c r="A67" s="1">
        <v>46020</v>
      </c>
      <c r="B67">
        <v>2</v>
      </c>
      <c r="C67" t="s">
        <v>25</v>
      </c>
      <c r="D67" t="str" cm="1">
        <f t="array" ref="D67">IFERROR(INDEX(ReferenceCard, MATCH(1, (INDEX(ReferenceCard,,1)=Table1[[#This Row],[SAP No]]) * (INDEX(ReferenceCard,,2)=Table1[[#This Row],[Mould No]]), 0), 6),)</f>
        <v>PET</v>
      </c>
      <c r="E67">
        <v>323133</v>
      </c>
      <c r="F67">
        <v>0</v>
      </c>
      <c r="G67" t="str" cm="1">
        <f t="array" ref="G67">IFERROR(INDEX(ReferenceCard, MATCH(1, (INDEX(ReferenceCard,,1)=Table1[[#This Row],[SAP No]]) * (INDEX(ReferenceCard,,2)=Table1[[#This Row],[Mould No]]), 0), 3),)</f>
        <v>BX38-2000-RH-R-CL(GREEN) (ASEM)</v>
      </c>
      <c r="H67">
        <v>0</v>
      </c>
      <c r="I67" cm="1">
        <f t="array" ref="I67">IFERROR(INDEX(ReferenceCard, MATCH(1, (INDEX(ReferenceCard,,1)=Table1[[#This Row],[SAP No]]) * (INDEX(ReferenceCard,,2)=Table1[[#This Row],[Mould No]]), 0), 4),)</f>
        <v>4</v>
      </c>
      <c r="J67" s="4" cm="1">
        <f t="array" ref="J67">IFERROR(INDEX(ReferenceCard, MATCH(1, (INDEX(ReferenceCard,,1)=Table1[[#This Row],[SAP No]]) * (INDEX(ReferenceCard,,2)=Table1[[#This Row],[Mould No]]), 0), 9),)</f>
        <v>77</v>
      </c>
      <c r="K67" s="4" cm="1">
        <f t="array" ref="K67">IFERROR(INDEX(ReferenceCard, MATCH(1, (INDEX(ReferenceCard,,1)=Table1[[#This Row],[SAP No]]) * (INDEX(ReferenceCard,,2)=Table1[[#This Row],[Mould No]]), 0), 7),)</f>
        <v>77</v>
      </c>
      <c r="L67">
        <v>0</v>
      </c>
      <c r="M67">
        <v>0</v>
      </c>
      <c r="N67">
        <v>0</v>
      </c>
      <c r="O67">
        <v>0</v>
      </c>
      <c r="P67">
        <f>Table1[[#This Row],[Shot]]*Table1[[#This Row],[Cav]]</f>
        <v>0</v>
      </c>
      <c r="Q67">
        <v>0</v>
      </c>
      <c r="R67">
        <f>(Table1[[#This Row],[Part Weight (gm)]]*Table1[[#This Row],[Finish Good]])/1000</f>
        <v>0</v>
      </c>
      <c r="S67">
        <v>0</v>
      </c>
      <c r="T67">
        <f>IF(Table1[[#This Row],[Qty Order]]="Sample","-",IF(Table1[[#This Row],[Qty Order]]="RTFN","-",Table1[[#This Row],[Qty Order]]-Table1[[#This Row],[Qty Accumulate]]))</f>
        <v>0</v>
      </c>
      <c r="U67">
        <f>((Table1[[#This Row],[Shift Output]]*Table1[[#This Row],[Part Weight (gm)]])/1000)+Table1[[#This Row],[Reject Startup (kg)]]+Table1[[#This Row],[Reject Purging (kg)]]+Table1[[#This Row],[Reject Preform (kg)]]</f>
        <v>0</v>
      </c>
      <c r="V67" s="37">
        <f>(Table1[[#This Row],[Gross Weight (gm)]]-Table1[[#This Row],[Part Weight (gm)]])*Table1[[#This Row],[Shift Output]]/1000</f>
        <v>0</v>
      </c>
      <c r="W67" s="3">
        <v>0</v>
      </c>
      <c r="X67" s="36" t="e">
        <f>Table1[[#This Row],[Reject Startup (kg)]]/Table1[[#This Row],[Material Used]]</f>
        <v>#DIV/0!</v>
      </c>
      <c r="Y67" s="3">
        <v>0</v>
      </c>
      <c r="Z67" s="36" t="e">
        <f>Table1[[#This Row],[Reject Prod (kg)]]/Table1[[#This Row],[Material Used]]</f>
        <v>#DIV/0!</v>
      </c>
      <c r="AA67" s="4">
        <v>0</v>
      </c>
      <c r="AB67" s="5">
        <v>0</v>
      </c>
      <c r="AC67" s="4" cm="1">
        <f t="array" ref="AC67">IFERROR(INDEX(ReferenceCard, MATCH(1, (INDEX(ReferenceCard,,1)=Table1[[#This Row],[SAP No]]) * (INDEX(ReferenceCard,,2)=Table1[[#This Row],[Mould No]]), 0), 9),)</f>
        <v>77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8.0999999999999908</v>
      </c>
      <c r="AL67" s="2"/>
      <c r="AM67" s="2"/>
      <c r="AN67" s="3">
        <v>0</v>
      </c>
      <c r="AO67" s="3">
        <v>0</v>
      </c>
      <c r="AP6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8" spans="1:42" x14ac:dyDescent="0.35">
      <c r="A68" s="1">
        <v>46020</v>
      </c>
      <c r="B68">
        <v>2</v>
      </c>
      <c r="C68" t="s">
        <v>16</v>
      </c>
      <c r="D68" t="str" cm="1">
        <f t="array" ref="D68">IFERROR(INDEX(ReferenceCard, MATCH(1, (INDEX(ReferenceCard,,1)=Table1[[#This Row],[SAP No]]) * (INDEX(ReferenceCard,,2)=Table1[[#This Row],[Mould No]]), 0), 6),)</f>
        <v>PET</v>
      </c>
      <c r="E68">
        <v>324638</v>
      </c>
      <c r="F68">
        <v>0</v>
      </c>
      <c r="G68" t="str" cm="1">
        <f t="array" ref="G68">IFERROR(INDEX(ReferenceCard, MATCH(1, (INDEX(ReferenceCard,,1)=Table1[[#This Row],[SAP No]]) * (INDEX(ReferenceCard,,2)=Table1[[#This Row],[Mould No]]), 0), 3),)</f>
        <v>BX38-2000-GH-R-CL (GREEN) (ASEM)</v>
      </c>
      <c r="H68">
        <v>0</v>
      </c>
      <c r="I68" cm="1">
        <f t="array" ref="I68">IFERROR(INDEX(ReferenceCard, MATCH(1, (INDEX(ReferenceCard,,1)=Table1[[#This Row],[SAP No]]) * (INDEX(ReferenceCard,,2)=Table1[[#This Row],[Mould No]]), 0), 4),)</f>
        <v>4</v>
      </c>
      <c r="J68" s="4" cm="1">
        <f t="array" ref="J68">IFERROR(INDEX(ReferenceCard, MATCH(1, (INDEX(ReferenceCard,,1)=Table1[[#This Row],[SAP No]]) * (INDEX(ReferenceCard,,2)=Table1[[#This Row],[Mould No]]), 0), 9),)</f>
        <v>77.5</v>
      </c>
      <c r="K68" s="4" cm="1">
        <f t="array" ref="K68">IFERROR(INDEX(ReferenceCard, MATCH(1, (INDEX(ReferenceCard,,1)=Table1[[#This Row],[SAP No]]) * (INDEX(ReferenceCard,,2)=Table1[[#This Row],[Mould No]]), 0), 7),)</f>
        <v>77.5</v>
      </c>
      <c r="L68">
        <v>0</v>
      </c>
      <c r="M68">
        <v>0</v>
      </c>
      <c r="N68">
        <v>0</v>
      </c>
      <c r="O68">
        <v>0</v>
      </c>
      <c r="P68">
        <f>Table1[[#This Row],[Shot]]*Table1[[#This Row],[Cav]]</f>
        <v>0</v>
      </c>
      <c r="Q68">
        <v>0</v>
      </c>
      <c r="R68">
        <f>(Table1[[#This Row],[Part Weight (gm)]]*Table1[[#This Row],[Finish Good]])/1000</f>
        <v>0</v>
      </c>
      <c r="S68">
        <v>0</v>
      </c>
      <c r="T68">
        <f>IF(Table1[[#This Row],[Qty Order]]="Sample","-",IF(Table1[[#This Row],[Qty Order]]="RTFN","-",Table1[[#This Row],[Qty Order]]-Table1[[#This Row],[Qty Accumulate]]))</f>
        <v>0</v>
      </c>
      <c r="U68">
        <f>((Table1[[#This Row],[Shift Output]]*Table1[[#This Row],[Part Weight (gm)]])/1000)+Table1[[#This Row],[Reject Startup (kg)]]+Table1[[#This Row],[Reject Purging (kg)]]+Table1[[#This Row],[Reject Preform (kg)]]</f>
        <v>0</v>
      </c>
      <c r="V68" s="37">
        <f>(Table1[[#This Row],[Gross Weight (gm)]]-Table1[[#This Row],[Part Weight (gm)]])*Table1[[#This Row],[Shift Output]]/1000</f>
        <v>0</v>
      </c>
      <c r="W68" s="3">
        <v>0</v>
      </c>
      <c r="X68" s="36" t="e">
        <f>Table1[[#This Row],[Reject Startup (kg)]]/Table1[[#This Row],[Material Used]]</f>
        <v>#DIV/0!</v>
      </c>
      <c r="Y68" s="3">
        <v>0</v>
      </c>
      <c r="Z68" s="36" t="e">
        <f>Table1[[#This Row],[Reject Prod (kg)]]/Table1[[#This Row],[Material Used]]</f>
        <v>#DIV/0!</v>
      </c>
      <c r="AA68" s="4">
        <v>0</v>
      </c>
      <c r="AB68" s="5">
        <v>0</v>
      </c>
      <c r="AC68" s="4" cm="1">
        <f t="array" ref="AC68">IFERROR(INDEX(ReferenceCard, MATCH(1, (INDEX(ReferenceCard,,1)=Table1[[#This Row],[SAP No]]) * (INDEX(ReferenceCard,,2)=Table1[[#This Row],[Mould No]]), 0), 9),)</f>
        <v>77.5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8.1099999999999905</v>
      </c>
      <c r="AL68" s="2"/>
      <c r="AM68" s="2"/>
      <c r="AN68" s="3">
        <v>0</v>
      </c>
      <c r="AO68" s="3">
        <v>0</v>
      </c>
      <c r="AP6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9" spans="1:42" x14ac:dyDescent="0.35">
      <c r="A69" s="1">
        <v>46020</v>
      </c>
      <c r="B69">
        <v>2</v>
      </c>
      <c r="C69" t="s">
        <v>14</v>
      </c>
      <c r="D69" t="str" cm="1">
        <f t="array" ref="D69">IFERROR(INDEX(ReferenceCard, MATCH(1, (INDEX(ReferenceCard,,1)=Table1[[#This Row],[SAP No]]) * (INDEX(ReferenceCard,,2)=Table1[[#This Row],[Mould No]]), 0), 6),)</f>
        <v>PET</v>
      </c>
      <c r="E69">
        <v>324165</v>
      </c>
      <c r="F69">
        <v>0</v>
      </c>
      <c r="G69" t="str" cm="1">
        <f t="array" ref="G69">IFERROR(INDEX(ReferenceCard, MATCH(1, (INDEX(ReferenceCard,,1)=Table1[[#This Row],[SAP No]]) * (INDEX(ReferenceCard,,2)=Table1[[#This Row],[Mould No]]), 0), 3),)</f>
        <v>JJ63-0400-SH-S-WH</v>
      </c>
      <c r="H69">
        <v>0</v>
      </c>
      <c r="I69" cm="1">
        <f t="array" ref="I69">IFERROR(INDEX(ReferenceCard, MATCH(1, (INDEX(ReferenceCard,,1)=Table1[[#This Row],[SAP No]]) * (INDEX(ReferenceCard,,2)=Table1[[#This Row],[Mould No]]), 0), 4),)</f>
        <v>4</v>
      </c>
      <c r="J69" s="4" cm="1">
        <f t="array" ref="J69">IFERROR(INDEX(ReferenceCard, MATCH(1, (INDEX(ReferenceCard,,1)=Table1[[#This Row],[SAP No]]) * (INDEX(ReferenceCard,,2)=Table1[[#This Row],[Mould No]]), 0), 9),)</f>
        <v>32.56</v>
      </c>
      <c r="K69" s="4" cm="1">
        <f t="array" ref="K69">IFERROR(INDEX(ReferenceCard, MATCH(1, (INDEX(ReferenceCard,,1)=Table1[[#This Row],[SAP No]]) * (INDEX(ReferenceCard,,2)=Table1[[#This Row],[Mould No]]), 0), 7),)</f>
        <v>33</v>
      </c>
      <c r="L69">
        <v>0</v>
      </c>
      <c r="M69">
        <v>0</v>
      </c>
      <c r="N69">
        <v>0</v>
      </c>
      <c r="O69">
        <v>0</v>
      </c>
      <c r="P69">
        <f>Table1[[#This Row],[Shot]]*Table1[[#This Row],[Cav]]</f>
        <v>0</v>
      </c>
      <c r="Q69">
        <v>0</v>
      </c>
      <c r="R69">
        <f>(Table1[[#This Row],[Part Weight (gm)]]*Table1[[#This Row],[Finish Good]])/1000</f>
        <v>0</v>
      </c>
      <c r="S69">
        <v>0</v>
      </c>
      <c r="T69">
        <f>IF(Table1[[#This Row],[Qty Order]]="Sample","-",IF(Table1[[#This Row],[Qty Order]]="RTFN","-",Table1[[#This Row],[Qty Order]]-Table1[[#This Row],[Qty Accumulate]]))</f>
        <v>0</v>
      </c>
      <c r="U69">
        <f>((Table1[[#This Row],[Shift Output]]*Table1[[#This Row],[Part Weight (gm)]])/1000)+Table1[[#This Row],[Reject Startup (kg)]]+Table1[[#This Row],[Reject Purging (kg)]]+Table1[[#This Row],[Reject Preform (kg)]]</f>
        <v>0</v>
      </c>
      <c r="V69" s="37">
        <f>(Table1[[#This Row],[Gross Weight (gm)]]-Table1[[#This Row],[Part Weight (gm)]])*Table1[[#This Row],[Shift Output]]/1000</f>
        <v>0</v>
      </c>
      <c r="W69" s="3">
        <v>0</v>
      </c>
      <c r="X69" s="36" t="e">
        <f>Table1[[#This Row],[Reject Startup (kg)]]/Table1[[#This Row],[Material Used]]</f>
        <v>#DIV/0!</v>
      </c>
      <c r="Y69" s="3">
        <v>0</v>
      </c>
      <c r="Z69" s="36" t="e">
        <f>Table1[[#This Row],[Reject Prod (kg)]]/Table1[[#This Row],[Material Used]]</f>
        <v>#DIV/0!</v>
      </c>
      <c r="AA69" s="4">
        <v>0</v>
      </c>
      <c r="AB69" s="5">
        <v>0</v>
      </c>
      <c r="AC69" s="4" cm="1">
        <f t="array" ref="AC69">IFERROR(INDEX(ReferenceCard, MATCH(1, (INDEX(ReferenceCard,,1)=Table1[[#This Row],[SAP No]]) * (INDEX(ReferenceCard,,2)=Table1[[#This Row],[Mould No]]), 0), 9),)</f>
        <v>32.56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8.1099999999999905</v>
      </c>
      <c r="AL69" s="2"/>
      <c r="AM69" s="2"/>
      <c r="AN69" s="3">
        <v>0</v>
      </c>
      <c r="AO69" s="3">
        <v>0</v>
      </c>
      <c r="AP6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0" spans="1:42" x14ac:dyDescent="0.35">
      <c r="A70" s="1">
        <v>46020</v>
      </c>
      <c r="B70">
        <v>2</v>
      </c>
      <c r="C70" t="s">
        <v>7</v>
      </c>
      <c r="D70" t="str" cm="1">
        <f t="array" ref="D70">IFERROR(INDEX(ReferenceCard, MATCH(1, (INDEX(ReferenceCard,,1)=Table1[[#This Row],[SAP No]]) * (INDEX(ReferenceCard,,2)=Table1[[#This Row],[Mould No]]), 0), 6),)</f>
        <v>PET</v>
      </c>
      <c r="E70">
        <v>426555</v>
      </c>
      <c r="F70">
        <v>0</v>
      </c>
      <c r="G70" t="str" cm="1">
        <f t="array" ref="G70">IFERROR(INDEX(ReferenceCard, MATCH(1, (INDEX(ReferenceCard,,1)=Table1[[#This Row],[SAP No]]) * (INDEX(ReferenceCard,,2)=Table1[[#This Row],[Mould No]]), 0), 3),)</f>
        <v>BX38-0330-Z-S-CL-HW</v>
      </c>
      <c r="H70">
        <v>0</v>
      </c>
      <c r="I70" cm="1">
        <f t="array" ref="I70">IFERROR(INDEX(ReferenceCard, MATCH(1, (INDEX(ReferenceCard,,1)=Table1[[#This Row],[SAP No]]) * (INDEX(ReferenceCard,,2)=Table1[[#This Row],[Mould No]]), 0), 4),)</f>
        <v>4</v>
      </c>
      <c r="J70" s="4" cm="1">
        <f t="array" ref="J70">IFERROR(INDEX(ReferenceCard, MATCH(1, (INDEX(ReferenceCard,,1)=Table1[[#This Row],[SAP No]]) * (INDEX(ReferenceCard,,2)=Table1[[#This Row],[Mould No]]), 0), 9),)</f>
        <v>29</v>
      </c>
      <c r="K70" s="4" cm="1">
        <f t="array" ref="K70">IFERROR(INDEX(ReferenceCard, MATCH(1, (INDEX(ReferenceCard,,1)=Table1[[#This Row],[SAP No]]) * (INDEX(ReferenceCard,,2)=Table1[[#This Row],[Mould No]]), 0), 7),)</f>
        <v>29</v>
      </c>
      <c r="L70">
        <v>0</v>
      </c>
      <c r="M70">
        <v>0</v>
      </c>
      <c r="N70">
        <v>0</v>
      </c>
      <c r="O70">
        <v>0</v>
      </c>
      <c r="P70">
        <f>Table1[[#This Row],[Shot]]*Table1[[#This Row],[Cav]]</f>
        <v>0</v>
      </c>
      <c r="Q70">
        <v>0</v>
      </c>
      <c r="R70">
        <f>(Table1[[#This Row],[Part Weight (gm)]]*Table1[[#This Row],[Finish Good]])/1000</f>
        <v>0</v>
      </c>
      <c r="S70">
        <v>0</v>
      </c>
      <c r="T70">
        <f>IF(Table1[[#This Row],[Qty Order]]="Sample","-",IF(Table1[[#This Row],[Qty Order]]="RTFN","-",Table1[[#This Row],[Qty Order]]-Table1[[#This Row],[Qty Accumulate]]))</f>
        <v>0</v>
      </c>
      <c r="U70">
        <f>((Table1[[#This Row],[Shift Output]]*Table1[[#This Row],[Part Weight (gm)]])/1000)+Table1[[#This Row],[Reject Startup (kg)]]+Table1[[#This Row],[Reject Purging (kg)]]+Table1[[#This Row],[Reject Preform (kg)]]</f>
        <v>0</v>
      </c>
      <c r="V70" s="37">
        <f>(Table1[[#This Row],[Gross Weight (gm)]]-Table1[[#This Row],[Part Weight (gm)]])*Table1[[#This Row],[Shift Output]]/1000</f>
        <v>0</v>
      </c>
      <c r="W70" s="3">
        <v>0</v>
      </c>
      <c r="X70" s="36" t="e">
        <f>Table1[[#This Row],[Reject Startup (kg)]]/Table1[[#This Row],[Material Used]]</f>
        <v>#DIV/0!</v>
      </c>
      <c r="Y70" s="3">
        <v>0</v>
      </c>
      <c r="Z70" s="36" t="e">
        <f>Table1[[#This Row],[Reject Prod (kg)]]/Table1[[#This Row],[Material Used]]</f>
        <v>#DIV/0!</v>
      </c>
      <c r="AA70" s="4">
        <v>0</v>
      </c>
      <c r="AB70" s="5">
        <v>0</v>
      </c>
      <c r="AC70" s="4" cm="1">
        <f t="array" ref="AC70">IFERROR(INDEX(ReferenceCard, MATCH(1, (INDEX(ReferenceCard,,1)=Table1[[#This Row],[SAP No]]) * (INDEX(ReferenceCard,,2)=Table1[[#This Row],[Mould No]]), 0), 9),)</f>
        <v>29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8.1199999999999903</v>
      </c>
      <c r="AL70" s="2"/>
      <c r="AM70" s="2"/>
      <c r="AN70" s="3">
        <v>0</v>
      </c>
      <c r="AO70" s="3">
        <v>0</v>
      </c>
      <c r="AP7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1" spans="1:42" x14ac:dyDescent="0.35">
      <c r="A71" s="1">
        <v>46020</v>
      </c>
      <c r="B71">
        <v>2</v>
      </c>
      <c r="C71" t="s">
        <v>3</v>
      </c>
      <c r="D71" t="str" cm="1">
        <f t="array" ref="D71">IFERROR(INDEX(ReferenceCard, MATCH(1, (INDEX(ReferenceCard,,1)=Table1[[#This Row],[SAP No]]) * (INDEX(ReferenceCard,,2)=Table1[[#This Row],[Mould No]]), 0), 6),)</f>
        <v>PET</v>
      </c>
      <c r="E71">
        <v>322493</v>
      </c>
      <c r="F71">
        <v>0</v>
      </c>
      <c r="G71" t="str" cm="1">
        <f t="array" ref="G71">IFERROR(INDEX(ReferenceCard, MATCH(1, (INDEX(ReferenceCard,,1)=Table1[[#This Row],[SAP No]]) * (INDEX(ReferenceCard,,2)=Table1[[#This Row],[Mould No]]), 0), 3),)</f>
        <v>BC28-0280-HD-R-CL-LW</v>
      </c>
      <c r="H71">
        <v>0</v>
      </c>
      <c r="I71" cm="1">
        <f t="array" ref="I71">IFERROR(INDEX(ReferenceCard, MATCH(1, (INDEX(ReferenceCard,,1)=Table1[[#This Row],[SAP No]]) * (INDEX(ReferenceCard,,2)=Table1[[#This Row],[Mould No]]), 0), 4),)</f>
        <v>4</v>
      </c>
      <c r="J71" s="4" cm="1">
        <f t="array" ref="J71">IFERROR(INDEX(ReferenceCard, MATCH(1, (INDEX(ReferenceCard,,1)=Table1[[#This Row],[SAP No]]) * (INDEX(ReferenceCard,,2)=Table1[[#This Row],[Mould No]]), 0), 9),)</f>
        <v>23</v>
      </c>
      <c r="K71" s="4" cm="1">
        <f t="array" ref="K71">IFERROR(INDEX(ReferenceCard, MATCH(1, (INDEX(ReferenceCard,,1)=Table1[[#This Row],[SAP No]]) * (INDEX(ReferenceCard,,2)=Table1[[#This Row],[Mould No]]), 0), 7),)</f>
        <v>23</v>
      </c>
      <c r="L71">
        <v>0</v>
      </c>
      <c r="M71">
        <v>0</v>
      </c>
      <c r="N71">
        <v>0</v>
      </c>
      <c r="O71">
        <v>0</v>
      </c>
      <c r="P71">
        <f>Table1[[#This Row],[Shot]]*Table1[[#This Row],[Cav]]</f>
        <v>0</v>
      </c>
      <c r="Q71">
        <v>0</v>
      </c>
      <c r="R71">
        <f>(Table1[[#This Row],[Part Weight (gm)]]*Table1[[#This Row],[Finish Good]])/1000</f>
        <v>0</v>
      </c>
      <c r="S71">
        <v>0</v>
      </c>
      <c r="T71">
        <f>IF(Table1[[#This Row],[Qty Order]]="Sample","-",IF(Table1[[#This Row],[Qty Order]]="RTFN","-",Table1[[#This Row],[Qty Order]]-Table1[[#This Row],[Qty Accumulate]]))</f>
        <v>0</v>
      </c>
      <c r="U71">
        <f>((Table1[[#This Row],[Shift Output]]*Table1[[#This Row],[Part Weight (gm)]])/1000)+Table1[[#This Row],[Reject Startup (kg)]]+Table1[[#This Row],[Reject Purging (kg)]]+Table1[[#This Row],[Reject Preform (kg)]]</f>
        <v>0</v>
      </c>
      <c r="V71" s="37">
        <f>(Table1[[#This Row],[Gross Weight (gm)]]-Table1[[#This Row],[Part Weight (gm)]])*Table1[[#This Row],[Shift Output]]/1000</f>
        <v>0</v>
      </c>
      <c r="W71" s="3">
        <v>0</v>
      </c>
      <c r="X71" s="36" t="e">
        <f>Table1[[#This Row],[Reject Startup (kg)]]/Table1[[#This Row],[Material Used]]</f>
        <v>#DIV/0!</v>
      </c>
      <c r="Y71" s="3">
        <v>0</v>
      </c>
      <c r="Z71" s="36" t="e">
        <f>Table1[[#This Row],[Reject Prod (kg)]]/Table1[[#This Row],[Material Used]]</f>
        <v>#DIV/0!</v>
      </c>
      <c r="AA71" s="4">
        <v>0</v>
      </c>
      <c r="AB71" s="5">
        <v>0</v>
      </c>
      <c r="AC71" s="4" cm="1">
        <f t="array" ref="AC71">IFERROR(INDEX(ReferenceCard, MATCH(1, (INDEX(ReferenceCard,,1)=Table1[[#This Row],[SAP No]]) * (INDEX(ReferenceCard,,2)=Table1[[#This Row],[Mould No]]), 0), 9),)</f>
        <v>23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8.1199999999999903</v>
      </c>
      <c r="AL71" s="2"/>
      <c r="AM71" s="2"/>
      <c r="AN71" s="3">
        <v>0</v>
      </c>
      <c r="AO71" s="3">
        <v>0</v>
      </c>
      <c r="AP7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2" spans="1:42" x14ac:dyDescent="0.35">
      <c r="A72" s="1">
        <v>46020</v>
      </c>
      <c r="B72">
        <v>2</v>
      </c>
      <c r="C72" t="s">
        <v>9</v>
      </c>
      <c r="D72" t="str" cm="1">
        <f t="array" ref="D72">IFERROR(INDEX(ReferenceCard, MATCH(1, (INDEX(ReferenceCard,,1)=Table1[[#This Row],[SAP No]]) * (INDEX(ReferenceCard,,2)=Table1[[#This Row],[Mould No]]), 0), 6),)</f>
        <v>PET</v>
      </c>
      <c r="E72">
        <v>611949</v>
      </c>
      <c r="F72">
        <v>0</v>
      </c>
      <c r="G72" t="str" cm="1">
        <f t="array" ref="G72">IFERROR(INDEX(ReferenceCard, MATCH(1, (INDEX(ReferenceCard,,1)=Table1[[#This Row],[SAP No]]) * (INDEX(ReferenceCard,,2)=Table1[[#This Row],[Mould No]]), 0), 3),)</f>
        <v>BBX38-0150-R-AM</v>
      </c>
      <c r="H72">
        <v>0</v>
      </c>
      <c r="I72" cm="1">
        <f t="array" ref="I72">IFERROR(INDEX(ReferenceCard, MATCH(1, (INDEX(ReferenceCard,,1)=Table1[[#This Row],[SAP No]]) * (INDEX(ReferenceCard,,2)=Table1[[#This Row],[Mould No]]), 0), 4),)</f>
        <v>4</v>
      </c>
      <c r="J72" s="4" cm="1">
        <f t="array" ref="J72">IFERROR(INDEX(ReferenceCard, MATCH(1, (INDEX(ReferenceCard,,1)=Table1[[#This Row],[SAP No]]) * (INDEX(ReferenceCard,,2)=Table1[[#This Row],[Mould No]]), 0), 9),)</f>
        <v>23</v>
      </c>
      <c r="K72" s="4" cm="1">
        <f t="array" ref="K72">IFERROR(INDEX(ReferenceCard, MATCH(1, (INDEX(ReferenceCard,,1)=Table1[[#This Row],[SAP No]]) * (INDEX(ReferenceCard,,2)=Table1[[#This Row],[Mould No]]), 0), 7),)</f>
        <v>23</v>
      </c>
      <c r="L72">
        <v>0</v>
      </c>
      <c r="M72">
        <v>0</v>
      </c>
      <c r="N72">
        <v>0</v>
      </c>
      <c r="O72">
        <v>0</v>
      </c>
      <c r="P72">
        <f>Table1[[#This Row],[Shot]]*Table1[[#This Row],[Cav]]</f>
        <v>0</v>
      </c>
      <c r="Q72">
        <v>0</v>
      </c>
      <c r="R72">
        <f>(Table1[[#This Row],[Part Weight (gm)]]*Table1[[#This Row],[Finish Good]])/1000</f>
        <v>0</v>
      </c>
      <c r="S72">
        <v>0</v>
      </c>
      <c r="T72">
        <f>IF(Table1[[#This Row],[Qty Order]]="Sample","-",IF(Table1[[#This Row],[Qty Order]]="RTFN","-",Table1[[#This Row],[Qty Order]]-Table1[[#This Row],[Qty Accumulate]]))</f>
        <v>0</v>
      </c>
      <c r="U72">
        <f>((Table1[[#This Row],[Shift Output]]*Table1[[#This Row],[Part Weight (gm)]])/1000)+Table1[[#This Row],[Reject Startup (kg)]]+Table1[[#This Row],[Reject Purging (kg)]]+Table1[[#This Row],[Reject Preform (kg)]]</f>
        <v>0</v>
      </c>
      <c r="V72" s="37">
        <f>(Table1[[#This Row],[Gross Weight (gm)]]-Table1[[#This Row],[Part Weight (gm)]])*Table1[[#This Row],[Shift Output]]/1000</f>
        <v>0</v>
      </c>
      <c r="W72" s="3">
        <v>0</v>
      </c>
      <c r="X72" s="36" t="e">
        <f>Table1[[#This Row],[Reject Startup (kg)]]/Table1[[#This Row],[Material Used]]</f>
        <v>#DIV/0!</v>
      </c>
      <c r="Y72" s="3">
        <v>0</v>
      </c>
      <c r="Z72" s="36" t="e">
        <f>Table1[[#This Row],[Reject Prod (kg)]]/Table1[[#This Row],[Material Used]]</f>
        <v>#DIV/0!</v>
      </c>
      <c r="AA72" s="4">
        <v>0</v>
      </c>
      <c r="AB72" s="5">
        <v>0</v>
      </c>
      <c r="AC72" s="4" cm="1">
        <f t="array" ref="AC72">IFERROR(INDEX(ReferenceCard, MATCH(1, (INDEX(ReferenceCard,,1)=Table1[[#This Row],[SAP No]]) * (INDEX(ReferenceCard,,2)=Table1[[#This Row],[Mould No]]), 0), 9),)</f>
        <v>23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8.1199999999999903</v>
      </c>
      <c r="AL72" s="2"/>
      <c r="AM72" s="2"/>
      <c r="AN72" s="3">
        <v>0</v>
      </c>
      <c r="AO72" s="3">
        <v>0</v>
      </c>
      <c r="AP7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3" spans="1:42" x14ac:dyDescent="0.35">
      <c r="A73" s="1">
        <v>46020</v>
      </c>
      <c r="B73">
        <v>2</v>
      </c>
      <c r="C73" t="s">
        <v>5</v>
      </c>
      <c r="D73" t="str" cm="1">
        <f t="array" ref="D73">IFERROR(INDEX(ReferenceCard, MATCH(1, (INDEX(ReferenceCard,,1)=Table1[[#This Row],[SAP No]]) * (INDEX(ReferenceCard,,2)=Table1[[#This Row],[Mould No]]), 0), 6),)</f>
        <v>PET</v>
      </c>
      <c r="E73">
        <v>442034</v>
      </c>
      <c r="F73">
        <v>0</v>
      </c>
      <c r="G73" t="str" cm="1">
        <f t="array" ref="G73">IFERROR(INDEX(ReferenceCard, MATCH(1, (INDEX(ReferenceCard,,1)=Table1[[#This Row],[SAP No]]) * (INDEX(ReferenceCard,,2)=Table1[[#This Row],[Mould No]]), 0), 3),)</f>
        <v>BC28-0250-Z-S-CL</v>
      </c>
      <c r="H73">
        <v>0</v>
      </c>
      <c r="I73" cm="1">
        <f t="array" ref="I73">IFERROR(INDEX(ReferenceCard, MATCH(1, (INDEX(ReferenceCard,,1)=Table1[[#This Row],[SAP No]]) * (INDEX(ReferenceCard,,2)=Table1[[#This Row],[Mould No]]), 0), 4),)</f>
        <v>4</v>
      </c>
      <c r="J73" s="4" cm="1">
        <f t="array" ref="J73">IFERROR(INDEX(ReferenceCard, MATCH(1, (INDEX(ReferenceCard,,1)=Table1[[#This Row],[SAP No]]) * (INDEX(ReferenceCard,,2)=Table1[[#This Row],[Mould No]]), 0), 9),)</f>
        <v>23</v>
      </c>
      <c r="K73" s="4" cm="1">
        <f t="array" ref="K73">IFERROR(INDEX(ReferenceCard, MATCH(1, (INDEX(ReferenceCard,,1)=Table1[[#This Row],[SAP No]]) * (INDEX(ReferenceCard,,2)=Table1[[#This Row],[Mould No]]), 0), 7),)</f>
        <v>23</v>
      </c>
      <c r="L73">
        <v>0</v>
      </c>
      <c r="M73">
        <v>0</v>
      </c>
      <c r="N73">
        <v>0</v>
      </c>
      <c r="O73">
        <v>0</v>
      </c>
      <c r="P73">
        <f>Table1[[#This Row],[Shot]]*Table1[[#This Row],[Cav]]</f>
        <v>0</v>
      </c>
      <c r="Q73">
        <v>0</v>
      </c>
      <c r="R73">
        <f>(Table1[[#This Row],[Part Weight (gm)]]*Table1[[#This Row],[Finish Good]])/1000</f>
        <v>0</v>
      </c>
      <c r="S73">
        <v>0</v>
      </c>
      <c r="T73">
        <f>IF(Table1[[#This Row],[Qty Order]]="Sample","-",IF(Table1[[#This Row],[Qty Order]]="RTFN","-",Table1[[#This Row],[Qty Order]]-Table1[[#This Row],[Qty Accumulate]]))</f>
        <v>0</v>
      </c>
      <c r="U73">
        <f>((Table1[[#This Row],[Shift Output]]*Table1[[#This Row],[Part Weight (gm)]])/1000)+Table1[[#This Row],[Reject Startup (kg)]]+Table1[[#This Row],[Reject Purging (kg)]]+Table1[[#This Row],[Reject Preform (kg)]]</f>
        <v>0</v>
      </c>
      <c r="V73" s="37">
        <f>(Table1[[#This Row],[Gross Weight (gm)]]-Table1[[#This Row],[Part Weight (gm)]])*Table1[[#This Row],[Shift Output]]/1000</f>
        <v>0</v>
      </c>
      <c r="W73" s="3">
        <v>0</v>
      </c>
      <c r="X73" s="36" t="e">
        <f>Table1[[#This Row],[Reject Startup (kg)]]/Table1[[#This Row],[Material Used]]</f>
        <v>#DIV/0!</v>
      </c>
      <c r="Y73" s="3">
        <v>0</v>
      </c>
      <c r="Z73" s="36" t="e">
        <f>Table1[[#This Row],[Reject Prod (kg)]]/Table1[[#This Row],[Material Used]]</f>
        <v>#DIV/0!</v>
      </c>
      <c r="AA73" s="4">
        <v>0</v>
      </c>
      <c r="AB73" s="5">
        <v>0</v>
      </c>
      <c r="AC73" s="4" cm="1">
        <f t="array" ref="AC73">IFERROR(INDEX(ReferenceCard, MATCH(1, (INDEX(ReferenceCard,,1)=Table1[[#This Row],[SAP No]]) * (INDEX(ReferenceCard,,2)=Table1[[#This Row],[Mould No]]), 0), 9),)</f>
        <v>23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8.1300000000000008</v>
      </c>
      <c r="AL73" s="2"/>
      <c r="AM73" s="2"/>
      <c r="AN73" s="3">
        <v>0</v>
      </c>
      <c r="AO73" s="3">
        <v>0</v>
      </c>
      <c r="AP7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4" spans="1:42" x14ac:dyDescent="0.35">
      <c r="A74" s="1">
        <v>46020</v>
      </c>
      <c r="B74">
        <v>2</v>
      </c>
      <c r="C74" t="s">
        <v>0</v>
      </c>
      <c r="D74" t="str" cm="1">
        <f t="array" ref="D74">IFERROR(INDEX(ReferenceCard, MATCH(1, (INDEX(ReferenceCard,,1)=Table1[[#This Row],[SAP No]]) * (INDEX(ReferenceCard,,2)=Table1[[#This Row],[Mould No]]), 0), 6),)</f>
        <v>PET</v>
      </c>
      <c r="E74">
        <v>347623</v>
      </c>
      <c r="F74">
        <v>0</v>
      </c>
      <c r="G74" t="str" cm="1">
        <f t="array" ref="G74">IFERROR(INDEX(ReferenceCard, MATCH(1, (INDEX(ReferenceCard,,1)=Table1[[#This Row],[SAP No]]) * (INDEX(ReferenceCard,,2)=Table1[[#This Row],[Mould No]]), 0), 3),)</f>
        <v>BC28-0375-K-R-CL</v>
      </c>
      <c r="H74">
        <v>0</v>
      </c>
      <c r="I74" cm="1">
        <f t="array" ref="I74">IFERROR(INDEX(ReferenceCard, MATCH(1, (INDEX(ReferenceCard,,1)=Table1[[#This Row],[SAP No]]) * (INDEX(ReferenceCard,,2)=Table1[[#This Row],[Mould No]]), 0), 4),)</f>
        <v>4</v>
      </c>
      <c r="J74" s="4" cm="1">
        <f t="array" ref="J74">IFERROR(INDEX(ReferenceCard, MATCH(1, (INDEX(ReferenceCard,,1)=Table1[[#This Row],[SAP No]]) * (INDEX(ReferenceCard,,2)=Table1[[#This Row],[Mould No]]), 0), 9),)</f>
        <v>35.6</v>
      </c>
      <c r="K74" s="4" cm="1">
        <f t="array" ref="K74">IFERROR(INDEX(ReferenceCard, MATCH(1, (INDEX(ReferenceCard,,1)=Table1[[#This Row],[SAP No]]) * (INDEX(ReferenceCard,,2)=Table1[[#This Row],[Mould No]]), 0), 7),)</f>
        <v>35.6</v>
      </c>
      <c r="L74">
        <v>93</v>
      </c>
      <c r="M74">
        <v>0</v>
      </c>
      <c r="N74">
        <v>0</v>
      </c>
      <c r="O74">
        <v>0</v>
      </c>
      <c r="P74">
        <f>Table1[[#This Row],[Shot]]*Table1[[#This Row],[Cav]]</f>
        <v>372</v>
      </c>
      <c r="Q74">
        <v>0</v>
      </c>
      <c r="R74">
        <f>(Table1[[#This Row],[Part Weight (gm)]]*Table1[[#This Row],[Finish Good]])/1000</f>
        <v>0</v>
      </c>
      <c r="S74">
        <v>0</v>
      </c>
      <c r="T74">
        <f>IF(Table1[[#This Row],[Qty Order]]="Sample","-",IF(Table1[[#This Row],[Qty Order]]="RTFN","-",Table1[[#This Row],[Qty Order]]-Table1[[#This Row],[Qty Accumulate]]))</f>
        <v>0</v>
      </c>
      <c r="U74">
        <f>((Table1[[#This Row],[Shift Output]]*Table1[[#This Row],[Part Weight (gm)]])/1000)+Table1[[#This Row],[Reject Startup (kg)]]+Table1[[#This Row],[Reject Purging (kg)]]+Table1[[#This Row],[Reject Preform (kg)]]</f>
        <v>13.2432</v>
      </c>
      <c r="V74" s="37">
        <f>(Table1[[#This Row],[Gross Weight (gm)]]-Table1[[#This Row],[Part Weight (gm)]])*Table1[[#This Row],[Shift Output]]/1000</f>
        <v>0</v>
      </c>
      <c r="W74" s="3">
        <v>0</v>
      </c>
      <c r="X74" s="36">
        <f>Table1[[#This Row],[Reject Startup (kg)]]/Table1[[#This Row],[Material Used]]</f>
        <v>0</v>
      </c>
      <c r="Y74" s="3">
        <v>0</v>
      </c>
      <c r="Z74" s="36">
        <f>Table1[[#This Row],[Reject Prod (kg)]]/Table1[[#This Row],[Material Used]]</f>
        <v>0</v>
      </c>
      <c r="AA74" s="4">
        <v>0</v>
      </c>
      <c r="AB74" s="5">
        <v>3.83</v>
      </c>
      <c r="AC74" s="4" cm="1">
        <f t="array" ref="AC74">IFERROR(INDEX(ReferenceCard, MATCH(1, (INDEX(ReferenceCard,,1)=Table1[[#This Row],[SAP No]]) * (INDEX(ReferenceCard,,2)=Table1[[#This Row],[Mould No]]), 0), 9),)</f>
        <v>35.6</v>
      </c>
      <c r="AD74" s="5">
        <v>0</v>
      </c>
      <c r="AE74" s="5">
        <v>0</v>
      </c>
      <c r="AF74" s="5">
        <v>0</v>
      </c>
      <c r="AG74" s="5">
        <v>8.1699999999999893</v>
      </c>
      <c r="AH74" s="5">
        <v>0</v>
      </c>
      <c r="AI74" s="5">
        <v>0</v>
      </c>
      <c r="AJ74" s="5">
        <v>0</v>
      </c>
      <c r="AL74" s="2"/>
      <c r="AM74" s="2"/>
      <c r="AN74" s="3">
        <v>0</v>
      </c>
      <c r="AO74" s="3">
        <v>0</v>
      </c>
      <c r="AP7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5" spans="1:42" x14ac:dyDescent="0.35">
      <c r="A75" s="1">
        <v>46020</v>
      </c>
      <c r="B75">
        <v>2</v>
      </c>
      <c r="C75" t="s">
        <v>3</v>
      </c>
      <c r="D75" t="str" cm="1">
        <f t="array" ref="D75">IFERROR(INDEX(ReferenceCard, MATCH(1, (INDEX(ReferenceCard,,1)=Table1[[#This Row],[SAP No]]) * (INDEX(ReferenceCard,,2)=Table1[[#This Row],[Mould No]]), 0), 6),)</f>
        <v>PET</v>
      </c>
      <c r="E75">
        <v>423215</v>
      </c>
      <c r="F75">
        <v>0</v>
      </c>
      <c r="G75" t="str" cm="1">
        <f t="array" ref="G75">IFERROR(INDEX(ReferenceCard, MATCH(1, (INDEX(ReferenceCard,,1)=Table1[[#This Row],[SAP No]]) * (INDEX(ReferenceCard,,2)=Table1[[#This Row],[Mould No]]), 0), 3),)</f>
        <v>BC28-0355-SCC-A-Q-CL</v>
      </c>
      <c r="H75">
        <v>0</v>
      </c>
      <c r="I75" cm="1">
        <f t="array" ref="I75">IFERROR(INDEX(ReferenceCard, MATCH(1, (INDEX(ReferenceCard,,1)=Table1[[#This Row],[SAP No]]) * (INDEX(ReferenceCard,,2)=Table1[[#This Row],[Mould No]]), 0), 4),)</f>
        <v>4</v>
      </c>
      <c r="J75" s="4" cm="1">
        <f t="array" ref="J75">IFERROR(INDEX(ReferenceCard, MATCH(1, (INDEX(ReferenceCard,,1)=Table1[[#This Row],[SAP No]]) * (INDEX(ReferenceCard,,2)=Table1[[#This Row],[Mould No]]), 0), 9),)</f>
        <v>24</v>
      </c>
      <c r="K75" s="4" cm="1">
        <f t="array" ref="K75">IFERROR(INDEX(ReferenceCard, MATCH(1, (INDEX(ReferenceCard,,1)=Table1[[#This Row],[SAP No]]) * (INDEX(ReferenceCard,,2)=Table1[[#This Row],[Mould No]]), 0), 7),)</f>
        <v>24</v>
      </c>
      <c r="L75">
        <v>64</v>
      </c>
      <c r="M75">
        <v>0</v>
      </c>
      <c r="N75">
        <v>0</v>
      </c>
      <c r="O75">
        <v>0</v>
      </c>
      <c r="P75">
        <f>Table1[[#This Row],[Shot]]*Table1[[#This Row],[Cav]]</f>
        <v>256</v>
      </c>
      <c r="Q75">
        <v>0</v>
      </c>
      <c r="R75">
        <f>(Table1[[#This Row],[Part Weight (gm)]]*Table1[[#This Row],[Finish Good]])/1000</f>
        <v>0</v>
      </c>
      <c r="S75">
        <v>0</v>
      </c>
      <c r="T75">
        <f>IF(Table1[[#This Row],[Qty Order]]="Sample","-",IF(Table1[[#This Row],[Qty Order]]="RTFN","-",Table1[[#This Row],[Qty Order]]-Table1[[#This Row],[Qty Accumulate]]))</f>
        <v>0</v>
      </c>
      <c r="U75">
        <f>((Table1[[#This Row],[Shift Output]]*Table1[[#This Row],[Part Weight (gm)]])/1000)+Table1[[#This Row],[Reject Startup (kg)]]+Table1[[#This Row],[Reject Purging (kg)]]+Table1[[#This Row],[Reject Preform (kg)]]</f>
        <v>6.1440000000000001</v>
      </c>
      <c r="V75" s="37">
        <f>(Table1[[#This Row],[Gross Weight (gm)]]-Table1[[#This Row],[Part Weight (gm)]])*Table1[[#This Row],[Shift Output]]/1000</f>
        <v>0</v>
      </c>
      <c r="W75" s="3">
        <v>0</v>
      </c>
      <c r="X75" s="36">
        <f>Table1[[#This Row],[Reject Startup (kg)]]/Table1[[#This Row],[Material Used]]</f>
        <v>0</v>
      </c>
      <c r="Y75" s="3">
        <v>0</v>
      </c>
      <c r="Z75" s="36">
        <f>Table1[[#This Row],[Reject Prod (kg)]]/Table1[[#This Row],[Material Used]]</f>
        <v>0</v>
      </c>
      <c r="AA75" s="4">
        <v>0</v>
      </c>
      <c r="AB75" s="5">
        <v>0.42999999999999899</v>
      </c>
      <c r="AC75" s="4" cm="1">
        <f t="array" ref="AC75">IFERROR(INDEX(ReferenceCard, MATCH(1, (INDEX(ReferenceCard,,1)=Table1[[#This Row],[SAP No]]) * (INDEX(ReferenceCard,,2)=Table1[[#This Row],[Mould No]]), 0), 9),)</f>
        <v>24</v>
      </c>
      <c r="AD75" s="5">
        <v>0</v>
      </c>
      <c r="AE75" s="5">
        <v>0</v>
      </c>
      <c r="AF75" s="5">
        <v>0</v>
      </c>
      <c r="AG75" s="5">
        <v>0</v>
      </c>
      <c r="AH75" s="5">
        <v>3.45</v>
      </c>
      <c r="AI75" s="5">
        <v>0</v>
      </c>
      <c r="AJ75" s="5">
        <v>0</v>
      </c>
      <c r="AL75" s="2"/>
      <c r="AM75" s="2"/>
      <c r="AN75" s="3">
        <v>0</v>
      </c>
      <c r="AO75" s="3">
        <v>0</v>
      </c>
      <c r="AP7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6" spans="1:42" x14ac:dyDescent="0.35">
      <c r="A76" s="1">
        <v>46020</v>
      </c>
      <c r="B76">
        <v>2</v>
      </c>
      <c r="C76" t="s">
        <v>5</v>
      </c>
      <c r="D76" t="str" cm="1">
        <f t="array" ref="D76">IFERROR(INDEX(ReferenceCard, MATCH(1, (INDEX(ReferenceCard,,1)=Table1[[#This Row],[SAP No]]) * (INDEX(ReferenceCard,,2)=Table1[[#This Row],[Mould No]]), 0), 6),)</f>
        <v>PET</v>
      </c>
      <c r="E76">
        <v>543590</v>
      </c>
      <c r="F76">
        <v>0</v>
      </c>
      <c r="G76" t="str" cm="1">
        <f t="array" ref="G76">IFERROR(INDEX(ReferenceCard, MATCH(1, (INDEX(ReferenceCard,,1)=Table1[[#This Row],[SAP No]]) * (INDEX(ReferenceCard,,2)=Table1[[#This Row],[Mould No]]), 0), 3),)</f>
        <v>BC28-0130-R-R-AM</v>
      </c>
      <c r="H76">
        <v>0</v>
      </c>
      <c r="I76" cm="1">
        <f t="array" ref="I76">IFERROR(INDEX(ReferenceCard, MATCH(1, (INDEX(ReferenceCard,,1)=Table1[[#This Row],[SAP No]]) * (INDEX(ReferenceCard,,2)=Table1[[#This Row],[Mould No]]), 0), 4),)</f>
        <v>4</v>
      </c>
      <c r="J76" s="4" cm="1">
        <f t="array" ref="J76">IFERROR(INDEX(ReferenceCard, MATCH(1, (INDEX(ReferenceCard,,1)=Table1[[#This Row],[SAP No]]) * (INDEX(ReferenceCard,,2)=Table1[[#This Row],[Mould No]]), 0), 9),)</f>
        <v>19</v>
      </c>
      <c r="K76" s="4" cm="1">
        <f t="array" ref="K76">IFERROR(INDEX(ReferenceCard, MATCH(1, (INDEX(ReferenceCard,,1)=Table1[[#This Row],[SAP No]]) * (INDEX(ReferenceCard,,2)=Table1[[#This Row],[Mould No]]), 0), 7),)</f>
        <v>19</v>
      </c>
      <c r="L76">
        <v>57</v>
      </c>
      <c r="M76">
        <v>0</v>
      </c>
      <c r="N76">
        <v>0</v>
      </c>
      <c r="O76">
        <v>0</v>
      </c>
      <c r="P76">
        <f>Table1[[#This Row],[Shot]]*Table1[[#This Row],[Cav]]</f>
        <v>228</v>
      </c>
      <c r="Q76">
        <v>0</v>
      </c>
      <c r="R76">
        <f>(Table1[[#This Row],[Part Weight (gm)]]*Table1[[#This Row],[Finish Good]])/1000</f>
        <v>0</v>
      </c>
      <c r="S76">
        <v>0</v>
      </c>
      <c r="T76">
        <f>IF(Table1[[#This Row],[Qty Order]]="Sample","-",IF(Table1[[#This Row],[Qty Order]]="RTFN","-",Table1[[#This Row],[Qty Order]]-Table1[[#This Row],[Qty Accumulate]]))</f>
        <v>0</v>
      </c>
      <c r="U76">
        <f>((Table1[[#This Row],[Shift Output]]*Table1[[#This Row],[Part Weight (gm)]])/1000)+Table1[[#This Row],[Reject Startup (kg)]]+Table1[[#This Row],[Reject Purging (kg)]]+Table1[[#This Row],[Reject Preform (kg)]]</f>
        <v>4.3319999999999999</v>
      </c>
      <c r="V76" s="37">
        <f>(Table1[[#This Row],[Gross Weight (gm)]]-Table1[[#This Row],[Part Weight (gm)]])*Table1[[#This Row],[Shift Output]]/1000</f>
        <v>0</v>
      </c>
      <c r="W76" s="3">
        <v>0</v>
      </c>
      <c r="X76" s="36">
        <f>Table1[[#This Row],[Reject Startup (kg)]]/Table1[[#This Row],[Material Used]]</f>
        <v>0</v>
      </c>
      <c r="Y76" s="3">
        <v>0</v>
      </c>
      <c r="Z76" s="36">
        <f>Table1[[#This Row],[Reject Prod (kg)]]/Table1[[#This Row],[Material Used]]</f>
        <v>0</v>
      </c>
      <c r="AA76" s="4">
        <v>0</v>
      </c>
      <c r="AB76" s="5">
        <v>3.87</v>
      </c>
      <c r="AC76" s="4" cm="1">
        <f t="array" ref="AC76">IFERROR(INDEX(ReferenceCard, MATCH(1, (INDEX(ReferenceCard,,1)=Table1[[#This Row],[SAP No]]) * (INDEX(ReferenceCard,,2)=Table1[[#This Row],[Mould No]]), 0), 9),)</f>
        <v>19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L76" s="2"/>
      <c r="AM76" s="2"/>
      <c r="AN76" s="3">
        <v>0</v>
      </c>
      <c r="AO76" s="3">
        <v>0</v>
      </c>
      <c r="AP7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" spans="1:42" x14ac:dyDescent="0.35">
      <c r="A77" s="1">
        <v>46020</v>
      </c>
      <c r="B77">
        <v>2</v>
      </c>
      <c r="C77" t="s">
        <v>7</v>
      </c>
      <c r="D77" t="str" cm="1">
        <f t="array" ref="D77">IFERROR(INDEX(ReferenceCard, MATCH(1, (INDEX(ReferenceCard,,1)=Table1[[#This Row],[SAP No]]) * (INDEX(ReferenceCard,,2)=Table1[[#This Row],[Mould No]]), 0), 6),)</f>
        <v>PET</v>
      </c>
      <c r="E77">
        <v>451191</v>
      </c>
      <c r="F77">
        <v>0</v>
      </c>
      <c r="G77" t="str" cm="1">
        <f t="array" ref="G77">IFERROR(INDEX(ReferenceCard, MATCH(1, (INDEX(ReferenceCard,,1)=Table1[[#This Row],[SAP No]]) * (INDEX(ReferenceCard,,2)=Table1[[#This Row],[Mould No]]), 0), 3),)</f>
        <v>BX38-0350-Z-C-CL</v>
      </c>
      <c r="H77">
        <v>0</v>
      </c>
      <c r="I77" cm="1">
        <f t="array" ref="I77">IFERROR(INDEX(ReferenceCard, MATCH(1, (INDEX(ReferenceCard,,1)=Table1[[#This Row],[SAP No]]) * (INDEX(ReferenceCard,,2)=Table1[[#This Row],[Mould No]]), 0), 4),)</f>
        <v>4</v>
      </c>
      <c r="J77" s="4" cm="1">
        <f t="array" ref="J77">IFERROR(INDEX(ReferenceCard, MATCH(1, (INDEX(ReferenceCard,,1)=Table1[[#This Row],[SAP No]]) * (INDEX(ReferenceCard,,2)=Table1[[#This Row],[Mould No]]), 0), 9),)</f>
        <v>29</v>
      </c>
      <c r="K77" s="4" cm="1">
        <f t="array" ref="K77">IFERROR(INDEX(ReferenceCard, MATCH(1, (INDEX(ReferenceCard,,1)=Table1[[#This Row],[SAP No]]) * (INDEX(ReferenceCard,,2)=Table1[[#This Row],[Mould No]]), 0), 7),)</f>
        <v>29</v>
      </c>
      <c r="L77">
        <v>71</v>
      </c>
      <c r="M77">
        <v>0</v>
      </c>
      <c r="N77">
        <v>0</v>
      </c>
      <c r="O77">
        <v>0</v>
      </c>
      <c r="P77">
        <f>Table1[[#This Row],[Shot]]*Table1[[#This Row],[Cav]]</f>
        <v>284</v>
      </c>
      <c r="Q77">
        <v>0</v>
      </c>
      <c r="R77">
        <f>(Table1[[#This Row],[Part Weight (gm)]]*Table1[[#This Row],[Finish Good]])/1000</f>
        <v>0</v>
      </c>
      <c r="S77">
        <v>0</v>
      </c>
      <c r="T77">
        <f>IF(Table1[[#This Row],[Qty Order]]="Sample","-",IF(Table1[[#This Row],[Qty Order]]="RTFN","-",Table1[[#This Row],[Qty Order]]-Table1[[#This Row],[Qty Accumulate]]))</f>
        <v>0</v>
      </c>
      <c r="U77">
        <f>((Table1[[#This Row],[Shift Output]]*Table1[[#This Row],[Part Weight (gm)]])/1000)+Table1[[#This Row],[Reject Startup (kg)]]+Table1[[#This Row],[Reject Purging (kg)]]+Table1[[#This Row],[Reject Preform (kg)]]</f>
        <v>8.2360000000000007</v>
      </c>
      <c r="V77" s="37">
        <f>(Table1[[#This Row],[Gross Weight (gm)]]-Table1[[#This Row],[Part Weight (gm)]])*Table1[[#This Row],[Shift Output]]/1000</f>
        <v>0</v>
      </c>
      <c r="W77" s="3">
        <v>0</v>
      </c>
      <c r="X77" s="36">
        <f>Table1[[#This Row],[Reject Startup (kg)]]/Table1[[#This Row],[Material Used]]</f>
        <v>0</v>
      </c>
      <c r="Y77" s="3">
        <v>0</v>
      </c>
      <c r="Z77" s="36">
        <f>Table1[[#This Row],[Reject Prod (kg)]]/Table1[[#This Row],[Material Used]]</f>
        <v>0</v>
      </c>
      <c r="AA77" s="4">
        <v>0</v>
      </c>
      <c r="AB77" s="5">
        <v>3.83</v>
      </c>
      <c r="AC77" s="4" cm="1">
        <f t="array" ref="AC77">IFERROR(INDEX(ReferenceCard, MATCH(1, (INDEX(ReferenceCard,,1)=Table1[[#This Row],[SAP No]]) * (INDEX(ReferenceCard,,2)=Table1[[#This Row],[Mould No]]), 0), 9),)</f>
        <v>29</v>
      </c>
      <c r="AD77" s="5">
        <v>0</v>
      </c>
      <c r="AE77" s="5">
        <v>0</v>
      </c>
      <c r="AF77" s="5">
        <v>0</v>
      </c>
      <c r="AG77" s="5">
        <v>0</v>
      </c>
      <c r="AH77" s="5">
        <v>0.05</v>
      </c>
      <c r="AI77" s="5">
        <v>0</v>
      </c>
      <c r="AJ77" s="5">
        <v>0</v>
      </c>
      <c r="AL77" s="2"/>
      <c r="AM77" s="2"/>
      <c r="AN77" s="3">
        <v>0</v>
      </c>
      <c r="AO77" s="3">
        <v>0</v>
      </c>
      <c r="AP7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" spans="1:42" x14ac:dyDescent="0.35">
      <c r="A78" s="1">
        <v>46020</v>
      </c>
      <c r="B78">
        <v>2</v>
      </c>
      <c r="C78" t="s">
        <v>9</v>
      </c>
      <c r="D78" t="str" cm="1">
        <f t="array" ref="D78">IFERROR(INDEX(ReferenceCard, MATCH(1, (INDEX(ReferenceCard,,1)=Table1[[#This Row],[SAP No]]) * (INDEX(ReferenceCard,,2)=Table1[[#This Row],[Mould No]]), 0), 6),)</f>
        <v>PET</v>
      </c>
      <c r="E78">
        <v>322451</v>
      </c>
      <c r="F78">
        <v>0</v>
      </c>
      <c r="G78" t="str" cm="1">
        <f t="array" ref="G78">IFERROR(INDEX(ReferenceCard, MATCH(1, (INDEX(ReferenceCard,,1)=Table1[[#This Row],[SAP No]]) * (INDEX(ReferenceCard,,2)=Table1[[#This Row],[Mould No]]), 0), 3),)</f>
        <v>BC28-0500-WNHP-R-BR</v>
      </c>
      <c r="H78">
        <v>0</v>
      </c>
      <c r="I78" cm="1">
        <f t="array" ref="I78">IFERROR(INDEX(ReferenceCard, MATCH(1, (INDEX(ReferenceCard,,1)=Table1[[#This Row],[SAP No]]) * (INDEX(ReferenceCard,,2)=Table1[[#This Row],[Mould No]]), 0), 4),)</f>
        <v>4</v>
      </c>
      <c r="J78" s="4" cm="1">
        <f t="array" ref="J78">IFERROR(INDEX(ReferenceCard, MATCH(1, (INDEX(ReferenceCard,,1)=Table1[[#This Row],[SAP No]]) * (INDEX(ReferenceCard,,2)=Table1[[#This Row],[Mould No]]), 0), 9),)</f>
        <v>45.6</v>
      </c>
      <c r="K78" s="4" cm="1">
        <f t="array" ref="K78">IFERROR(INDEX(ReferenceCard, MATCH(1, (INDEX(ReferenceCard,,1)=Table1[[#This Row],[SAP No]]) * (INDEX(ReferenceCard,,2)=Table1[[#This Row],[Mould No]]), 0), 7),)</f>
        <v>45.6</v>
      </c>
      <c r="L78">
        <v>0</v>
      </c>
      <c r="M78">
        <v>0</v>
      </c>
      <c r="N78">
        <v>0</v>
      </c>
      <c r="O78">
        <v>0</v>
      </c>
      <c r="P78">
        <f>Table1[[#This Row],[Shot]]*Table1[[#This Row],[Cav]]</f>
        <v>0</v>
      </c>
      <c r="Q78">
        <v>0</v>
      </c>
      <c r="R78">
        <f>(Table1[[#This Row],[Part Weight (gm)]]*Table1[[#This Row],[Finish Good]])/1000</f>
        <v>0</v>
      </c>
      <c r="S78">
        <v>0</v>
      </c>
      <c r="T78">
        <f>IF(Table1[[#This Row],[Qty Order]]="Sample","-",IF(Table1[[#This Row],[Qty Order]]="RTFN","-",Table1[[#This Row],[Qty Order]]-Table1[[#This Row],[Qty Accumulate]]))</f>
        <v>0</v>
      </c>
      <c r="U78">
        <f>((Table1[[#This Row],[Shift Output]]*Table1[[#This Row],[Part Weight (gm)]])/1000)+Table1[[#This Row],[Reject Startup (kg)]]+Table1[[#This Row],[Reject Purging (kg)]]+Table1[[#This Row],[Reject Preform (kg)]]</f>
        <v>0</v>
      </c>
      <c r="V78" s="37">
        <f>(Table1[[#This Row],[Gross Weight (gm)]]-Table1[[#This Row],[Part Weight (gm)]])*Table1[[#This Row],[Shift Output]]/1000</f>
        <v>0</v>
      </c>
      <c r="W78" s="3">
        <v>0</v>
      </c>
      <c r="X78" s="36" t="e">
        <f>Table1[[#This Row],[Reject Startup (kg)]]/Table1[[#This Row],[Material Used]]</f>
        <v>#DIV/0!</v>
      </c>
      <c r="Y78" s="3">
        <v>0</v>
      </c>
      <c r="Z78" s="36" t="e">
        <f>Table1[[#This Row],[Reject Prod (kg)]]/Table1[[#This Row],[Material Used]]</f>
        <v>#DIV/0!</v>
      </c>
      <c r="AA78" s="4">
        <v>0</v>
      </c>
      <c r="AB78" s="5">
        <v>0</v>
      </c>
      <c r="AC78" s="4" cm="1">
        <f t="array" ref="AC78">IFERROR(INDEX(ReferenceCard, MATCH(1, (INDEX(ReferenceCard,,1)=Table1[[#This Row],[SAP No]]) * (INDEX(ReferenceCard,,2)=Table1[[#This Row],[Mould No]]), 0), 9),)</f>
        <v>45.6</v>
      </c>
      <c r="AD78" s="5">
        <v>0</v>
      </c>
      <c r="AE78" s="5">
        <v>0</v>
      </c>
      <c r="AF78" s="5">
        <v>0</v>
      </c>
      <c r="AG78" s="5">
        <v>0</v>
      </c>
      <c r="AH78" s="5">
        <v>3.87</v>
      </c>
      <c r="AI78" s="5">
        <v>0</v>
      </c>
      <c r="AJ78" s="5">
        <v>0</v>
      </c>
      <c r="AL78" s="2"/>
      <c r="AM78" s="2"/>
      <c r="AN78" s="3">
        <v>0</v>
      </c>
      <c r="AO78" s="3">
        <v>0</v>
      </c>
      <c r="AP7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9" spans="1:42" x14ac:dyDescent="0.35">
      <c r="A79" s="1">
        <v>46020</v>
      </c>
      <c r="B79">
        <v>2</v>
      </c>
      <c r="C79" t="s">
        <v>11</v>
      </c>
      <c r="D79" t="str" cm="1">
        <f t="array" ref="D79">IFERROR(INDEX(ReferenceCard, MATCH(1, (INDEX(ReferenceCard,,1)=Table1[[#This Row],[SAP No]]) * (INDEX(ReferenceCard,,2)=Table1[[#This Row],[Mould No]]), 0), 6),)</f>
        <v>rPET</v>
      </c>
      <c r="E79">
        <v>620994</v>
      </c>
      <c r="F79">
        <v>0</v>
      </c>
      <c r="G79" t="str" cm="1">
        <f t="array" ref="G79">IFERROR(INDEX(ReferenceCard, MATCH(1, (INDEX(ReferenceCard,,1)=Table1[[#This Row],[SAP No]]) * (INDEX(ReferenceCard,,2)=Table1[[#This Row],[Mould No]]), 0), 3),)</f>
        <v>JJ63-0400-SH-S-CL-rPET</v>
      </c>
      <c r="H79">
        <v>0</v>
      </c>
      <c r="I79" cm="1">
        <f t="array" ref="I79">IFERROR(INDEX(ReferenceCard, MATCH(1, (INDEX(ReferenceCard,,1)=Table1[[#This Row],[SAP No]]) * (INDEX(ReferenceCard,,2)=Table1[[#This Row],[Mould No]]), 0), 4),)</f>
        <v>4</v>
      </c>
      <c r="J79" s="4" cm="1">
        <f t="array" ref="J79">IFERROR(INDEX(ReferenceCard, MATCH(1, (INDEX(ReferenceCard,,1)=Table1[[#This Row],[SAP No]]) * (INDEX(ReferenceCard,,2)=Table1[[#This Row],[Mould No]]), 0), 9),)</f>
        <v>32.74</v>
      </c>
      <c r="K79" s="4" cm="1">
        <f t="array" ref="K79">IFERROR(INDEX(ReferenceCard, MATCH(1, (INDEX(ReferenceCard,,1)=Table1[[#This Row],[SAP No]]) * (INDEX(ReferenceCard,,2)=Table1[[#This Row],[Mould No]]), 0), 7),)</f>
        <v>33</v>
      </c>
      <c r="L79">
        <v>1639</v>
      </c>
      <c r="M79">
        <v>0</v>
      </c>
      <c r="N79">
        <v>0</v>
      </c>
      <c r="O79">
        <v>0</v>
      </c>
      <c r="P79">
        <f>Table1[[#This Row],[Shot]]*Table1[[#This Row],[Cav]]</f>
        <v>6556</v>
      </c>
      <c r="Q79">
        <v>0</v>
      </c>
      <c r="R79">
        <f>(Table1[[#This Row],[Part Weight (gm)]]*Table1[[#This Row],[Finish Good]])/1000</f>
        <v>0</v>
      </c>
      <c r="S79">
        <v>0</v>
      </c>
      <c r="T79">
        <f>IF(Table1[[#This Row],[Qty Order]]="Sample","-",IF(Table1[[#This Row],[Qty Order]]="RTFN","-",Table1[[#This Row],[Qty Order]]-Table1[[#This Row],[Qty Accumulate]]))</f>
        <v>0</v>
      </c>
      <c r="U79">
        <f>((Table1[[#This Row],[Shift Output]]*Table1[[#This Row],[Part Weight (gm)]])/1000)+Table1[[#This Row],[Reject Startup (kg)]]+Table1[[#This Row],[Reject Purging (kg)]]+Table1[[#This Row],[Reject Preform (kg)]]</f>
        <v>216.34800000000001</v>
      </c>
      <c r="V79" s="37">
        <f>(Table1[[#This Row],[Gross Weight (gm)]]-Table1[[#This Row],[Part Weight (gm)]])*Table1[[#This Row],[Shift Output]]/1000</f>
        <v>-1.704559999999987</v>
      </c>
      <c r="W79" s="3">
        <v>0</v>
      </c>
      <c r="X79" s="36">
        <f>Table1[[#This Row],[Reject Startup (kg)]]/Table1[[#This Row],[Material Used]]</f>
        <v>0</v>
      </c>
      <c r="Y79" s="3">
        <v>0</v>
      </c>
      <c r="Z79" s="36">
        <f>Table1[[#This Row],[Reject Prod (kg)]]/Table1[[#This Row],[Material Used]]</f>
        <v>0</v>
      </c>
      <c r="AA79" s="4">
        <v>0</v>
      </c>
      <c r="AB79" s="5">
        <v>12</v>
      </c>
      <c r="AC79" s="4" cm="1">
        <f t="array" ref="AC79">IFERROR(INDEX(ReferenceCard, MATCH(1, (INDEX(ReferenceCard,,1)=Table1[[#This Row],[SAP No]]) * (INDEX(ReferenceCard,,2)=Table1[[#This Row],[Mould No]]), 0), 9),)</f>
        <v>32.74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L79" s="2"/>
      <c r="AM79" s="2"/>
      <c r="AN79" s="3">
        <v>0</v>
      </c>
      <c r="AO79" s="3">
        <v>0</v>
      </c>
      <c r="AP7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0" spans="1:42" x14ac:dyDescent="0.35">
      <c r="A80" s="1">
        <v>46020</v>
      </c>
      <c r="B80">
        <v>2</v>
      </c>
      <c r="C80" t="s">
        <v>14</v>
      </c>
      <c r="D80" t="str" cm="1">
        <f t="array" ref="D80">IFERROR(INDEX(ReferenceCard, MATCH(1, (INDEX(ReferenceCard,,1)=Table1[[#This Row],[SAP No]]) * (INDEX(ReferenceCard,,2)=Table1[[#This Row],[Mould No]]), 0), 6),)</f>
        <v>PET</v>
      </c>
      <c r="E80">
        <v>322444</v>
      </c>
      <c r="F80">
        <v>0</v>
      </c>
      <c r="G80" t="str" cm="1">
        <f t="array" ref="G80">IFERROR(INDEX(ReferenceCard, MATCH(1, (INDEX(ReferenceCard,,1)=Table1[[#This Row],[SAP No]]) * (INDEX(ReferenceCard,,2)=Table1[[#This Row],[Mould No]]), 0), 3),)</f>
        <v>JJ63-0400-RH-R-CL</v>
      </c>
      <c r="H80">
        <v>0</v>
      </c>
      <c r="I80" cm="1">
        <f t="array" ref="I80">IFERROR(INDEX(ReferenceCard, MATCH(1, (INDEX(ReferenceCard,,1)=Table1[[#This Row],[SAP No]]) * (INDEX(ReferenceCard,,2)=Table1[[#This Row],[Mould No]]), 0), 4),)</f>
        <v>4</v>
      </c>
      <c r="J80" s="4" cm="1">
        <f t="array" ref="J80">IFERROR(INDEX(ReferenceCard, MATCH(1, (INDEX(ReferenceCard,,1)=Table1[[#This Row],[SAP No]]) * (INDEX(ReferenceCard,,2)=Table1[[#This Row],[Mould No]]), 0), 9),)</f>
        <v>32.74</v>
      </c>
      <c r="K80" s="4" cm="1">
        <f t="array" ref="K80">IFERROR(INDEX(ReferenceCard, MATCH(1, (INDEX(ReferenceCard,,1)=Table1[[#This Row],[SAP No]]) * (INDEX(ReferenceCard,,2)=Table1[[#This Row],[Mould No]]), 0), 7),)</f>
        <v>34.5</v>
      </c>
      <c r="L80">
        <v>69</v>
      </c>
      <c r="M80">
        <v>0</v>
      </c>
      <c r="N80">
        <v>0</v>
      </c>
      <c r="O80">
        <v>0</v>
      </c>
      <c r="P80">
        <f>Table1[[#This Row],[Shot]]*Table1[[#This Row],[Cav]]</f>
        <v>276</v>
      </c>
      <c r="Q80">
        <v>0</v>
      </c>
      <c r="R80">
        <f>(Table1[[#This Row],[Part Weight (gm)]]*Table1[[#This Row],[Finish Good]])/1000</f>
        <v>0</v>
      </c>
      <c r="S80">
        <v>0</v>
      </c>
      <c r="T80">
        <f>IF(Table1[[#This Row],[Qty Order]]="Sample","-",IF(Table1[[#This Row],[Qty Order]]="RTFN","-",Table1[[#This Row],[Qty Order]]-Table1[[#This Row],[Qty Accumulate]]))</f>
        <v>0</v>
      </c>
      <c r="U80">
        <f>((Table1[[#This Row],[Shift Output]]*Table1[[#This Row],[Part Weight (gm)]])/1000)+Table1[[#This Row],[Reject Startup (kg)]]+Table1[[#This Row],[Reject Purging (kg)]]+Table1[[#This Row],[Reject Preform (kg)]]</f>
        <v>9.5220000000000002</v>
      </c>
      <c r="V80" s="37">
        <f>(Table1[[#This Row],[Gross Weight (gm)]]-Table1[[#This Row],[Part Weight (gm)]])*Table1[[#This Row],[Shift Output]]/1000</f>
        <v>-0.48575999999999941</v>
      </c>
      <c r="W80" s="3">
        <v>0</v>
      </c>
      <c r="X80" s="36">
        <f>Table1[[#This Row],[Reject Startup (kg)]]/Table1[[#This Row],[Material Used]]</f>
        <v>0</v>
      </c>
      <c r="Y80" s="3">
        <v>0</v>
      </c>
      <c r="Z80" s="36">
        <f>Table1[[#This Row],[Reject Prod (kg)]]/Table1[[#This Row],[Material Used]]</f>
        <v>0</v>
      </c>
      <c r="AA80" s="4">
        <v>0</v>
      </c>
      <c r="AB80" s="5">
        <v>0.42999999999999899</v>
      </c>
      <c r="AC80" s="4" cm="1">
        <f t="array" ref="AC80">IFERROR(INDEX(ReferenceCard, MATCH(1, (INDEX(ReferenceCard,,1)=Table1[[#This Row],[SAP No]]) * (INDEX(ReferenceCard,,2)=Table1[[#This Row],[Mould No]]), 0), 9),)</f>
        <v>32.74</v>
      </c>
      <c r="AD80" s="5">
        <v>0</v>
      </c>
      <c r="AE80" s="5">
        <v>0</v>
      </c>
      <c r="AF80" s="5">
        <v>0</v>
      </c>
      <c r="AG80" s="5">
        <v>0</v>
      </c>
      <c r="AH80" s="5">
        <v>3.46</v>
      </c>
      <c r="AI80" s="5">
        <v>0</v>
      </c>
      <c r="AJ80" s="5">
        <v>0</v>
      </c>
      <c r="AL80" s="2"/>
      <c r="AM80" s="2"/>
      <c r="AN80" s="3">
        <v>0</v>
      </c>
      <c r="AO80" s="3">
        <v>0</v>
      </c>
      <c r="AP8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1" spans="1:42" x14ac:dyDescent="0.35">
      <c r="A81" s="1">
        <v>46020</v>
      </c>
      <c r="B81">
        <v>2</v>
      </c>
      <c r="C81" t="s">
        <v>16</v>
      </c>
      <c r="D81" t="str" cm="1">
        <f t="array" ref="D81">IFERROR(INDEX(ReferenceCard, MATCH(1, (INDEX(ReferenceCard,,1)=Table1[[#This Row],[SAP No]]) * (INDEX(ReferenceCard,,2)=Table1[[#This Row],[Mould No]]), 0), 6),)</f>
        <v>PET</v>
      </c>
      <c r="E81">
        <v>324206</v>
      </c>
      <c r="F81">
        <v>0</v>
      </c>
      <c r="G81" t="str" cm="1">
        <f t="array" ref="G81">IFERROR(INDEX(ReferenceCard, MATCH(1, (INDEX(ReferenceCard,,1)=Table1[[#This Row],[SAP No]]) * (INDEX(ReferenceCard,,2)=Table1[[#This Row],[Mould No]]), 0), 3),)</f>
        <v>BX38-1000-HC-S-CL</v>
      </c>
      <c r="H81">
        <v>0</v>
      </c>
      <c r="I81" cm="1">
        <f t="array" ref="I81">IFERROR(INDEX(ReferenceCard, MATCH(1, (INDEX(ReferenceCard,,1)=Table1[[#This Row],[SAP No]]) * (INDEX(ReferenceCard,,2)=Table1[[#This Row],[Mould No]]), 0), 4),)</f>
        <v>4</v>
      </c>
      <c r="J81" s="4" cm="1">
        <f t="array" ref="J81">IFERROR(INDEX(ReferenceCard, MATCH(1, (INDEX(ReferenceCard,,1)=Table1[[#This Row],[SAP No]]) * (INDEX(ReferenceCard,,2)=Table1[[#This Row],[Mould No]]), 0), 9),)</f>
        <v>49</v>
      </c>
      <c r="K81" s="4" cm="1">
        <f t="array" ref="K81">IFERROR(INDEX(ReferenceCard, MATCH(1, (INDEX(ReferenceCard,,1)=Table1[[#This Row],[SAP No]]) * (INDEX(ReferenceCard,,2)=Table1[[#This Row],[Mould No]]), 0), 7),)</f>
        <v>48</v>
      </c>
      <c r="L81">
        <v>511</v>
      </c>
      <c r="M81">
        <v>0</v>
      </c>
      <c r="N81">
        <v>0</v>
      </c>
      <c r="O81">
        <v>0</v>
      </c>
      <c r="P81">
        <f>Table1[[#This Row],[Shot]]*Table1[[#This Row],[Cav]]</f>
        <v>2044</v>
      </c>
      <c r="Q81">
        <v>0</v>
      </c>
      <c r="R81">
        <f>(Table1[[#This Row],[Part Weight (gm)]]*Table1[[#This Row],[Finish Good]])/1000</f>
        <v>0</v>
      </c>
      <c r="S81">
        <v>0</v>
      </c>
      <c r="T81">
        <f>IF(Table1[[#This Row],[Qty Order]]="Sample","-",IF(Table1[[#This Row],[Qty Order]]="RTFN","-",Table1[[#This Row],[Qty Order]]-Table1[[#This Row],[Qty Accumulate]]))</f>
        <v>0</v>
      </c>
      <c r="U81">
        <f>((Table1[[#This Row],[Shift Output]]*Table1[[#This Row],[Part Weight (gm)]])/1000)+Table1[[#This Row],[Reject Startup (kg)]]+Table1[[#This Row],[Reject Purging (kg)]]+Table1[[#This Row],[Reject Preform (kg)]]</f>
        <v>98.111999999999995</v>
      </c>
      <c r="V81" s="37">
        <f>(Table1[[#This Row],[Gross Weight (gm)]]-Table1[[#This Row],[Part Weight (gm)]])*Table1[[#This Row],[Shift Output]]/1000</f>
        <v>2.044</v>
      </c>
      <c r="W81" s="3">
        <v>0</v>
      </c>
      <c r="X81" s="36">
        <f>Table1[[#This Row],[Reject Startup (kg)]]/Table1[[#This Row],[Material Used]]</f>
        <v>0</v>
      </c>
      <c r="Y81" s="3">
        <v>0</v>
      </c>
      <c r="Z81" s="36">
        <f>Table1[[#This Row],[Reject Prod (kg)]]/Table1[[#This Row],[Material Used]]</f>
        <v>0</v>
      </c>
      <c r="AA81" s="4">
        <v>0</v>
      </c>
      <c r="AB81" s="5">
        <v>3.89</v>
      </c>
      <c r="AC81" s="4" cm="1">
        <f t="array" ref="AC81">IFERROR(INDEX(ReferenceCard, MATCH(1, (INDEX(ReferenceCard,,1)=Table1[[#This Row],[SAP No]]) * (INDEX(ReferenceCard,,2)=Table1[[#This Row],[Mould No]]), 0), 9),)</f>
        <v>49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L81" s="2"/>
      <c r="AM81" s="2"/>
      <c r="AN81" s="3">
        <v>0</v>
      </c>
      <c r="AO81" s="3">
        <v>0</v>
      </c>
      <c r="AP8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2" spans="1:42" x14ac:dyDescent="0.35">
      <c r="A82" s="1">
        <v>46020</v>
      </c>
      <c r="B82">
        <v>2</v>
      </c>
      <c r="C82" t="s">
        <v>23</v>
      </c>
      <c r="D82" t="str" cm="1">
        <f t="array" ref="D82">IFERROR(INDEX(ReferenceCard, MATCH(1, (INDEX(ReferenceCard,,1)=Table1[[#This Row],[SAP No]]) * (INDEX(ReferenceCard,,2)=Table1[[#This Row],[Mould No]]), 0), 6),)</f>
        <v>PPSB520Y</v>
      </c>
      <c r="E82">
        <v>586276</v>
      </c>
      <c r="F82">
        <v>2</v>
      </c>
      <c r="G82" t="str" cm="1">
        <f t="array" ref="G82">IFERROR(INDEX(ReferenceCard, MATCH(1, (INDEX(ReferenceCard,,1)=Table1[[#This Row],[SAP No]]) * (INDEX(ReferenceCard,,2)=Table1[[#This Row],[Mould No]]), 0), 3),)</f>
        <v>BC28-0056-D-APH-LEB-604001-MOLD2</v>
      </c>
      <c r="H82">
        <v>0</v>
      </c>
      <c r="I82" cm="1">
        <f t="array" ref="I82">IFERROR(INDEX(ReferenceCard, MATCH(1, (INDEX(ReferenceCard,,1)=Table1[[#This Row],[SAP No]]) * (INDEX(ReferenceCard,,2)=Table1[[#This Row],[Mould No]]), 0), 4),)</f>
        <v>6</v>
      </c>
      <c r="J82" s="4" cm="1">
        <f t="array" ref="J82">IFERROR(INDEX(ReferenceCard, MATCH(1, (INDEX(ReferenceCard,,1)=Table1[[#This Row],[SAP No]]) * (INDEX(ReferenceCard,,2)=Table1[[#This Row],[Mould No]]), 0), 9),)</f>
        <v>12.3</v>
      </c>
      <c r="K82" s="4" cm="1">
        <f t="array" ref="K82">IFERROR(INDEX(ReferenceCard, MATCH(1, (INDEX(ReferenceCard,,1)=Table1[[#This Row],[SAP No]]) * (INDEX(ReferenceCard,,2)=Table1[[#This Row],[Mould No]]), 0), 7),)</f>
        <v>12.3</v>
      </c>
      <c r="L82">
        <v>83</v>
      </c>
      <c r="M82">
        <v>0</v>
      </c>
      <c r="N82">
        <v>0</v>
      </c>
      <c r="O82">
        <v>0</v>
      </c>
      <c r="P82">
        <f>Table1[[#This Row],[Shot]]*Table1[[#This Row],[Cav]]</f>
        <v>498</v>
      </c>
      <c r="Q82">
        <v>0</v>
      </c>
      <c r="R82">
        <f>(Table1[[#This Row],[Part Weight (gm)]]*Table1[[#This Row],[Finish Good]])/1000</f>
        <v>0</v>
      </c>
      <c r="S82">
        <v>0</v>
      </c>
      <c r="T82">
        <f>IF(Table1[[#This Row],[Qty Order]]="Sample","-",IF(Table1[[#This Row],[Qty Order]]="RTFN","-",Table1[[#This Row],[Qty Order]]-Table1[[#This Row],[Qty Accumulate]]))</f>
        <v>0</v>
      </c>
      <c r="U82">
        <f>((Table1[[#This Row],[Shift Output]]*Table1[[#This Row],[Part Weight (gm)]])/1000)+Table1[[#This Row],[Reject Startup (kg)]]+Table1[[#This Row],[Reject Purging (kg)]]+Table1[[#This Row],[Reject Preform (kg)]]</f>
        <v>6.1254000000000008</v>
      </c>
      <c r="V82" s="37">
        <f>(Table1[[#This Row],[Gross Weight (gm)]]-Table1[[#This Row],[Part Weight (gm)]])*Table1[[#This Row],[Shift Output]]/1000</f>
        <v>0</v>
      </c>
      <c r="W82" s="3">
        <v>0</v>
      </c>
      <c r="X82" s="36">
        <f>Table1[[#This Row],[Reject Startup (kg)]]/Table1[[#This Row],[Material Used]]</f>
        <v>0</v>
      </c>
      <c r="Y82" s="3">
        <v>0</v>
      </c>
      <c r="Z82" s="36">
        <f>Table1[[#This Row],[Reject Prod (kg)]]/Table1[[#This Row],[Material Used]]</f>
        <v>0</v>
      </c>
      <c r="AA82" s="4">
        <v>0</v>
      </c>
      <c r="AB82" s="5">
        <v>12</v>
      </c>
      <c r="AC82" s="4" cm="1">
        <f t="array" ref="AC82">IFERROR(INDEX(ReferenceCard, MATCH(1, (INDEX(ReferenceCard,,1)=Table1[[#This Row],[SAP No]]) * (INDEX(ReferenceCard,,2)=Table1[[#This Row],[Mould No]]), 0), 9),)</f>
        <v>12.3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L82" s="2"/>
      <c r="AM82" s="2"/>
      <c r="AN82" s="3">
        <v>0</v>
      </c>
      <c r="AO82" s="3">
        <v>0</v>
      </c>
      <c r="AP8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3" spans="1:42" x14ac:dyDescent="0.35">
      <c r="A83" s="1">
        <v>46020</v>
      </c>
      <c r="B83">
        <v>2</v>
      </c>
      <c r="C83" t="s">
        <v>25</v>
      </c>
      <c r="D83" t="str" cm="1">
        <f t="array" ref="D83">IFERROR(INDEX(ReferenceCard, MATCH(1, (INDEX(ReferenceCard,,1)=Table1[[#This Row],[SAP No]]) * (INDEX(ReferenceCard,,2)=Table1[[#This Row],[Mould No]]), 0), 6),)</f>
        <v>PET</v>
      </c>
      <c r="E83">
        <v>323133</v>
      </c>
      <c r="F83">
        <v>0</v>
      </c>
      <c r="G83" t="str" cm="1">
        <f t="array" ref="G83">IFERROR(INDEX(ReferenceCard, MATCH(1, (INDEX(ReferenceCard,,1)=Table1[[#This Row],[SAP No]]) * (INDEX(ReferenceCard,,2)=Table1[[#This Row],[Mould No]]), 0), 3),)</f>
        <v>BX38-2000-RH-R-CL(GREEN) (ASEM)</v>
      </c>
      <c r="H83">
        <v>0</v>
      </c>
      <c r="I83" cm="1">
        <f t="array" ref="I83">IFERROR(INDEX(ReferenceCard, MATCH(1, (INDEX(ReferenceCard,,1)=Table1[[#This Row],[SAP No]]) * (INDEX(ReferenceCard,,2)=Table1[[#This Row],[Mould No]]), 0), 4),)</f>
        <v>4</v>
      </c>
      <c r="J83" s="4" cm="1">
        <f t="array" ref="J83">IFERROR(INDEX(ReferenceCard, MATCH(1, (INDEX(ReferenceCard,,1)=Table1[[#This Row],[SAP No]]) * (INDEX(ReferenceCard,,2)=Table1[[#This Row],[Mould No]]), 0), 9),)</f>
        <v>77</v>
      </c>
      <c r="K83" s="4" cm="1">
        <f t="array" ref="K83">IFERROR(INDEX(ReferenceCard, MATCH(1, (INDEX(ReferenceCard,,1)=Table1[[#This Row],[SAP No]]) * (INDEX(ReferenceCard,,2)=Table1[[#This Row],[Mould No]]), 0), 7),)</f>
        <v>77</v>
      </c>
      <c r="L83">
        <v>78</v>
      </c>
      <c r="M83">
        <v>0</v>
      </c>
      <c r="N83">
        <v>0</v>
      </c>
      <c r="O83">
        <v>0</v>
      </c>
      <c r="P83">
        <f>Table1[[#This Row],[Shot]]*Table1[[#This Row],[Cav]]</f>
        <v>312</v>
      </c>
      <c r="Q83">
        <v>0</v>
      </c>
      <c r="R83">
        <f>(Table1[[#This Row],[Part Weight (gm)]]*Table1[[#This Row],[Finish Good]])/1000</f>
        <v>0</v>
      </c>
      <c r="S83">
        <v>0</v>
      </c>
      <c r="T83">
        <f>IF(Table1[[#This Row],[Qty Order]]="Sample","-",IF(Table1[[#This Row],[Qty Order]]="RTFN","-",Table1[[#This Row],[Qty Order]]-Table1[[#This Row],[Qty Accumulate]]))</f>
        <v>0</v>
      </c>
      <c r="U83">
        <f>((Table1[[#This Row],[Shift Output]]*Table1[[#This Row],[Part Weight (gm)]])/1000)+Table1[[#This Row],[Reject Startup (kg)]]+Table1[[#This Row],[Reject Purging (kg)]]+Table1[[#This Row],[Reject Preform (kg)]]</f>
        <v>24.024000000000001</v>
      </c>
      <c r="V83" s="37">
        <f>(Table1[[#This Row],[Gross Weight (gm)]]-Table1[[#This Row],[Part Weight (gm)]])*Table1[[#This Row],[Shift Output]]/1000</f>
        <v>0</v>
      </c>
      <c r="W83" s="3">
        <v>0</v>
      </c>
      <c r="X83" s="36">
        <f>Table1[[#This Row],[Reject Startup (kg)]]/Table1[[#This Row],[Material Used]]</f>
        <v>0</v>
      </c>
      <c r="Y83" s="3">
        <v>0</v>
      </c>
      <c r="Z83" s="36">
        <f>Table1[[#This Row],[Reject Prod (kg)]]/Table1[[#This Row],[Material Used]]</f>
        <v>0</v>
      </c>
      <c r="AA83" s="4">
        <v>0</v>
      </c>
      <c r="AB83" s="5">
        <v>0.45</v>
      </c>
      <c r="AC83" s="4" cm="1">
        <f t="array" ref="AC83">IFERROR(INDEX(ReferenceCard, MATCH(1, (INDEX(ReferenceCard,,1)=Table1[[#This Row],[SAP No]]) * (INDEX(ReferenceCard,,2)=Table1[[#This Row],[Mould No]]), 0), 9),)</f>
        <v>77</v>
      </c>
      <c r="AD83" s="5">
        <v>0</v>
      </c>
      <c r="AE83" s="5">
        <v>0</v>
      </c>
      <c r="AF83" s="5">
        <v>0</v>
      </c>
      <c r="AG83" s="5">
        <v>3.45</v>
      </c>
      <c r="AH83" s="5">
        <v>0</v>
      </c>
      <c r="AI83" s="5">
        <v>0</v>
      </c>
      <c r="AJ83" s="5">
        <v>0</v>
      </c>
      <c r="AL83" s="2"/>
      <c r="AM83" s="2"/>
      <c r="AN83" s="3">
        <v>0</v>
      </c>
      <c r="AO83" s="3">
        <v>0</v>
      </c>
      <c r="AP8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4" spans="1:42" x14ac:dyDescent="0.35">
      <c r="A84" s="1">
        <v>46020</v>
      </c>
      <c r="B84">
        <v>2</v>
      </c>
      <c r="C84" t="s">
        <v>27</v>
      </c>
      <c r="D84" t="str" cm="1">
        <f t="array" ref="D84">IFERROR(INDEX(ReferenceCard, MATCH(1, (INDEX(ReferenceCard,,1)=Table1[[#This Row],[SAP No]]) * (INDEX(ReferenceCard,,2)=Table1[[#This Row],[Mould No]]), 0), 6),)</f>
        <v>PPSB520Y</v>
      </c>
      <c r="E84">
        <v>552181</v>
      </c>
      <c r="F84">
        <v>4</v>
      </c>
      <c r="G84" t="str" cm="1">
        <f t="array" ref="G84">IFERROR(INDEX(ReferenceCard, MATCH(1, (INDEX(ReferenceCard,,1)=Table1[[#This Row],[SAP No]]) * (INDEX(ReferenceCard,,2)=Table1[[#This Row],[Mould No]]), 0), 3),)</f>
        <v>BC28-0090-D-APH-5180-3538-PP-6 NOTCHES-MOLD4</v>
      </c>
      <c r="H84">
        <v>0</v>
      </c>
      <c r="I84" cm="1">
        <f t="array" ref="I84">IFERROR(INDEX(ReferenceCard, MATCH(1, (INDEX(ReferenceCard,,1)=Table1[[#This Row],[SAP No]]) * (INDEX(ReferenceCard,,2)=Table1[[#This Row],[Mould No]]), 0), 4),)</f>
        <v>6</v>
      </c>
      <c r="J84" s="4" cm="1">
        <f t="array" ref="J84">IFERROR(INDEX(ReferenceCard, MATCH(1, (INDEX(ReferenceCard,,1)=Table1[[#This Row],[SAP No]]) * (INDEX(ReferenceCard,,2)=Table1[[#This Row],[Mould No]]), 0), 9),)</f>
        <v>18.8</v>
      </c>
      <c r="K84" s="4" cm="1">
        <f t="array" ref="K84">IFERROR(INDEX(ReferenceCard, MATCH(1, (INDEX(ReferenceCard,,1)=Table1[[#This Row],[SAP No]]) * (INDEX(ReferenceCard,,2)=Table1[[#This Row],[Mould No]]), 0), 7),)</f>
        <v>18.8</v>
      </c>
      <c r="L84">
        <v>990</v>
      </c>
      <c r="M84">
        <v>0</v>
      </c>
      <c r="N84">
        <v>0</v>
      </c>
      <c r="O84">
        <v>0</v>
      </c>
      <c r="P84">
        <f>Table1[[#This Row],[Shot]]*Table1[[#This Row],[Cav]]</f>
        <v>5940</v>
      </c>
      <c r="Q84">
        <v>0</v>
      </c>
      <c r="R84">
        <f>(Table1[[#This Row],[Part Weight (gm)]]*Table1[[#This Row],[Finish Good]])/1000</f>
        <v>0</v>
      </c>
      <c r="S84">
        <v>0</v>
      </c>
      <c r="T84">
        <f>IF(Table1[[#This Row],[Qty Order]]="Sample","-",IF(Table1[[#This Row],[Qty Order]]="RTFN","-",Table1[[#This Row],[Qty Order]]-Table1[[#This Row],[Qty Accumulate]]))</f>
        <v>0</v>
      </c>
      <c r="U84">
        <f>((Table1[[#This Row],[Shift Output]]*Table1[[#This Row],[Part Weight (gm)]])/1000)+Table1[[#This Row],[Reject Startup (kg)]]+Table1[[#This Row],[Reject Purging (kg)]]+Table1[[#This Row],[Reject Preform (kg)]]</f>
        <v>111.672</v>
      </c>
      <c r="V84" s="37">
        <f>(Table1[[#This Row],[Gross Weight (gm)]]-Table1[[#This Row],[Part Weight (gm)]])*Table1[[#This Row],[Shift Output]]/1000</f>
        <v>0</v>
      </c>
      <c r="W84" s="3">
        <v>0</v>
      </c>
      <c r="X84" s="36">
        <f>Table1[[#This Row],[Reject Startup (kg)]]/Table1[[#This Row],[Material Used]]</f>
        <v>0</v>
      </c>
      <c r="Y84" s="3">
        <v>0</v>
      </c>
      <c r="Z84" s="36">
        <f>Table1[[#This Row],[Reject Prod (kg)]]/Table1[[#This Row],[Material Used]]</f>
        <v>0</v>
      </c>
      <c r="AA84" s="4">
        <v>0</v>
      </c>
      <c r="AB84" s="5">
        <v>12</v>
      </c>
      <c r="AC84" s="4" cm="1">
        <f t="array" ref="AC84">IFERROR(INDEX(ReferenceCard, MATCH(1, (INDEX(ReferenceCard,,1)=Table1[[#This Row],[SAP No]]) * (INDEX(ReferenceCard,,2)=Table1[[#This Row],[Mould No]]), 0), 9),)</f>
        <v>18.8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L84" s="2"/>
      <c r="AM84" s="2"/>
      <c r="AN84" s="3">
        <v>0</v>
      </c>
      <c r="AO84" s="3">
        <v>0</v>
      </c>
      <c r="AP8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5" spans="1:42" x14ac:dyDescent="0.35">
      <c r="A85" s="1">
        <v>46020</v>
      </c>
      <c r="B85">
        <v>2</v>
      </c>
      <c r="C85" t="s">
        <v>29</v>
      </c>
      <c r="D85" t="str" cm="1">
        <f t="array" ref="D85">IFERROR(INDEX(ReferenceCard, MATCH(1, (INDEX(ReferenceCard,,1)=Table1[[#This Row],[SAP No]]) * (INDEX(ReferenceCard,,2)=Table1[[#This Row],[Mould No]]), 0), 6),)</f>
        <v>PET</v>
      </c>
      <c r="E85">
        <v>620599</v>
      </c>
      <c r="F85">
        <v>0</v>
      </c>
      <c r="G85" t="str" cm="1">
        <f t="array" ref="G85">IFERROR(INDEX(ReferenceCard, MATCH(1, (INDEX(ReferenceCard,,1)=Table1[[#This Row],[SAP No]]) * (INDEX(ReferenceCard,,2)=Table1[[#This Row],[Mould No]]), 0), 3),)</f>
        <v>BC28-0750-K4-R-CL (55g)</v>
      </c>
      <c r="H85">
        <v>0</v>
      </c>
      <c r="I85" cm="1">
        <f t="array" ref="I85">IFERROR(INDEX(ReferenceCard, MATCH(1, (INDEX(ReferenceCard,,1)=Table1[[#This Row],[SAP No]]) * (INDEX(ReferenceCard,,2)=Table1[[#This Row],[Mould No]]), 0), 4),)</f>
        <v>4</v>
      </c>
      <c r="J85" s="4" cm="1">
        <f t="array" ref="J85">IFERROR(INDEX(ReferenceCard, MATCH(1, (INDEX(ReferenceCard,,1)=Table1[[#This Row],[SAP No]]) * (INDEX(ReferenceCard,,2)=Table1[[#This Row],[Mould No]]), 0), 9),)</f>
        <v>55</v>
      </c>
      <c r="K85" s="4" cm="1">
        <f t="array" ref="K85">IFERROR(INDEX(ReferenceCard, MATCH(1, (INDEX(ReferenceCard,,1)=Table1[[#This Row],[SAP No]]) * (INDEX(ReferenceCard,,2)=Table1[[#This Row],[Mould No]]), 0), 7),)</f>
        <v>55</v>
      </c>
      <c r="L85">
        <v>1387</v>
      </c>
      <c r="M85">
        <v>0</v>
      </c>
      <c r="N85">
        <v>0</v>
      </c>
      <c r="O85">
        <v>0</v>
      </c>
      <c r="P85">
        <f>Table1[[#This Row],[Shot]]*Table1[[#This Row],[Cav]]</f>
        <v>5548</v>
      </c>
      <c r="Q85">
        <v>0</v>
      </c>
      <c r="R85">
        <f>(Table1[[#This Row],[Part Weight (gm)]]*Table1[[#This Row],[Finish Good]])/1000</f>
        <v>0</v>
      </c>
      <c r="S85">
        <v>0</v>
      </c>
      <c r="T85">
        <f>IF(Table1[[#This Row],[Qty Order]]="Sample","-",IF(Table1[[#This Row],[Qty Order]]="RTFN","-",Table1[[#This Row],[Qty Order]]-Table1[[#This Row],[Qty Accumulate]]))</f>
        <v>0</v>
      </c>
      <c r="U85">
        <f>((Table1[[#This Row],[Shift Output]]*Table1[[#This Row],[Part Weight (gm)]])/1000)+Table1[[#This Row],[Reject Startup (kg)]]+Table1[[#This Row],[Reject Purging (kg)]]+Table1[[#This Row],[Reject Preform (kg)]]</f>
        <v>305.14</v>
      </c>
      <c r="V85" s="37">
        <f>(Table1[[#This Row],[Gross Weight (gm)]]-Table1[[#This Row],[Part Weight (gm)]])*Table1[[#This Row],[Shift Output]]/1000</f>
        <v>0</v>
      </c>
      <c r="W85" s="3">
        <v>0</v>
      </c>
      <c r="X85" s="36">
        <f>Table1[[#This Row],[Reject Startup (kg)]]/Table1[[#This Row],[Material Used]]</f>
        <v>0</v>
      </c>
      <c r="Y85" s="3">
        <v>0</v>
      </c>
      <c r="Z85" s="36">
        <f>Table1[[#This Row],[Reject Prod (kg)]]/Table1[[#This Row],[Material Used]]</f>
        <v>0</v>
      </c>
      <c r="AA85" s="4">
        <v>0</v>
      </c>
      <c r="AB85" s="5">
        <v>12</v>
      </c>
      <c r="AC85" s="4" cm="1">
        <f t="array" ref="AC85">IFERROR(INDEX(ReferenceCard, MATCH(1, (INDEX(ReferenceCard,,1)=Table1[[#This Row],[SAP No]]) * (INDEX(ReferenceCard,,2)=Table1[[#This Row],[Mould No]]), 0), 9),)</f>
        <v>55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L85" s="2"/>
      <c r="AM85" s="2"/>
      <c r="AN85" s="3">
        <v>0</v>
      </c>
      <c r="AO85" s="3">
        <v>0</v>
      </c>
      <c r="AP8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6" spans="1:42" x14ac:dyDescent="0.35">
      <c r="A86" s="1">
        <v>46020</v>
      </c>
      <c r="B86">
        <v>2</v>
      </c>
      <c r="C86" t="s">
        <v>31</v>
      </c>
      <c r="D86" t="str" cm="1">
        <f t="array" ref="D86">IFERROR(INDEX(ReferenceCard, MATCH(1, (INDEX(ReferenceCard,,1)=Table1[[#This Row],[SAP No]]) * (INDEX(ReferenceCard,,2)=Table1[[#This Row],[Mould No]]), 0), 6),)</f>
        <v>PPSB520Y</v>
      </c>
      <c r="E86">
        <v>586276</v>
      </c>
      <c r="F86">
        <v>4</v>
      </c>
      <c r="G86" t="str" cm="1">
        <f t="array" ref="G86">IFERROR(INDEX(ReferenceCard, MATCH(1, (INDEX(ReferenceCard,,1)=Table1[[#This Row],[SAP No]]) * (INDEX(ReferenceCard,,2)=Table1[[#This Row],[Mould No]]), 0), 3),)</f>
        <v>BC28-0056-D-APH-LEB-604001-MOLD4</v>
      </c>
      <c r="H86">
        <v>0</v>
      </c>
      <c r="I86" cm="1">
        <f t="array" ref="I86">IFERROR(INDEX(ReferenceCard, MATCH(1, (INDEX(ReferenceCard,,1)=Table1[[#This Row],[SAP No]]) * (INDEX(ReferenceCard,,2)=Table1[[#This Row],[Mould No]]), 0), 4),)</f>
        <v>6</v>
      </c>
      <c r="J86" s="4" cm="1">
        <f t="array" ref="J86">IFERROR(INDEX(ReferenceCard, MATCH(1, (INDEX(ReferenceCard,,1)=Table1[[#This Row],[SAP No]]) * (INDEX(ReferenceCard,,2)=Table1[[#This Row],[Mould No]]), 0), 9),)</f>
        <v>12.3</v>
      </c>
      <c r="K86" s="4" cm="1">
        <f t="array" ref="K86">IFERROR(INDEX(ReferenceCard, MATCH(1, (INDEX(ReferenceCard,,1)=Table1[[#This Row],[SAP No]]) * (INDEX(ReferenceCard,,2)=Table1[[#This Row],[Mould No]]), 0), 7),)</f>
        <v>12.3</v>
      </c>
      <c r="L86">
        <v>76</v>
      </c>
      <c r="M86">
        <v>0</v>
      </c>
      <c r="N86">
        <v>0</v>
      </c>
      <c r="O86">
        <v>0</v>
      </c>
      <c r="P86">
        <f>Table1[[#This Row],[Shot]]*Table1[[#This Row],[Cav]]</f>
        <v>456</v>
      </c>
      <c r="Q86">
        <v>0</v>
      </c>
      <c r="R86">
        <f>(Table1[[#This Row],[Part Weight (gm)]]*Table1[[#This Row],[Finish Good]])/1000</f>
        <v>0</v>
      </c>
      <c r="S86">
        <v>0</v>
      </c>
      <c r="T86">
        <f>IF(Table1[[#This Row],[Qty Order]]="Sample","-",IF(Table1[[#This Row],[Qty Order]]="RTFN","-",Table1[[#This Row],[Qty Order]]-Table1[[#This Row],[Qty Accumulate]]))</f>
        <v>0</v>
      </c>
      <c r="U86">
        <f>((Table1[[#This Row],[Shift Output]]*Table1[[#This Row],[Part Weight (gm)]])/1000)+Table1[[#This Row],[Reject Startup (kg)]]+Table1[[#This Row],[Reject Purging (kg)]]+Table1[[#This Row],[Reject Preform (kg)]]</f>
        <v>5.6088000000000005</v>
      </c>
      <c r="V86" s="37">
        <f>(Table1[[#This Row],[Gross Weight (gm)]]-Table1[[#This Row],[Part Weight (gm)]])*Table1[[#This Row],[Shift Output]]/1000</f>
        <v>0</v>
      </c>
      <c r="W86" s="3">
        <v>0</v>
      </c>
      <c r="X86" s="36">
        <f>Table1[[#This Row],[Reject Startup (kg)]]/Table1[[#This Row],[Material Used]]</f>
        <v>0</v>
      </c>
      <c r="Y86" s="3">
        <v>0</v>
      </c>
      <c r="Z86" s="36">
        <f>Table1[[#This Row],[Reject Prod (kg)]]/Table1[[#This Row],[Material Used]]</f>
        <v>0</v>
      </c>
      <c r="AA86" s="4">
        <v>0</v>
      </c>
      <c r="AB86" s="5">
        <v>12</v>
      </c>
      <c r="AC86" s="4" cm="1">
        <f t="array" ref="AC86">IFERROR(INDEX(ReferenceCard, MATCH(1, (INDEX(ReferenceCard,,1)=Table1[[#This Row],[SAP No]]) * (INDEX(ReferenceCard,,2)=Table1[[#This Row],[Mould No]]), 0), 9),)</f>
        <v>12.3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L86" s="2"/>
      <c r="AM86" s="2"/>
      <c r="AN86" s="3">
        <v>0</v>
      </c>
      <c r="AO86" s="3">
        <v>0</v>
      </c>
      <c r="AP8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7" spans="1:42" x14ac:dyDescent="0.35">
      <c r="A87" s="1">
        <v>46020</v>
      </c>
      <c r="B87">
        <v>2</v>
      </c>
      <c r="C87" t="s">
        <v>33</v>
      </c>
      <c r="D87" t="str" cm="1">
        <f t="array" ref="D87">IFERROR(INDEX(ReferenceCard, MATCH(1, (INDEX(ReferenceCard,,1)=Table1[[#This Row],[SAP No]]) * (INDEX(ReferenceCard,,2)=Table1[[#This Row],[Mould No]]), 0), 6),)</f>
        <v>PET</v>
      </c>
      <c r="E87">
        <v>541381</v>
      </c>
      <c r="F87">
        <v>0</v>
      </c>
      <c r="G87" t="str" cm="1">
        <f t="array" ref="G87">IFERROR(INDEX(ReferenceCard, MATCH(1, (INDEX(ReferenceCard,,1)=Table1[[#This Row],[SAP No]]) * (INDEX(ReferenceCard,,2)=Table1[[#This Row],[Mould No]]), 0), 3),)</f>
        <v>BC28-1200-K-R-CL</v>
      </c>
      <c r="H87">
        <v>0</v>
      </c>
      <c r="I87" cm="1">
        <f t="array" ref="I87">IFERROR(INDEX(ReferenceCard, MATCH(1, (INDEX(ReferenceCard,,1)=Table1[[#This Row],[SAP No]]) * (INDEX(ReferenceCard,,2)=Table1[[#This Row],[Mould No]]), 0), 4),)</f>
        <v>4</v>
      </c>
      <c r="J87" s="4" cm="1">
        <f t="array" ref="J87">IFERROR(INDEX(ReferenceCard, MATCH(1, (INDEX(ReferenceCard,,1)=Table1[[#This Row],[SAP No]]) * (INDEX(ReferenceCard,,2)=Table1[[#This Row],[Mould No]]), 0), 9),)</f>
        <v>55</v>
      </c>
      <c r="K87" s="4" cm="1">
        <f t="array" ref="K87">IFERROR(INDEX(ReferenceCard, MATCH(1, (INDEX(ReferenceCard,,1)=Table1[[#This Row],[SAP No]]) * (INDEX(ReferenceCard,,2)=Table1[[#This Row],[Mould No]]), 0), 7),)</f>
        <v>55</v>
      </c>
      <c r="L87">
        <v>101</v>
      </c>
      <c r="M87">
        <v>0</v>
      </c>
      <c r="N87">
        <v>0</v>
      </c>
      <c r="O87">
        <v>0</v>
      </c>
      <c r="P87">
        <f>Table1[[#This Row],[Shot]]*Table1[[#This Row],[Cav]]</f>
        <v>404</v>
      </c>
      <c r="Q87">
        <v>0</v>
      </c>
      <c r="R87">
        <f>(Table1[[#This Row],[Part Weight (gm)]]*Table1[[#This Row],[Finish Good]])/1000</f>
        <v>0</v>
      </c>
      <c r="S87">
        <v>0</v>
      </c>
      <c r="T87">
        <f>IF(Table1[[#This Row],[Qty Order]]="Sample","-",IF(Table1[[#This Row],[Qty Order]]="RTFN","-",Table1[[#This Row],[Qty Order]]-Table1[[#This Row],[Qty Accumulate]]))</f>
        <v>0</v>
      </c>
      <c r="U87">
        <f>((Table1[[#This Row],[Shift Output]]*Table1[[#This Row],[Part Weight (gm)]])/1000)+Table1[[#This Row],[Reject Startup (kg)]]+Table1[[#This Row],[Reject Purging (kg)]]+Table1[[#This Row],[Reject Preform (kg)]]</f>
        <v>22.22</v>
      </c>
      <c r="V87" s="37">
        <f>(Table1[[#This Row],[Gross Weight (gm)]]-Table1[[#This Row],[Part Weight (gm)]])*Table1[[#This Row],[Shift Output]]/1000</f>
        <v>0</v>
      </c>
      <c r="W87" s="3">
        <v>0</v>
      </c>
      <c r="X87" s="36">
        <f>Table1[[#This Row],[Reject Startup (kg)]]/Table1[[#This Row],[Material Used]]</f>
        <v>0</v>
      </c>
      <c r="Y87" s="3">
        <v>0</v>
      </c>
      <c r="Z87" s="36">
        <f>Table1[[#This Row],[Reject Prod (kg)]]/Table1[[#This Row],[Material Used]]</f>
        <v>0</v>
      </c>
      <c r="AA87" s="4">
        <v>0</v>
      </c>
      <c r="AB87" s="5">
        <v>12</v>
      </c>
      <c r="AC87" s="4" cm="1">
        <f t="array" ref="AC87">IFERROR(INDEX(ReferenceCard, MATCH(1, (INDEX(ReferenceCard,,1)=Table1[[#This Row],[SAP No]]) * (INDEX(ReferenceCard,,2)=Table1[[#This Row],[Mould No]]), 0), 9),)</f>
        <v>55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L87" s="2"/>
      <c r="AM87" s="2"/>
      <c r="AN87" s="3">
        <v>0</v>
      </c>
      <c r="AO87" s="3">
        <v>0</v>
      </c>
      <c r="AP8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8" spans="1:42" x14ac:dyDescent="0.35">
      <c r="A88" s="1">
        <v>46020</v>
      </c>
      <c r="B88">
        <v>2</v>
      </c>
      <c r="C88" t="s">
        <v>35</v>
      </c>
      <c r="D88" t="str" cm="1">
        <f t="array" ref="D88">IFERROR(INDEX(ReferenceCard, MATCH(1, (INDEX(ReferenceCard,,1)=Table1[[#This Row],[SAP No]]) * (INDEX(ReferenceCard,,2)=Table1[[#This Row],[Mould No]]), 0), 6),)</f>
        <v>PPSB520Y</v>
      </c>
      <c r="E88">
        <v>552181</v>
      </c>
      <c r="F88">
        <v>1</v>
      </c>
      <c r="G88" t="str" cm="1">
        <f t="array" ref="G88">IFERROR(INDEX(ReferenceCard, MATCH(1, (INDEX(ReferenceCard,,1)=Table1[[#This Row],[SAP No]]) * (INDEX(ReferenceCard,,2)=Table1[[#This Row],[Mould No]]), 0), 3),)</f>
        <v>BC28-0090-D-APH-5180-3538-PP-6 NOTCHES-MOLD1</v>
      </c>
      <c r="H88">
        <v>0</v>
      </c>
      <c r="I88" cm="1">
        <f t="array" ref="I88">IFERROR(INDEX(ReferenceCard, MATCH(1, (INDEX(ReferenceCard,,1)=Table1[[#This Row],[SAP No]]) * (INDEX(ReferenceCard,,2)=Table1[[#This Row],[Mould No]]), 0), 4),)</f>
        <v>6</v>
      </c>
      <c r="J88" s="4" cm="1">
        <f t="array" ref="J88">IFERROR(INDEX(ReferenceCard, MATCH(1, (INDEX(ReferenceCard,,1)=Table1[[#This Row],[SAP No]]) * (INDEX(ReferenceCard,,2)=Table1[[#This Row],[Mould No]]), 0), 9),)</f>
        <v>18.8</v>
      </c>
      <c r="K88" s="4" cm="1">
        <f t="array" ref="K88">IFERROR(INDEX(ReferenceCard, MATCH(1, (INDEX(ReferenceCard,,1)=Table1[[#This Row],[SAP No]]) * (INDEX(ReferenceCard,,2)=Table1[[#This Row],[Mould No]]), 0), 7),)</f>
        <v>18.8</v>
      </c>
      <c r="L88">
        <v>1281</v>
      </c>
      <c r="M88">
        <v>0</v>
      </c>
      <c r="N88">
        <v>0</v>
      </c>
      <c r="O88">
        <v>0</v>
      </c>
      <c r="P88">
        <f>Table1[[#This Row],[Shot]]*Table1[[#This Row],[Cav]]</f>
        <v>7686</v>
      </c>
      <c r="Q88">
        <v>0</v>
      </c>
      <c r="R88">
        <f>(Table1[[#This Row],[Part Weight (gm)]]*Table1[[#This Row],[Finish Good]])/1000</f>
        <v>0</v>
      </c>
      <c r="S88">
        <v>0</v>
      </c>
      <c r="T88">
        <f>IF(Table1[[#This Row],[Qty Order]]="Sample","-",IF(Table1[[#This Row],[Qty Order]]="RTFN","-",Table1[[#This Row],[Qty Order]]-Table1[[#This Row],[Qty Accumulate]]))</f>
        <v>0</v>
      </c>
      <c r="U88">
        <f>((Table1[[#This Row],[Shift Output]]*Table1[[#This Row],[Part Weight (gm)]])/1000)+Table1[[#This Row],[Reject Startup (kg)]]+Table1[[#This Row],[Reject Purging (kg)]]+Table1[[#This Row],[Reject Preform (kg)]]</f>
        <v>144.49680000000001</v>
      </c>
      <c r="V88" s="37">
        <f>(Table1[[#This Row],[Gross Weight (gm)]]-Table1[[#This Row],[Part Weight (gm)]])*Table1[[#This Row],[Shift Output]]/1000</f>
        <v>0</v>
      </c>
      <c r="W88" s="3">
        <v>0</v>
      </c>
      <c r="X88" s="36">
        <f>Table1[[#This Row],[Reject Startup (kg)]]/Table1[[#This Row],[Material Used]]</f>
        <v>0</v>
      </c>
      <c r="Y88" s="3">
        <v>0</v>
      </c>
      <c r="Z88" s="36">
        <f>Table1[[#This Row],[Reject Prod (kg)]]/Table1[[#This Row],[Material Used]]</f>
        <v>0</v>
      </c>
      <c r="AA88" s="4">
        <v>0</v>
      </c>
      <c r="AB88" s="5">
        <v>12</v>
      </c>
      <c r="AC88" s="4" cm="1">
        <f t="array" ref="AC88">IFERROR(INDEX(ReferenceCard, MATCH(1, (INDEX(ReferenceCard,,1)=Table1[[#This Row],[SAP No]]) * (INDEX(ReferenceCard,,2)=Table1[[#This Row],[Mould No]]), 0), 9),)</f>
        <v>18.8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L88" s="2"/>
      <c r="AM88" s="2"/>
      <c r="AN88" s="3">
        <v>0</v>
      </c>
      <c r="AO88" s="3">
        <v>0</v>
      </c>
      <c r="AP8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9" spans="1:42" x14ac:dyDescent="0.35">
      <c r="A89" s="1">
        <v>46020</v>
      </c>
      <c r="B89">
        <v>2</v>
      </c>
      <c r="C89" t="s">
        <v>18</v>
      </c>
      <c r="D89" t="str" cm="1">
        <f t="array" ref="D89">IFERROR(INDEX(ReferenceCard, MATCH(1, (INDEX(ReferenceCard,,1)=Table1[[#This Row],[SAP No]]) * (INDEX(ReferenceCard,,2)=Table1[[#This Row],[Mould No]]), 0), 6),)</f>
        <v>PPSB520Y</v>
      </c>
      <c r="E89">
        <v>555979</v>
      </c>
      <c r="F89">
        <v>4</v>
      </c>
      <c r="G89" t="str" cm="1">
        <f t="array" ref="G89">IFERROR(INDEX(ReferenceCard, MATCH(1, (INDEX(ReferenceCard,,1)=Table1[[#This Row],[SAP No]]) * (INDEX(ReferenceCard,,2)=Table1[[#This Row],[Mould No]]), 0), 3),)</f>
        <v>BC28-0170-D-APH-5180-3539-PP-6 NOTCHES-MOLD4</v>
      </c>
      <c r="H89">
        <v>0</v>
      </c>
      <c r="I89" cm="1">
        <f t="array" ref="I89">IFERROR(INDEX(ReferenceCard, MATCH(1, (INDEX(ReferenceCard,,1)=Table1[[#This Row],[SAP No]]) * (INDEX(ReferenceCard,,2)=Table1[[#This Row],[Mould No]]), 0), 4),)</f>
        <v>6</v>
      </c>
      <c r="J89" s="4" cm="1">
        <f t="array" ref="J89">IFERROR(INDEX(ReferenceCard, MATCH(1, (INDEX(ReferenceCard,,1)=Table1[[#This Row],[SAP No]]) * (INDEX(ReferenceCard,,2)=Table1[[#This Row],[Mould No]]), 0), 9),)</f>
        <v>28</v>
      </c>
      <c r="K89" s="4" cm="1">
        <f t="array" ref="K89">IFERROR(INDEX(ReferenceCard, MATCH(1, (INDEX(ReferenceCard,,1)=Table1[[#This Row],[SAP No]]) * (INDEX(ReferenceCard,,2)=Table1[[#This Row],[Mould No]]), 0), 7),)</f>
        <v>28</v>
      </c>
      <c r="L89">
        <v>986</v>
      </c>
      <c r="M89">
        <v>0</v>
      </c>
      <c r="N89">
        <v>0</v>
      </c>
      <c r="O89">
        <v>0</v>
      </c>
      <c r="P89">
        <f>Table1[[#This Row],[Shot]]*Table1[[#This Row],[Cav]]</f>
        <v>5916</v>
      </c>
      <c r="Q89">
        <v>0</v>
      </c>
      <c r="R89">
        <f>(Table1[[#This Row],[Part Weight (gm)]]*Table1[[#This Row],[Finish Good]])/1000</f>
        <v>0</v>
      </c>
      <c r="S89">
        <v>0</v>
      </c>
      <c r="T89">
        <f>IF(Table1[[#This Row],[Qty Order]]="Sample","-",IF(Table1[[#This Row],[Qty Order]]="RTFN","-",Table1[[#This Row],[Qty Order]]-Table1[[#This Row],[Qty Accumulate]]))</f>
        <v>0</v>
      </c>
      <c r="U89">
        <f>((Table1[[#This Row],[Shift Output]]*Table1[[#This Row],[Part Weight (gm)]])/1000)+Table1[[#This Row],[Reject Startup (kg)]]+Table1[[#This Row],[Reject Purging (kg)]]+Table1[[#This Row],[Reject Preform (kg)]]</f>
        <v>165.648</v>
      </c>
      <c r="V89" s="37">
        <f>(Table1[[#This Row],[Gross Weight (gm)]]-Table1[[#This Row],[Part Weight (gm)]])*Table1[[#This Row],[Shift Output]]/1000</f>
        <v>0</v>
      </c>
      <c r="W89" s="3">
        <v>0</v>
      </c>
      <c r="X89" s="36">
        <f>Table1[[#This Row],[Reject Startup (kg)]]/Table1[[#This Row],[Material Used]]</f>
        <v>0</v>
      </c>
      <c r="Y89" s="3">
        <v>0</v>
      </c>
      <c r="Z89" s="36">
        <f>Table1[[#This Row],[Reject Prod (kg)]]/Table1[[#This Row],[Material Used]]</f>
        <v>0</v>
      </c>
      <c r="AA89" s="4">
        <v>43.5</v>
      </c>
      <c r="AB89" s="5">
        <v>12</v>
      </c>
      <c r="AC89" s="4" cm="1">
        <f t="array" ref="AC89">IFERROR(INDEX(ReferenceCard, MATCH(1, (INDEX(ReferenceCard,,1)=Table1[[#This Row],[SAP No]]) * (INDEX(ReferenceCard,,2)=Table1[[#This Row],[Mould No]]), 0), 9),)</f>
        <v>28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L89" s="2"/>
      <c r="AM89" s="2"/>
      <c r="AN89" s="3">
        <v>0</v>
      </c>
      <c r="AO89" s="3">
        <v>0</v>
      </c>
      <c r="AP8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0" spans="1:42" x14ac:dyDescent="0.35">
      <c r="A90" s="1">
        <v>46020</v>
      </c>
      <c r="B90">
        <v>1</v>
      </c>
      <c r="C90" t="s">
        <v>0</v>
      </c>
      <c r="D90" t="str" cm="1">
        <f t="array" ref="D90">IFERROR(INDEX(ReferenceCard, MATCH(1, (INDEX(ReferenceCard,,1)=Table1[[#This Row],[SAP No]]) * (INDEX(ReferenceCard,,2)=Table1[[#This Row],[Mould No]]), 0), 6),)</f>
        <v>PET</v>
      </c>
      <c r="E90">
        <v>347623</v>
      </c>
      <c r="F90">
        <v>0</v>
      </c>
      <c r="G90" t="str" cm="1">
        <f t="array" ref="G90">IFERROR(INDEX(ReferenceCard, MATCH(1, (INDEX(ReferenceCard,,1)=Table1[[#This Row],[SAP No]]) * (INDEX(ReferenceCard,,2)=Table1[[#This Row],[Mould No]]), 0), 3),)</f>
        <v>BC28-0375-K-R-CL</v>
      </c>
      <c r="H90">
        <v>0</v>
      </c>
      <c r="I90" cm="1">
        <f t="array" ref="I90">IFERROR(INDEX(ReferenceCard, MATCH(1, (INDEX(ReferenceCard,,1)=Table1[[#This Row],[SAP No]]) * (INDEX(ReferenceCard,,2)=Table1[[#This Row],[Mould No]]), 0), 4),)</f>
        <v>4</v>
      </c>
      <c r="J90" s="4" cm="1">
        <f t="array" ref="J90">IFERROR(INDEX(ReferenceCard, MATCH(1, (INDEX(ReferenceCard,,1)=Table1[[#This Row],[SAP No]]) * (INDEX(ReferenceCard,,2)=Table1[[#This Row],[Mould No]]), 0), 9),)</f>
        <v>35.6</v>
      </c>
      <c r="K90" s="4" cm="1">
        <f t="array" ref="K90">IFERROR(INDEX(ReferenceCard, MATCH(1, (INDEX(ReferenceCard,,1)=Table1[[#This Row],[SAP No]]) * (INDEX(ReferenceCard,,2)=Table1[[#This Row],[Mould No]]), 0), 7),)</f>
        <v>35.6</v>
      </c>
      <c r="L90">
        <v>0</v>
      </c>
      <c r="M90">
        <v>0</v>
      </c>
      <c r="N90">
        <v>0</v>
      </c>
      <c r="O90">
        <v>0</v>
      </c>
      <c r="P90">
        <f>Table1[[#This Row],[Shot]]*Table1[[#This Row],[Cav]]</f>
        <v>0</v>
      </c>
      <c r="Q90">
        <v>0</v>
      </c>
      <c r="R90">
        <f>(Table1[[#This Row],[Part Weight (gm)]]*Table1[[#This Row],[Finish Good]])/1000</f>
        <v>0</v>
      </c>
      <c r="S90">
        <v>0</v>
      </c>
      <c r="T90">
        <f>IF(Table1[[#This Row],[Qty Order]]="Sample","-",IF(Table1[[#This Row],[Qty Order]]="RTFN","-",Table1[[#This Row],[Qty Order]]-Table1[[#This Row],[Qty Accumulate]]))</f>
        <v>0</v>
      </c>
      <c r="U90">
        <f>((Table1[[#This Row],[Shift Output]]*Table1[[#This Row],[Part Weight (gm)]])/1000)+Table1[[#This Row],[Reject Startup (kg)]]+Table1[[#This Row],[Reject Purging (kg)]]+Table1[[#This Row],[Reject Preform (kg)]]</f>
        <v>0</v>
      </c>
      <c r="V90" s="37">
        <f>(Table1[[#This Row],[Gross Weight (gm)]]-Table1[[#This Row],[Part Weight (gm)]])*Table1[[#This Row],[Shift Output]]/1000</f>
        <v>0</v>
      </c>
      <c r="W90" s="3">
        <v>0</v>
      </c>
      <c r="X90" s="36" t="e">
        <f>Table1[[#This Row],[Reject Startup (kg)]]/Table1[[#This Row],[Material Used]]</f>
        <v>#DIV/0!</v>
      </c>
      <c r="Y90" s="3">
        <v>0</v>
      </c>
      <c r="Z90" s="36" t="e">
        <f>Table1[[#This Row],[Reject Prod (kg)]]/Table1[[#This Row],[Material Used]]</f>
        <v>#DIV/0!</v>
      </c>
      <c r="AA90" s="4">
        <v>0</v>
      </c>
      <c r="AB90" s="5">
        <v>12</v>
      </c>
      <c r="AC90" s="4" cm="1">
        <f t="array" ref="AC90">IFERROR(INDEX(ReferenceCard, MATCH(1, (INDEX(ReferenceCard,,1)=Table1[[#This Row],[SAP No]]) * (INDEX(ReferenceCard,,2)=Table1[[#This Row],[Mould No]]), 0), 9),)</f>
        <v>35.6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L90" s="2"/>
      <c r="AM90" s="2"/>
      <c r="AN90" s="3">
        <v>0</v>
      </c>
      <c r="AO90" s="3">
        <v>0</v>
      </c>
      <c r="AP9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1" spans="1:42" x14ac:dyDescent="0.35">
      <c r="A91" s="1">
        <v>46020</v>
      </c>
      <c r="B91">
        <v>1</v>
      </c>
      <c r="C91" t="s">
        <v>3</v>
      </c>
      <c r="D91" t="str" cm="1">
        <f t="array" ref="D91">IFERROR(INDEX(ReferenceCard, MATCH(1, (INDEX(ReferenceCard,,1)=Table1[[#This Row],[SAP No]]) * (INDEX(ReferenceCard,,2)=Table1[[#This Row],[Mould No]]), 0), 6),)</f>
        <v>PET</v>
      </c>
      <c r="E91">
        <v>423215</v>
      </c>
      <c r="F91">
        <v>0</v>
      </c>
      <c r="G91" t="str" cm="1">
        <f t="array" ref="G91">IFERROR(INDEX(ReferenceCard, MATCH(1, (INDEX(ReferenceCard,,1)=Table1[[#This Row],[SAP No]]) * (INDEX(ReferenceCard,,2)=Table1[[#This Row],[Mould No]]), 0), 3),)</f>
        <v>BC28-0355-SCC-A-Q-CL</v>
      </c>
      <c r="H91">
        <v>0</v>
      </c>
      <c r="I91" cm="1">
        <f t="array" ref="I91">IFERROR(INDEX(ReferenceCard, MATCH(1, (INDEX(ReferenceCard,,1)=Table1[[#This Row],[SAP No]]) * (INDEX(ReferenceCard,,2)=Table1[[#This Row],[Mould No]]), 0), 4),)</f>
        <v>4</v>
      </c>
      <c r="J91" s="4" cm="1">
        <f t="array" ref="J91">IFERROR(INDEX(ReferenceCard, MATCH(1, (INDEX(ReferenceCard,,1)=Table1[[#This Row],[SAP No]]) * (INDEX(ReferenceCard,,2)=Table1[[#This Row],[Mould No]]), 0), 9),)</f>
        <v>24</v>
      </c>
      <c r="K91" s="4" cm="1">
        <f t="array" ref="K91">IFERROR(INDEX(ReferenceCard, MATCH(1, (INDEX(ReferenceCard,,1)=Table1[[#This Row],[SAP No]]) * (INDEX(ReferenceCard,,2)=Table1[[#This Row],[Mould No]]), 0), 7),)</f>
        <v>24</v>
      </c>
      <c r="L91">
        <v>0</v>
      </c>
      <c r="M91">
        <v>0</v>
      </c>
      <c r="N91">
        <v>0</v>
      </c>
      <c r="O91">
        <v>0</v>
      </c>
      <c r="P91">
        <f>Table1[[#This Row],[Shot]]*Table1[[#This Row],[Cav]]</f>
        <v>0</v>
      </c>
      <c r="Q91">
        <v>0</v>
      </c>
      <c r="R91">
        <f>(Table1[[#This Row],[Part Weight (gm)]]*Table1[[#This Row],[Finish Good]])/1000</f>
        <v>0</v>
      </c>
      <c r="S91">
        <v>0</v>
      </c>
      <c r="T91">
        <f>IF(Table1[[#This Row],[Qty Order]]="Sample","-",IF(Table1[[#This Row],[Qty Order]]="RTFN","-",Table1[[#This Row],[Qty Order]]-Table1[[#This Row],[Qty Accumulate]]))</f>
        <v>0</v>
      </c>
      <c r="U91">
        <f>((Table1[[#This Row],[Shift Output]]*Table1[[#This Row],[Part Weight (gm)]])/1000)+Table1[[#This Row],[Reject Startup (kg)]]+Table1[[#This Row],[Reject Purging (kg)]]+Table1[[#This Row],[Reject Preform (kg)]]</f>
        <v>0</v>
      </c>
      <c r="V91" s="37">
        <f>(Table1[[#This Row],[Gross Weight (gm)]]-Table1[[#This Row],[Part Weight (gm)]])*Table1[[#This Row],[Shift Output]]/1000</f>
        <v>0</v>
      </c>
      <c r="W91" s="3">
        <v>0</v>
      </c>
      <c r="X91" s="36" t="e">
        <f>Table1[[#This Row],[Reject Startup (kg)]]/Table1[[#This Row],[Material Used]]</f>
        <v>#DIV/0!</v>
      </c>
      <c r="Y91" s="3">
        <v>0</v>
      </c>
      <c r="Z91" s="36" t="e">
        <f>Table1[[#This Row],[Reject Prod (kg)]]/Table1[[#This Row],[Material Used]]</f>
        <v>#DIV/0!</v>
      </c>
      <c r="AA91" s="4">
        <v>0</v>
      </c>
      <c r="AB91" s="5">
        <v>0</v>
      </c>
      <c r="AC91" s="4" cm="1">
        <f t="array" ref="AC91">IFERROR(INDEX(ReferenceCard, MATCH(1, (INDEX(ReferenceCard,,1)=Table1[[#This Row],[SAP No]]) * (INDEX(ReferenceCard,,2)=Table1[[#This Row],[Mould No]]), 0), 9),)</f>
        <v>24</v>
      </c>
      <c r="AD91" s="5">
        <v>0</v>
      </c>
      <c r="AE91" s="5">
        <v>0</v>
      </c>
      <c r="AF91" s="5">
        <v>0</v>
      </c>
      <c r="AG91" s="5">
        <v>0</v>
      </c>
      <c r="AH91" s="5">
        <v>12</v>
      </c>
      <c r="AI91" s="5">
        <v>0</v>
      </c>
      <c r="AJ91" s="5">
        <v>0</v>
      </c>
      <c r="AL91" s="2"/>
      <c r="AM91" s="2"/>
      <c r="AN91" s="3">
        <v>0</v>
      </c>
      <c r="AO91" s="3">
        <v>0</v>
      </c>
      <c r="AP9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2" spans="1:42" x14ac:dyDescent="0.35">
      <c r="A92" s="1">
        <v>46020</v>
      </c>
      <c r="B92">
        <v>1</v>
      </c>
      <c r="C92" t="s">
        <v>5</v>
      </c>
      <c r="D92" t="str" cm="1">
        <f t="array" ref="D92">IFERROR(INDEX(ReferenceCard, MATCH(1, (INDEX(ReferenceCard,,1)=Table1[[#This Row],[SAP No]]) * (INDEX(ReferenceCard,,2)=Table1[[#This Row],[Mould No]]), 0), 6),)</f>
        <v>PET</v>
      </c>
      <c r="E92">
        <v>543590</v>
      </c>
      <c r="F92">
        <v>0</v>
      </c>
      <c r="G92" t="str" cm="1">
        <f t="array" ref="G92">IFERROR(INDEX(ReferenceCard, MATCH(1, (INDEX(ReferenceCard,,1)=Table1[[#This Row],[SAP No]]) * (INDEX(ReferenceCard,,2)=Table1[[#This Row],[Mould No]]), 0), 3),)</f>
        <v>BC28-0130-R-R-AM</v>
      </c>
      <c r="H92">
        <v>0</v>
      </c>
      <c r="I92" cm="1">
        <f t="array" ref="I92">IFERROR(INDEX(ReferenceCard, MATCH(1, (INDEX(ReferenceCard,,1)=Table1[[#This Row],[SAP No]]) * (INDEX(ReferenceCard,,2)=Table1[[#This Row],[Mould No]]), 0), 4),)</f>
        <v>4</v>
      </c>
      <c r="J92" s="4" cm="1">
        <f t="array" ref="J92">IFERROR(INDEX(ReferenceCard, MATCH(1, (INDEX(ReferenceCard,,1)=Table1[[#This Row],[SAP No]]) * (INDEX(ReferenceCard,,2)=Table1[[#This Row],[Mould No]]), 0), 9),)</f>
        <v>19</v>
      </c>
      <c r="K92" s="4" cm="1">
        <f t="array" ref="K92">IFERROR(INDEX(ReferenceCard, MATCH(1, (INDEX(ReferenceCard,,1)=Table1[[#This Row],[SAP No]]) * (INDEX(ReferenceCard,,2)=Table1[[#This Row],[Mould No]]), 0), 7),)</f>
        <v>19</v>
      </c>
      <c r="L92">
        <v>0</v>
      </c>
      <c r="M92">
        <v>0</v>
      </c>
      <c r="N92">
        <v>0</v>
      </c>
      <c r="O92">
        <v>0</v>
      </c>
      <c r="P92">
        <f>Table1[[#This Row],[Shot]]*Table1[[#This Row],[Cav]]</f>
        <v>0</v>
      </c>
      <c r="Q92">
        <v>0</v>
      </c>
      <c r="R92">
        <f>(Table1[[#This Row],[Part Weight (gm)]]*Table1[[#This Row],[Finish Good]])/1000</f>
        <v>0</v>
      </c>
      <c r="S92">
        <v>0</v>
      </c>
      <c r="T92">
        <f>IF(Table1[[#This Row],[Qty Order]]="Sample","-",IF(Table1[[#This Row],[Qty Order]]="RTFN","-",Table1[[#This Row],[Qty Order]]-Table1[[#This Row],[Qty Accumulate]]))</f>
        <v>0</v>
      </c>
      <c r="U92">
        <f>((Table1[[#This Row],[Shift Output]]*Table1[[#This Row],[Part Weight (gm)]])/1000)+Table1[[#This Row],[Reject Startup (kg)]]+Table1[[#This Row],[Reject Purging (kg)]]+Table1[[#This Row],[Reject Preform (kg)]]</f>
        <v>0</v>
      </c>
      <c r="V92" s="37">
        <f>(Table1[[#This Row],[Gross Weight (gm)]]-Table1[[#This Row],[Part Weight (gm)]])*Table1[[#This Row],[Shift Output]]/1000</f>
        <v>0</v>
      </c>
      <c r="W92" s="3">
        <v>0</v>
      </c>
      <c r="X92" s="36" t="e">
        <f>Table1[[#This Row],[Reject Startup (kg)]]/Table1[[#This Row],[Material Used]]</f>
        <v>#DIV/0!</v>
      </c>
      <c r="Y92" s="3">
        <v>0</v>
      </c>
      <c r="Z92" s="36" t="e">
        <f>Table1[[#This Row],[Reject Prod (kg)]]/Table1[[#This Row],[Material Used]]</f>
        <v>#DIV/0!</v>
      </c>
      <c r="AA92" s="4">
        <v>0</v>
      </c>
      <c r="AB92" s="5">
        <v>12</v>
      </c>
      <c r="AC92" s="4" cm="1">
        <f t="array" ref="AC92">IFERROR(INDEX(ReferenceCard, MATCH(1, (INDEX(ReferenceCard,,1)=Table1[[#This Row],[SAP No]]) * (INDEX(ReferenceCard,,2)=Table1[[#This Row],[Mould No]]), 0), 9),)</f>
        <v>19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L92" s="2"/>
      <c r="AM92" s="2"/>
      <c r="AN92" s="3">
        <v>0</v>
      </c>
      <c r="AO92" s="3">
        <v>0</v>
      </c>
      <c r="AP9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3" spans="1:42" x14ac:dyDescent="0.35">
      <c r="A93" s="1">
        <v>46020</v>
      </c>
      <c r="B93">
        <v>1</v>
      </c>
      <c r="C93" t="s">
        <v>7</v>
      </c>
      <c r="D93" t="str" cm="1">
        <f t="array" ref="D93">IFERROR(INDEX(ReferenceCard, MATCH(1, (INDEX(ReferenceCard,,1)=Table1[[#This Row],[SAP No]]) * (INDEX(ReferenceCard,,2)=Table1[[#This Row],[Mould No]]), 0), 6),)</f>
        <v>PET</v>
      </c>
      <c r="E93">
        <v>451191</v>
      </c>
      <c r="F93">
        <v>0</v>
      </c>
      <c r="G93" t="str" cm="1">
        <f t="array" ref="G93">IFERROR(INDEX(ReferenceCard, MATCH(1, (INDEX(ReferenceCard,,1)=Table1[[#This Row],[SAP No]]) * (INDEX(ReferenceCard,,2)=Table1[[#This Row],[Mould No]]), 0), 3),)</f>
        <v>BX38-0350-Z-C-CL</v>
      </c>
      <c r="H93">
        <v>0</v>
      </c>
      <c r="I93" cm="1">
        <f t="array" ref="I93">IFERROR(INDEX(ReferenceCard, MATCH(1, (INDEX(ReferenceCard,,1)=Table1[[#This Row],[SAP No]]) * (INDEX(ReferenceCard,,2)=Table1[[#This Row],[Mould No]]), 0), 4),)</f>
        <v>4</v>
      </c>
      <c r="J93" s="4" cm="1">
        <f t="array" ref="J93">IFERROR(INDEX(ReferenceCard, MATCH(1, (INDEX(ReferenceCard,,1)=Table1[[#This Row],[SAP No]]) * (INDEX(ReferenceCard,,2)=Table1[[#This Row],[Mould No]]), 0), 9),)</f>
        <v>29</v>
      </c>
      <c r="K93" s="4" cm="1">
        <f t="array" ref="K93">IFERROR(INDEX(ReferenceCard, MATCH(1, (INDEX(ReferenceCard,,1)=Table1[[#This Row],[SAP No]]) * (INDEX(ReferenceCard,,2)=Table1[[#This Row],[Mould No]]), 0), 7),)</f>
        <v>29</v>
      </c>
      <c r="L93">
        <v>0</v>
      </c>
      <c r="M93">
        <v>0</v>
      </c>
      <c r="N93">
        <v>0</v>
      </c>
      <c r="O93">
        <v>0</v>
      </c>
      <c r="P93">
        <f>Table1[[#This Row],[Shot]]*Table1[[#This Row],[Cav]]</f>
        <v>0</v>
      </c>
      <c r="Q93">
        <v>0</v>
      </c>
      <c r="R93">
        <f>(Table1[[#This Row],[Part Weight (gm)]]*Table1[[#This Row],[Finish Good]])/1000</f>
        <v>0</v>
      </c>
      <c r="S93">
        <v>0</v>
      </c>
      <c r="T93">
        <f>IF(Table1[[#This Row],[Qty Order]]="Sample","-",IF(Table1[[#This Row],[Qty Order]]="RTFN","-",Table1[[#This Row],[Qty Order]]-Table1[[#This Row],[Qty Accumulate]]))</f>
        <v>0</v>
      </c>
      <c r="U93">
        <f>((Table1[[#This Row],[Shift Output]]*Table1[[#This Row],[Part Weight (gm)]])/1000)+Table1[[#This Row],[Reject Startup (kg)]]+Table1[[#This Row],[Reject Purging (kg)]]+Table1[[#This Row],[Reject Preform (kg)]]</f>
        <v>0</v>
      </c>
      <c r="V93" s="37">
        <f>(Table1[[#This Row],[Gross Weight (gm)]]-Table1[[#This Row],[Part Weight (gm)]])*Table1[[#This Row],[Shift Output]]/1000</f>
        <v>0</v>
      </c>
      <c r="W93" s="3">
        <v>0</v>
      </c>
      <c r="X93" s="36" t="e">
        <f>Table1[[#This Row],[Reject Startup (kg)]]/Table1[[#This Row],[Material Used]]</f>
        <v>#DIV/0!</v>
      </c>
      <c r="Y93" s="3">
        <v>0</v>
      </c>
      <c r="Z93" s="36" t="e">
        <f>Table1[[#This Row],[Reject Prod (kg)]]/Table1[[#This Row],[Material Used]]</f>
        <v>#DIV/0!</v>
      </c>
      <c r="AA93" s="4">
        <v>0</v>
      </c>
      <c r="AB93" s="5">
        <v>12</v>
      </c>
      <c r="AC93" s="4" cm="1">
        <f t="array" ref="AC93">IFERROR(INDEX(ReferenceCard, MATCH(1, (INDEX(ReferenceCard,,1)=Table1[[#This Row],[SAP No]]) * (INDEX(ReferenceCard,,2)=Table1[[#This Row],[Mould No]]), 0), 9),)</f>
        <v>29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L93" s="2"/>
      <c r="AM93" s="2"/>
      <c r="AN93" s="3">
        <v>0</v>
      </c>
      <c r="AO93" s="3">
        <v>0</v>
      </c>
      <c r="AP9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4" spans="1:42" x14ac:dyDescent="0.35">
      <c r="A94" s="1">
        <v>46020</v>
      </c>
      <c r="B94">
        <v>1</v>
      </c>
      <c r="C94" t="s">
        <v>9</v>
      </c>
      <c r="D94" t="str" cm="1">
        <f t="array" ref="D94">IFERROR(INDEX(ReferenceCard, MATCH(1, (INDEX(ReferenceCard,,1)=Table1[[#This Row],[SAP No]]) * (INDEX(ReferenceCard,,2)=Table1[[#This Row],[Mould No]]), 0), 6),)</f>
        <v>PET</v>
      </c>
      <c r="E94">
        <v>322451</v>
      </c>
      <c r="F94">
        <v>0</v>
      </c>
      <c r="G94" t="str" cm="1">
        <f t="array" ref="G94">IFERROR(INDEX(ReferenceCard, MATCH(1, (INDEX(ReferenceCard,,1)=Table1[[#This Row],[SAP No]]) * (INDEX(ReferenceCard,,2)=Table1[[#This Row],[Mould No]]), 0), 3),)</f>
        <v>BC28-0500-WNHP-R-BR</v>
      </c>
      <c r="H94">
        <v>0</v>
      </c>
      <c r="I94" cm="1">
        <f t="array" ref="I94">IFERROR(INDEX(ReferenceCard, MATCH(1, (INDEX(ReferenceCard,,1)=Table1[[#This Row],[SAP No]]) * (INDEX(ReferenceCard,,2)=Table1[[#This Row],[Mould No]]), 0), 4),)</f>
        <v>4</v>
      </c>
      <c r="J94" s="4" cm="1">
        <f t="array" ref="J94">IFERROR(INDEX(ReferenceCard, MATCH(1, (INDEX(ReferenceCard,,1)=Table1[[#This Row],[SAP No]]) * (INDEX(ReferenceCard,,2)=Table1[[#This Row],[Mould No]]), 0), 9),)</f>
        <v>45.6</v>
      </c>
      <c r="K94" s="4" cm="1">
        <f t="array" ref="K94">IFERROR(INDEX(ReferenceCard, MATCH(1, (INDEX(ReferenceCard,,1)=Table1[[#This Row],[SAP No]]) * (INDEX(ReferenceCard,,2)=Table1[[#This Row],[Mould No]]), 0), 7),)</f>
        <v>45.6</v>
      </c>
      <c r="L94">
        <v>0</v>
      </c>
      <c r="M94">
        <v>0</v>
      </c>
      <c r="N94">
        <v>0</v>
      </c>
      <c r="O94">
        <v>0</v>
      </c>
      <c r="P94">
        <f>Table1[[#This Row],[Shot]]*Table1[[#This Row],[Cav]]</f>
        <v>0</v>
      </c>
      <c r="Q94">
        <v>0</v>
      </c>
      <c r="R94">
        <f>(Table1[[#This Row],[Part Weight (gm)]]*Table1[[#This Row],[Finish Good]])/1000</f>
        <v>0</v>
      </c>
      <c r="S94">
        <v>0</v>
      </c>
      <c r="T94">
        <f>IF(Table1[[#This Row],[Qty Order]]="Sample","-",IF(Table1[[#This Row],[Qty Order]]="RTFN","-",Table1[[#This Row],[Qty Order]]-Table1[[#This Row],[Qty Accumulate]]))</f>
        <v>0</v>
      </c>
      <c r="U94">
        <f>((Table1[[#This Row],[Shift Output]]*Table1[[#This Row],[Part Weight (gm)]])/1000)+Table1[[#This Row],[Reject Startup (kg)]]+Table1[[#This Row],[Reject Purging (kg)]]+Table1[[#This Row],[Reject Preform (kg)]]</f>
        <v>0</v>
      </c>
      <c r="V94" s="37">
        <f>(Table1[[#This Row],[Gross Weight (gm)]]-Table1[[#This Row],[Part Weight (gm)]])*Table1[[#This Row],[Shift Output]]/1000</f>
        <v>0</v>
      </c>
      <c r="W94" s="3">
        <v>0</v>
      </c>
      <c r="X94" s="36" t="e">
        <f>Table1[[#This Row],[Reject Startup (kg)]]/Table1[[#This Row],[Material Used]]</f>
        <v>#DIV/0!</v>
      </c>
      <c r="Y94" s="3">
        <v>0</v>
      </c>
      <c r="Z94" s="36" t="e">
        <f>Table1[[#This Row],[Reject Prod (kg)]]/Table1[[#This Row],[Material Used]]</f>
        <v>#DIV/0!</v>
      </c>
      <c r="AA94" s="4">
        <v>0</v>
      </c>
      <c r="AB94" s="5">
        <v>12</v>
      </c>
      <c r="AC94" s="4" cm="1">
        <f t="array" ref="AC94">IFERROR(INDEX(ReferenceCard, MATCH(1, (INDEX(ReferenceCard,,1)=Table1[[#This Row],[SAP No]]) * (INDEX(ReferenceCard,,2)=Table1[[#This Row],[Mould No]]), 0), 9),)</f>
        <v>45.6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L94" s="2"/>
      <c r="AM94" s="2"/>
      <c r="AN94" s="3">
        <v>0</v>
      </c>
      <c r="AO94" s="3">
        <v>0</v>
      </c>
      <c r="AP9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5" spans="1:42" x14ac:dyDescent="0.35">
      <c r="A95" s="1">
        <v>46020</v>
      </c>
      <c r="B95">
        <v>1</v>
      </c>
      <c r="C95" t="s">
        <v>11</v>
      </c>
      <c r="D95" t="str" cm="1">
        <f t="array" ref="D95">IFERROR(INDEX(ReferenceCard, MATCH(1, (INDEX(ReferenceCard,,1)=Table1[[#This Row],[SAP No]]) * (INDEX(ReferenceCard,,2)=Table1[[#This Row],[Mould No]]), 0), 6),)</f>
        <v>rPET</v>
      </c>
      <c r="E95">
        <v>620994</v>
      </c>
      <c r="F95">
        <v>0</v>
      </c>
      <c r="G95" t="str" cm="1">
        <f t="array" ref="G95">IFERROR(INDEX(ReferenceCard, MATCH(1, (INDEX(ReferenceCard,,1)=Table1[[#This Row],[SAP No]]) * (INDEX(ReferenceCard,,2)=Table1[[#This Row],[Mould No]]), 0), 3),)</f>
        <v>JJ63-0400-SH-S-CL-rPET</v>
      </c>
      <c r="H95">
        <v>0</v>
      </c>
      <c r="I95" cm="1">
        <f t="array" ref="I95">IFERROR(INDEX(ReferenceCard, MATCH(1, (INDEX(ReferenceCard,,1)=Table1[[#This Row],[SAP No]]) * (INDEX(ReferenceCard,,2)=Table1[[#This Row],[Mould No]]), 0), 4),)</f>
        <v>4</v>
      </c>
      <c r="J95" s="4" cm="1">
        <f t="array" ref="J95">IFERROR(INDEX(ReferenceCard, MATCH(1, (INDEX(ReferenceCard,,1)=Table1[[#This Row],[SAP No]]) * (INDEX(ReferenceCard,,2)=Table1[[#This Row],[Mould No]]), 0), 9),)</f>
        <v>32.74</v>
      </c>
      <c r="K95" s="4" cm="1">
        <f t="array" ref="K95">IFERROR(INDEX(ReferenceCard, MATCH(1, (INDEX(ReferenceCard,,1)=Table1[[#This Row],[SAP No]]) * (INDEX(ReferenceCard,,2)=Table1[[#This Row],[Mould No]]), 0), 7),)</f>
        <v>33</v>
      </c>
      <c r="L95">
        <v>0</v>
      </c>
      <c r="M95">
        <v>0</v>
      </c>
      <c r="N95">
        <v>0</v>
      </c>
      <c r="O95">
        <v>0</v>
      </c>
      <c r="P95">
        <f>Table1[[#This Row],[Shot]]*Table1[[#This Row],[Cav]]</f>
        <v>0</v>
      </c>
      <c r="Q95">
        <v>0</v>
      </c>
      <c r="R95">
        <f>(Table1[[#This Row],[Part Weight (gm)]]*Table1[[#This Row],[Finish Good]])/1000</f>
        <v>0</v>
      </c>
      <c r="S95">
        <v>0</v>
      </c>
      <c r="T95">
        <f>IF(Table1[[#This Row],[Qty Order]]="Sample","-",IF(Table1[[#This Row],[Qty Order]]="RTFN","-",Table1[[#This Row],[Qty Order]]-Table1[[#This Row],[Qty Accumulate]]))</f>
        <v>0</v>
      </c>
      <c r="U95">
        <f>((Table1[[#This Row],[Shift Output]]*Table1[[#This Row],[Part Weight (gm)]])/1000)+Table1[[#This Row],[Reject Startup (kg)]]+Table1[[#This Row],[Reject Purging (kg)]]+Table1[[#This Row],[Reject Preform (kg)]]</f>
        <v>0</v>
      </c>
      <c r="V95" s="37">
        <f>(Table1[[#This Row],[Gross Weight (gm)]]-Table1[[#This Row],[Part Weight (gm)]])*Table1[[#This Row],[Shift Output]]/1000</f>
        <v>0</v>
      </c>
      <c r="W95" s="3">
        <v>0</v>
      </c>
      <c r="X95" s="36" t="e">
        <f>Table1[[#This Row],[Reject Startup (kg)]]/Table1[[#This Row],[Material Used]]</f>
        <v>#DIV/0!</v>
      </c>
      <c r="Y95" s="3">
        <v>0</v>
      </c>
      <c r="Z95" s="36" t="e">
        <f>Table1[[#This Row],[Reject Prod (kg)]]/Table1[[#This Row],[Material Used]]</f>
        <v>#DIV/0!</v>
      </c>
      <c r="AA95" s="4">
        <v>0</v>
      </c>
      <c r="AB95" s="5">
        <v>12</v>
      </c>
      <c r="AC95" s="4" cm="1">
        <f t="array" ref="AC95">IFERROR(INDEX(ReferenceCard, MATCH(1, (INDEX(ReferenceCard,,1)=Table1[[#This Row],[SAP No]]) * (INDEX(ReferenceCard,,2)=Table1[[#This Row],[Mould No]]), 0), 9),)</f>
        <v>32.74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L95" s="2"/>
      <c r="AM95" s="2"/>
      <c r="AN95" s="3">
        <v>0</v>
      </c>
      <c r="AO95" s="3">
        <v>0</v>
      </c>
      <c r="AP9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6" spans="1:42" x14ac:dyDescent="0.35">
      <c r="A96" s="1">
        <v>46020</v>
      </c>
      <c r="B96">
        <v>1</v>
      </c>
      <c r="C96" t="s">
        <v>14</v>
      </c>
      <c r="D96" t="str" cm="1">
        <f t="array" ref="D96">IFERROR(INDEX(ReferenceCard, MATCH(1, (INDEX(ReferenceCard,,1)=Table1[[#This Row],[SAP No]]) * (INDEX(ReferenceCard,,2)=Table1[[#This Row],[Mould No]]), 0), 6),)</f>
        <v>PET</v>
      </c>
      <c r="E96">
        <v>322444</v>
      </c>
      <c r="F96">
        <v>0</v>
      </c>
      <c r="G96" t="str" cm="1">
        <f t="array" ref="G96">IFERROR(INDEX(ReferenceCard, MATCH(1, (INDEX(ReferenceCard,,1)=Table1[[#This Row],[SAP No]]) * (INDEX(ReferenceCard,,2)=Table1[[#This Row],[Mould No]]), 0), 3),)</f>
        <v>JJ63-0400-RH-R-CL</v>
      </c>
      <c r="H96">
        <v>0</v>
      </c>
      <c r="I96" cm="1">
        <f t="array" ref="I96">IFERROR(INDEX(ReferenceCard, MATCH(1, (INDEX(ReferenceCard,,1)=Table1[[#This Row],[SAP No]]) * (INDEX(ReferenceCard,,2)=Table1[[#This Row],[Mould No]]), 0), 4),)</f>
        <v>4</v>
      </c>
      <c r="J96" s="4" cm="1">
        <f t="array" ref="J96">IFERROR(INDEX(ReferenceCard, MATCH(1, (INDEX(ReferenceCard,,1)=Table1[[#This Row],[SAP No]]) * (INDEX(ReferenceCard,,2)=Table1[[#This Row],[Mould No]]), 0), 9),)</f>
        <v>32.74</v>
      </c>
      <c r="K96" s="4" cm="1">
        <f t="array" ref="K96">IFERROR(INDEX(ReferenceCard, MATCH(1, (INDEX(ReferenceCard,,1)=Table1[[#This Row],[SAP No]]) * (INDEX(ReferenceCard,,2)=Table1[[#This Row],[Mould No]]), 0), 7),)</f>
        <v>34.5</v>
      </c>
      <c r="L96">
        <v>0</v>
      </c>
      <c r="M96">
        <v>0</v>
      </c>
      <c r="N96">
        <v>0</v>
      </c>
      <c r="O96">
        <v>0</v>
      </c>
      <c r="P96">
        <f>Table1[[#This Row],[Shot]]*Table1[[#This Row],[Cav]]</f>
        <v>0</v>
      </c>
      <c r="Q96">
        <v>0</v>
      </c>
      <c r="R96">
        <f>(Table1[[#This Row],[Part Weight (gm)]]*Table1[[#This Row],[Finish Good]])/1000</f>
        <v>0</v>
      </c>
      <c r="S96">
        <v>0</v>
      </c>
      <c r="T96">
        <f>IF(Table1[[#This Row],[Qty Order]]="Sample","-",IF(Table1[[#This Row],[Qty Order]]="RTFN","-",Table1[[#This Row],[Qty Order]]-Table1[[#This Row],[Qty Accumulate]]))</f>
        <v>0</v>
      </c>
      <c r="U96">
        <f>((Table1[[#This Row],[Shift Output]]*Table1[[#This Row],[Part Weight (gm)]])/1000)+Table1[[#This Row],[Reject Startup (kg)]]+Table1[[#This Row],[Reject Purging (kg)]]+Table1[[#This Row],[Reject Preform (kg)]]</f>
        <v>0</v>
      </c>
      <c r="V96" s="37">
        <f>(Table1[[#This Row],[Gross Weight (gm)]]-Table1[[#This Row],[Part Weight (gm)]])*Table1[[#This Row],[Shift Output]]/1000</f>
        <v>0</v>
      </c>
      <c r="W96" s="3">
        <v>0</v>
      </c>
      <c r="X96" s="36" t="e">
        <f>Table1[[#This Row],[Reject Startup (kg)]]/Table1[[#This Row],[Material Used]]</f>
        <v>#DIV/0!</v>
      </c>
      <c r="Y96" s="3">
        <v>0</v>
      </c>
      <c r="Z96" s="36" t="e">
        <f>Table1[[#This Row],[Reject Prod (kg)]]/Table1[[#This Row],[Material Used]]</f>
        <v>#DIV/0!</v>
      </c>
      <c r="AA96" s="4">
        <v>0</v>
      </c>
      <c r="AB96" s="5">
        <v>0</v>
      </c>
      <c r="AC96" s="4" cm="1">
        <f t="array" ref="AC96">IFERROR(INDEX(ReferenceCard, MATCH(1, (INDEX(ReferenceCard,,1)=Table1[[#This Row],[SAP No]]) * (INDEX(ReferenceCard,,2)=Table1[[#This Row],[Mould No]]), 0), 9),)</f>
        <v>32.74</v>
      </c>
      <c r="AD96" s="5">
        <v>0</v>
      </c>
      <c r="AE96" s="5">
        <v>0</v>
      </c>
      <c r="AF96" s="5">
        <v>0</v>
      </c>
      <c r="AG96" s="5">
        <v>0</v>
      </c>
      <c r="AH96" s="5">
        <v>12</v>
      </c>
      <c r="AI96" s="5">
        <v>0</v>
      </c>
      <c r="AJ96" s="5">
        <v>0</v>
      </c>
      <c r="AL96" s="2"/>
      <c r="AM96" s="2"/>
      <c r="AN96" s="3">
        <v>0</v>
      </c>
      <c r="AO96" s="3">
        <v>0</v>
      </c>
      <c r="AP9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7" spans="1:42" x14ac:dyDescent="0.35">
      <c r="A97" s="1">
        <v>46020</v>
      </c>
      <c r="B97">
        <v>1</v>
      </c>
      <c r="C97" t="s">
        <v>16</v>
      </c>
      <c r="D97" t="str" cm="1">
        <f t="array" ref="D97">IFERROR(INDEX(ReferenceCard, MATCH(1, (INDEX(ReferenceCard,,1)=Table1[[#This Row],[SAP No]]) * (INDEX(ReferenceCard,,2)=Table1[[#This Row],[Mould No]]), 0), 6),)</f>
        <v>PET</v>
      </c>
      <c r="E97">
        <v>324206</v>
      </c>
      <c r="F97">
        <v>0</v>
      </c>
      <c r="G97" t="str" cm="1">
        <f t="array" ref="G97">IFERROR(INDEX(ReferenceCard, MATCH(1, (INDEX(ReferenceCard,,1)=Table1[[#This Row],[SAP No]]) * (INDEX(ReferenceCard,,2)=Table1[[#This Row],[Mould No]]), 0), 3),)</f>
        <v>BX38-1000-HC-S-CL</v>
      </c>
      <c r="H97">
        <v>0</v>
      </c>
      <c r="I97" cm="1">
        <f t="array" ref="I97">IFERROR(INDEX(ReferenceCard, MATCH(1, (INDEX(ReferenceCard,,1)=Table1[[#This Row],[SAP No]]) * (INDEX(ReferenceCard,,2)=Table1[[#This Row],[Mould No]]), 0), 4),)</f>
        <v>4</v>
      </c>
      <c r="J97" s="4" cm="1">
        <f t="array" ref="J97">IFERROR(INDEX(ReferenceCard, MATCH(1, (INDEX(ReferenceCard,,1)=Table1[[#This Row],[SAP No]]) * (INDEX(ReferenceCard,,2)=Table1[[#This Row],[Mould No]]), 0), 9),)</f>
        <v>49</v>
      </c>
      <c r="K97" s="4" cm="1">
        <f t="array" ref="K97">IFERROR(INDEX(ReferenceCard, MATCH(1, (INDEX(ReferenceCard,,1)=Table1[[#This Row],[SAP No]]) * (INDEX(ReferenceCard,,2)=Table1[[#This Row],[Mould No]]), 0), 7),)</f>
        <v>48</v>
      </c>
      <c r="L97">
        <v>0</v>
      </c>
      <c r="M97">
        <v>0</v>
      </c>
      <c r="N97">
        <v>0</v>
      </c>
      <c r="O97">
        <v>0</v>
      </c>
      <c r="P97">
        <f>Table1[[#This Row],[Shot]]*Table1[[#This Row],[Cav]]</f>
        <v>0</v>
      </c>
      <c r="Q97">
        <v>0</v>
      </c>
      <c r="R97">
        <f>(Table1[[#This Row],[Part Weight (gm)]]*Table1[[#This Row],[Finish Good]])/1000</f>
        <v>0</v>
      </c>
      <c r="S97">
        <v>0</v>
      </c>
      <c r="T97">
        <f>IF(Table1[[#This Row],[Qty Order]]="Sample","-",IF(Table1[[#This Row],[Qty Order]]="RTFN","-",Table1[[#This Row],[Qty Order]]-Table1[[#This Row],[Qty Accumulate]]))</f>
        <v>0</v>
      </c>
      <c r="U97">
        <f>((Table1[[#This Row],[Shift Output]]*Table1[[#This Row],[Part Weight (gm)]])/1000)+Table1[[#This Row],[Reject Startup (kg)]]+Table1[[#This Row],[Reject Purging (kg)]]+Table1[[#This Row],[Reject Preform (kg)]]</f>
        <v>0</v>
      </c>
      <c r="V97" s="37">
        <f>(Table1[[#This Row],[Gross Weight (gm)]]-Table1[[#This Row],[Part Weight (gm)]])*Table1[[#This Row],[Shift Output]]/1000</f>
        <v>0</v>
      </c>
      <c r="W97" s="3">
        <v>0</v>
      </c>
      <c r="X97" s="36" t="e">
        <f>Table1[[#This Row],[Reject Startup (kg)]]/Table1[[#This Row],[Material Used]]</f>
        <v>#DIV/0!</v>
      </c>
      <c r="Y97" s="3">
        <v>0</v>
      </c>
      <c r="Z97" s="36" t="e">
        <f>Table1[[#This Row],[Reject Prod (kg)]]/Table1[[#This Row],[Material Used]]</f>
        <v>#DIV/0!</v>
      </c>
      <c r="AA97" s="4">
        <v>0</v>
      </c>
      <c r="AB97" s="5">
        <v>12</v>
      </c>
      <c r="AC97" s="4" cm="1">
        <f t="array" ref="AC97">IFERROR(INDEX(ReferenceCard, MATCH(1, (INDEX(ReferenceCard,,1)=Table1[[#This Row],[SAP No]]) * (INDEX(ReferenceCard,,2)=Table1[[#This Row],[Mould No]]), 0), 9),)</f>
        <v>49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L97" s="2"/>
      <c r="AM97" s="2"/>
      <c r="AN97" s="3">
        <v>0</v>
      </c>
      <c r="AO97" s="3">
        <v>0</v>
      </c>
      <c r="AP9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8" spans="1:42" x14ac:dyDescent="0.35">
      <c r="A98" s="1">
        <v>46020</v>
      </c>
      <c r="B98">
        <v>1</v>
      </c>
      <c r="C98" t="s">
        <v>23</v>
      </c>
      <c r="D98" t="str" cm="1">
        <f t="array" ref="D98">IFERROR(INDEX(ReferenceCard, MATCH(1, (INDEX(ReferenceCard,,1)=Table1[[#This Row],[SAP No]]) * (INDEX(ReferenceCard,,2)=Table1[[#This Row],[Mould No]]), 0), 6),)</f>
        <v>PPSB520Y</v>
      </c>
      <c r="E98">
        <v>586276</v>
      </c>
      <c r="F98">
        <v>2</v>
      </c>
      <c r="G98" t="str" cm="1">
        <f t="array" ref="G98">IFERROR(INDEX(ReferenceCard, MATCH(1, (INDEX(ReferenceCard,,1)=Table1[[#This Row],[SAP No]]) * (INDEX(ReferenceCard,,2)=Table1[[#This Row],[Mould No]]), 0), 3),)</f>
        <v>BC28-0056-D-APH-LEB-604001-MOLD2</v>
      </c>
      <c r="H98">
        <v>0</v>
      </c>
      <c r="I98" cm="1">
        <f t="array" ref="I98">IFERROR(INDEX(ReferenceCard, MATCH(1, (INDEX(ReferenceCard,,1)=Table1[[#This Row],[SAP No]]) * (INDEX(ReferenceCard,,2)=Table1[[#This Row],[Mould No]]), 0), 4),)</f>
        <v>6</v>
      </c>
      <c r="J98" s="4" cm="1">
        <f t="array" ref="J98">IFERROR(INDEX(ReferenceCard, MATCH(1, (INDEX(ReferenceCard,,1)=Table1[[#This Row],[SAP No]]) * (INDEX(ReferenceCard,,2)=Table1[[#This Row],[Mould No]]), 0), 9),)</f>
        <v>12.3</v>
      </c>
      <c r="K98" s="4" cm="1">
        <f t="array" ref="K98">IFERROR(INDEX(ReferenceCard, MATCH(1, (INDEX(ReferenceCard,,1)=Table1[[#This Row],[SAP No]]) * (INDEX(ReferenceCard,,2)=Table1[[#This Row],[Mould No]]), 0), 7),)</f>
        <v>12.3</v>
      </c>
      <c r="L98">
        <v>0</v>
      </c>
      <c r="M98">
        <v>0</v>
      </c>
      <c r="N98">
        <v>0</v>
      </c>
      <c r="O98">
        <v>0</v>
      </c>
      <c r="P98">
        <f>Table1[[#This Row],[Shot]]*Table1[[#This Row],[Cav]]</f>
        <v>0</v>
      </c>
      <c r="Q98">
        <v>0</v>
      </c>
      <c r="R98">
        <f>(Table1[[#This Row],[Part Weight (gm)]]*Table1[[#This Row],[Finish Good]])/1000</f>
        <v>0</v>
      </c>
      <c r="S98">
        <v>0</v>
      </c>
      <c r="T98">
        <f>IF(Table1[[#This Row],[Qty Order]]="Sample","-",IF(Table1[[#This Row],[Qty Order]]="RTFN","-",Table1[[#This Row],[Qty Order]]-Table1[[#This Row],[Qty Accumulate]]))</f>
        <v>0</v>
      </c>
      <c r="U98">
        <f>((Table1[[#This Row],[Shift Output]]*Table1[[#This Row],[Part Weight (gm)]])/1000)+Table1[[#This Row],[Reject Startup (kg)]]+Table1[[#This Row],[Reject Purging (kg)]]+Table1[[#This Row],[Reject Preform (kg)]]</f>
        <v>0</v>
      </c>
      <c r="V98" s="37">
        <f>(Table1[[#This Row],[Gross Weight (gm)]]-Table1[[#This Row],[Part Weight (gm)]])*Table1[[#This Row],[Shift Output]]/1000</f>
        <v>0</v>
      </c>
      <c r="W98" s="3">
        <v>0</v>
      </c>
      <c r="X98" s="36" t="e">
        <f>Table1[[#This Row],[Reject Startup (kg)]]/Table1[[#This Row],[Material Used]]</f>
        <v>#DIV/0!</v>
      </c>
      <c r="Y98" s="3">
        <v>0</v>
      </c>
      <c r="Z98" s="36" t="e">
        <f>Table1[[#This Row],[Reject Prod (kg)]]/Table1[[#This Row],[Material Used]]</f>
        <v>#DIV/0!</v>
      </c>
      <c r="AA98" s="4">
        <v>0</v>
      </c>
      <c r="AB98" s="5">
        <v>12</v>
      </c>
      <c r="AC98" s="4" cm="1">
        <f t="array" ref="AC98">IFERROR(INDEX(ReferenceCard, MATCH(1, (INDEX(ReferenceCard,,1)=Table1[[#This Row],[SAP No]]) * (INDEX(ReferenceCard,,2)=Table1[[#This Row],[Mould No]]), 0), 9),)</f>
        <v>12.3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L98" s="2"/>
      <c r="AM98" s="2"/>
      <c r="AN98" s="3">
        <v>0</v>
      </c>
      <c r="AO98" s="3">
        <v>0</v>
      </c>
      <c r="AP9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9" spans="1:42" x14ac:dyDescent="0.35">
      <c r="A99" s="1">
        <v>46020</v>
      </c>
      <c r="B99">
        <v>1</v>
      </c>
      <c r="C99" t="s">
        <v>25</v>
      </c>
      <c r="D99" t="str" cm="1">
        <f t="array" ref="D99">IFERROR(INDEX(ReferenceCard, MATCH(1, (INDEX(ReferenceCard,,1)=Table1[[#This Row],[SAP No]]) * (INDEX(ReferenceCard,,2)=Table1[[#This Row],[Mould No]]), 0), 6),)</f>
        <v>PET</v>
      </c>
      <c r="E99">
        <v>323133</v>
      </c>
      <c r="F99">
        <v>0</v>
      </c>
      <c r="G99" t="str" cm="1">
        <f t="array" ref="G99">IFERROR(INDEX(ReferenceCard, MATCH(1, (INDEX(ReferenceCard,,1)=Table1[[#This Row],[SAP No]]) * (INDEX(ReferenceCard,,2)=Table1[[#This Row],[Mould No]]), 0), 3),)</f>
        <v>BX38-2000-RH-R-CL(GREEN) (ASEM)</v>
      </c>
      <c r="H99">
        <v>0</v>
      </c>
      <c r="I99" cm="1">
        <f t="array" ref="I99">IFERROR(INDEX(ReferenceCard, MATCH(1, (INDEX(ReferenceCard,,1)=Table1[[#This Row],[SAP No]]) * (INDEX(ReferenceCard,,2)=Table1[[#This Row],[Mould No]]), 0), 4),)</f>
        <v>4</v>
      </c>
      <c r="J99" s="4" cm="1">
        <f t="array" ref="J99">IFERROR(INDEX(ReferenceCard, MATCH(1, (INDEX(ReferenceCard,,1)=Table1[[#This Row],[SAP No]]) * (INDEX(ReferenceCard,,2)=Table1[[#This Row],[Mould No]]), 0), 9),)</f>
        <v>77</v>
      </c>
      <c r="K99" s="4" cm="1">
        <f t="array" ref="K99">IFERROR(INDEX(ReferenceCard, MATCH(1, (INDEX(ReferenceCard,,1)=Table1[[#This Row],[SAP No]]) * (INDEX(ReferenceCard,,2)=Table1[[#This Row],[Mould No]]), 0), 7),)</f>
        <v>77</v>
      </c>
      <c r="L99">
        <v>0</v>
      </c>
      <c r="M99">
        <v>0</v>
      </c>
      <c r="N99">
        <v>0</v>
      </c>
      <c r="O99">
        <v>0</v>
      </c>
      <c r="P99">
        <f>Table1[[#This Row],[Shot]]*Table1[[#This Row],[Cav]]</f>
        <v>0</v>
      </c>
      <c r="Q99">
        <v>0</v>
      </c>
      <c r="R99">
        <f>(Table1[[#This Row],[Part Weight (gm)]]*Table1[[#This Row],[Finish Good]])/1000</f>
        <v>0</v>
      </c>
      <c r="S99">
        <v>0</v>
      </c>
      <c r="T99">
        <f>IF(Table1[[#This Row],[Qty Order]]="Sample","-",IF(Table1[[#This Row],[Qty Order]]="RTFN","-",Table1[[#This Row],[Qty Order]]-Table1[[#This Row],[Qty Accumulate]]))</f>
        <v>0</v>
      </c>
      <c r="U99">
        <f>((Table1[[#This Row],[Shift Output]]*Table1[[#This Row],[Part Weight (gm)]])/1000)+Table1[[#This Row],[Reject Startup (kg)]]+Table1[[#This Row],[Reject Purging (kg)]]+Table1[[#This Row],[Reject Preform (kg)]]</f>
        <v>0</v>
      </c>
      <c r="V99" s="37">
        <f>(Table1[[#This Row],[Gross Weight (gm)]]-Table1[[#This Row],[Part Weight (gm)]])*Table1[[#This Row],[Shift Output]]/1000</f>
        <v>0</v>
      </c>
      <c r="W99" s="3">
        <v>0</v>
      </c>
      <c r="X99" s="36" t="e">
        <f>Table1[[#This Row],[Reject Startup (kg)]]/Table1[[#This Row],[Material Used]]</f>
        <v>#DIV/0!</v>
      </c>
      <c r="Y99" s="3">
        <v>0</v>
      </c>
      <c r="Z99" s="36" t="e">
        <f>Table1[[#This Row],[Reject Prod (kg)]]/Table1[[#This Row],[Material Used]]</f>
        <v>#DIV/0!</v>
      </c>
      <c r="AA99" s="4">
        <v>0</v>
      </c>
      <c r="AB99" s="5">
        <v>0</v>
      </c>
      <c r="AC99" s="4" cm="1">
        <f t="array" ref="AC99">IFERROR(INDEX(ReferenceCard, MATCH(1, (INDEX(ReferenceCard,,1)=Table1[[#This Row],[SAP No]]) * (INDEX(ReferenceCard,,2)=Table1[[#This Row],[Mould No]]), 0), 9),)</f>
        <v>77</v>
      </c>
      <c r="AD99" s="5">
        <v>0</v>
      </c>
      <c r="AE99" s="5">
        <v>0</v>
      </c>
      <c r="AF99" s="5">
        <v>0</v>
      </c>
      <c r="AG99" s="5">
        <v>12</v>
      </c>
      <c r="AH99" s="5">
        <v>0</v>
      </c>
      <c r="AI99" s="5">
        <v>0</v>
      </c>
      <c r="AJ99" s="5">
        <v>0</v>
      </c>
      <c r="AL99" s="2"/>
      <c r="AM99" s="2"/>
      <c r="AN99" s="3">
        <v>0</v>
      </c>
      <c r="AO99" s="3">
        <v>0</v>
      </c>
      <c r="AP9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0" spans="1:42" x14ac:dyDescent="0.35">
      <c r="A100" s="1">
        <v>46020</v>
      </c>
      <c r="B100">
        <v>1</v>
      </c>
      <c r="C100" t="s">
        <v>27</v>
      </c>
      <c r="D100" t="str" cm="1">
        <f t="array" ref="D100">IFERROR(INDEX(ReferenceCard, MATCH(1, (INDEX(ReferenceCard,,1)=Table1[[#This Row],[SAP No]]) * (INDEX(ReferenceCard,,2)=Table1[[#This Row],[Mould No]]), 0), 6),)</f>
        <v>PPSB520Y</v>
      </c>
      <c r="E100">
        <v>552181</v>
      </c>
      <c r="F100">
        <v>4</v>
      </c>
      <c r="G100" t="str" cm="1">
        <f t="array" ref="G100">IFERROR(INDEX(ReferenceCard, MATCH(1, (INDEX(ReferenceCard,,1)=Table1[[#This Row],[SAP No]]) * (INDEX(ReferenceCard,,2)=Table1[[#This Row],[Mould No]]), 0), 3),)</f>
        <v>BC28-0090-D-APH-5180-3538-PP-6 NOTCHES-MOLD4</v>
      </c>
      <c r="H100">
        <v>0</v>
      </c>
      <c r="I100" cm="1">
        <f t="array" ref="I100">IFERROR(INDEX(ReferenceCard, MATCH(1, (INDEX(ReferenceCard,,1)=Table1[[#This Row],[SAP No]]) * (INDEX(ReferenceCard,,2)=Table1[[#This Row],[Mould No]]), 0), 4),)</f>
        <v>6</v>
      </c>
      <c r="J100" s="4" cm="1">
        <f t="array" ref="J100">IFERROR(INDEX(ReferenceCard, MATCH(1, (INDEX(ReferenceCard,,1)=Table1[[#This Row],[SAP No]]) * (INDEX(ReferenceCard,,2)=Table1[[#This Row],[Mould No]]), 0), 9),)</f>
        <v>18.8</v>
      </c>
      <c r="K100" s="4" cm="1">
        <f t="array" ref="K100">IFERROR(INDEX(ReferenceCard, MATCH(1, (INDEX(ReferenceCard,,1)=Table1[[#This Row],[SAP No]]) * (INDEX(ReferenceCard,,2)=Table1[[#This Row],[Mould No]]), 0), 7),)</f>
        <v>18.8</v>
      </c>
      <c r="L100">
        <v>0</v>
      </c>
      <c r="M100">
        <v>0</v>
      </c>
      <c r="N100">
        <v>0</v>
      </c>
      <c r="O100">
        <v>0</v>
      </c>
      <c r="P100">
        <f>Table1[[#This Row],[Shot]]*Table1[[#This Row],[Cav]]</f>
        <v>0</v>
      </c>
      <c r="Q100">
        <v>0</v>
      </c>
      <c r="R100">
        <f>(Table1[[#This Row],[Part Weight (gm)]]*Table1[[#This Row],[Finish Good]])/1000</f>
        <v>0</v>
      </c>
      <c r="S100">
        <v>0</v>
      </c>
      <c r="T100">
        <f>IF(Table1[[#This Row],[Qty Order]]="Sample","-",IF(Table1[[#This Row],[Qty Order]]="RTFN","-",Table1[[#This Row],[Qty Order]]-Table1[[#This Row],[Qty Accumulate]]))</f>
        <v>0</v>
      </c>
      <c r="U100">
        <f>((Table1[[#This Row],[Shift Output]]*Table1[[#This Row],[Part Weight (gm)]])/1000)+Table1[[#This Row],[Reject Startup (kg)]]+Table1[[#This Row],[Reject Purging (kg)]]+Table1[[#This Row],[Reject Preform (kg)]]</f>
        <v>0</v>
      </c>
      <c r="V100" s="37">
        <f>(Table1[[#This Row],[Gross Weight (gm)]]-Table1[[#This Row],[Part Weight (gm)]])*Table1[[#This Row],[Shift Output]]/1000</f>
        <v>0</v>
      </c>
      <c r="W100" s="3">
        <v>0</v>
      </c>
      <c r="X100" s="36" t="e">
        <f>Table1[[#This Row],[Reject Startup (kg)]]/Table1[[#This Row],[Material Used]]</f>
        <v>#DIV/0!</v>
      </c>
      <c r="Y100" s="3">
        <v>0</v>
      </c>
      <c r="Z100" s="36" t="e">
        <f>Table1[[#This Row],[Reject Prod (kg)]]/Table1[[#This Row],[Material Used]]</f>
        <v>#DIV/0!</v>
      </c>
      <c r="AA100" s="4">
        <v>0</v>
      </c>
      <c r="AB100" s="5">
        <v>12</v>
      </c>
      <c r="AC100" s="4" cm="1">
        <f t="array" ref="AC100">IFERROR(INDEX(ReferenceCard, MATCH(1, (INDEX(ReferenceCard,,1)=Table1[[#This Row],[SAP No]]) * (INDEX(ReferenceCard,,2)=Table1[[#This Row],[Mould No]]), 0), 9),)</f>
        <v>18.8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L100" s="2"/>
      <c r="AM100" s="2"/>
      <c r="AN100" s="3">
        <v>0</v>
      </c>
      <c r="AO100" s="3">
        <v>0</v>
      </c>
      <c r="AP10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1" spans="1:42" x14ac:dyDescent="0.35">
      <c r="A101" s="1">
        <v>46020</v>
      </c>
      <c r="B101">
        <v>1</v>
      </c>
      <c r="C101" t="s">
        <v>29</v>
      </c>
      <c r="D101" t="str" cm="1">
        <f t="array" ref="D101">IFERROR(INDEX(ReferenceCard, MATCH(1, (INDEX(ReferenceCard,,1)=Table1[[#This Row],[SAP No]]) * (INDEX(ReferenceCard,,2)=Table1[[#This Row],[Mould No]]), 0), 6),)</f>
        <v>PET</v>
      </c>
      <c r="E101">
        <v>620599</v>
      </c>
      <c r="F101">
        <v>0</v>
      </c>
      <c r="G101" t="str" cm="1">
        <f t="array" ref="G101">IFERROR(INDEX(ReferenceCard, MATCH(1, (INDEX(ReferenceCard,,1)=Table1[[#This Row],[SAP No]]) * (INDEX(ReferenceCard,,2)=Table1[[#This Row],[Mould No]]), 0), 3),)</f>
        <v>BC28-0750-K4-R-CL (55g)</v>
      </c>
      <c r="H101">
        <v>0</v>
      </c>
      <c r="I101" cm="1">
        <f t="array" ref="I101">IFERROR(INDEX(ReferenceCard, MATCH(1, (INDEX(ReferenceCard,,1)=Table1[[#This Row],[SAP No]]) * (INDEX(ReferenceCard,,2)=Table1[[#This Row],[Mould No]]), 0), 4),)</f>
        <v>4</v>
      </c>
      <c r="J101" s="4" cm="1">
        <f t="array" ref="J101">IFERROR(INDEX(ReferenceCard, MATCH(1, (INDEX(ReferenceCard,,1)=Table1[[#This Row],[SAP No]]) * (INDEX(ReferenceCard,,2)=Table1[[#This Row],[Mould No]]), 0), 9),)</f>
        <v>55</v>
      </c>
      <c r="K101" s="4" cm="1">
        <f t="array" ref="K101">IFERROR(INDEX(ReferenceCard, MATCH(1, (INDEX(ReferenceCard,,1)=Table1[[#This Row],[SAP No]]) * (INDEX(ReferenceCard,,2)=Table1[[#This Row],[Mould No]]), 0), 7),)</f>
        <v>55</v>
      </c>
      <c r="L101">
        <v>0</v>
      </c>
      <c r="M101">
        <v>0</v>
      </c>
      <c r="N101">
        <v>0</v>
      </c>
      <c r="O101">
        <v>0</v>
      </c>
      <c r="P101">
        <f>Table1[[#This Row],[Shot]]*Table1[[#This Row],[Cav]]</f>
        <v>0</v>
      </c>
      <c r="Q101">
        <v>0</v>
      </c>
      <c r="R101">
        <f>(Table1[[#This Row],[Part Weight (gm)]]*Table1[[#This Row],[Finish Good]])/1000</f>
        <v>0</v>
      </c>
      <c r="S101">
        <v>0</v>
      </c>
      <c r="T101">
        <f>IF(Table1[[#This Row],[Qty Order]]="Sample","-",IF(Table1[[#This Row],[Qty Order]]="RTFN","-",Table1[[#This Row],[Qty Order]]-Table1[[#This Row],[Qty Accumulate]]))</f>
        <v>0</v>
      </c>
      <c r="U101">
        <f>((Table1[[#This Row],[Shift Output]]*Table1[[#This Row],[Part Weight (gm)]])/1000)+Table1[[#This Row],[Reject Startup (kg)]]+Table1[[#This Row],[Reject Purging (kg)]]+Table1[[#This Row],[Reject Preform (kg)]]</f>
        <v>0</v>
      </c>
      <c r="V101" s="37">
        <f>(Table1[[#This Row],[Gross Weight (gm)]]-Table1[[#This Row],[Part Weight (gm)]])*Table1[[#This Row],[Shift Output]]/1000</f>
        <v>0</v>
      </c>
      <c r="W101" s="3">
        <v>0</v>
      </c>
      <c r="X101" s="36" t="e">
        <f>Table1[[#This Row],[Reject Startup (kg)]]/Table1[[#This Row],[Material Used]]</f>
        <v>#DIV/0!</v>
      </c>
      <c r="Y101" s="3">
        <v>0</v>
      </c>
      <c r="Z101" s="36" t="e">
        <f>Table1[[#This Row],[Reject Prod (kg)]]/Table1[[#This Row],[Material Used]]</f>
        <v>#DIV/0!</v>
      </c>
      <c r="AA101" s="4">
        <v>0</v>
      </c>
      <c r="AB101" s="5">
        <v>12</v>
      </c>
      <c r="AC101" s="4" cm="1">
        <f t="array" ref="AC101">IFERROR(INDEX(ReferenceCard, MATCH(1, (INDEX(ReferenceCard,,1)=Table1[[#This Row],[SAP No]]) * (INDEX(ReferenceCard,,2)=Table1[[#This Row],[Mould No]]), 0), 9),)</f>
        <v>55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L101" s="2"/>
      <c r="AM101" s="2"/>
      <c r="AN101" s="3">
        <v>0</v>
      </c>
      <c r="AO101" s="3">
        <v>0</v>
      </c>
      <c r="AP10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2" spans="1:42" x14ac:dyDescent="0.35">
      <c r="A102" s="1">
        <v>46020</v>
      </c>
      <c r="B102">
        <v>1</v>
      </c>
      <c r="C102" t="s">
        <v>31</v>
      </c>
      <c r="D102" t="str" cm="1">
        <f t="array" ref="D102">IFERROR(INDEX(ReferenceCard, MATCH(1, (INDEX(ReferenceCard,,1)=Table1[[#This Row],[SAP No]]) * (INDEX(ReferenceCard,,2)=Table1[[#This Row],[Mould No]]), 0), 6),)</f>
        <v>PPSB520Y</v>
      </c>
      <c r="E102">
        <v>586276</v>
      </c>
      <c r="F102">
        <v>4</v>
      </c>
      <c r="G102" t="str" cm="1">
        <f t="array" ref="G102">IFERROR(INDEX(ReferenceCard, MATCH(1, (INDEX(ReferenceCard,,1)=Table1[[#This Row],[SAP No]]) * (INDEX(ReferenceCard,,2)=Table1[[#This Row],[Mould No]]), 0), 3),)</f>
        <v>BC28-0056-D-APH-LEB-604001-MOLD4</v>
      </c>
      <c r="H102">
        <v>0</v>
      </c>
      <c r="I102" cm="1">
        <f t="array" ref="I102">IFERROR(INDEX(ReferenceCard, MATCH(1, (INDEX(ReferenceCard,,1)=Table1[[#This Row],[SAP No]]) * (INDEX(ReferenceCard,,2)=Table1[[#This Row],[Mould No]]), 0), 4),)</f>
        <v>6</v>
      </c>
      <c r="J102" s="4" cm="1">
        <f t="array" ref="J102">IFERROR(INDEX(ReferenceCard, MATCH(1, (INDEX(ReferenceCard,,1)=Table1[[#This Row],[SAP No]]) * (INDEX(ReferenceCard,,2)=Table1[[#This Row],[Mould No]]), 0), 9),)</f>
        <v>12.3</v>
      </c>
      <c r="K102" s="4" cm="1">
        <f t="array" ref="K102">IFERROR(INDEX(ReferenceCard, MATCH(1, (INDEX(ReferenceCard,,1)=Table1[[#This Row],[SAP No]]) * (INDEX(ReferenceCard,,2)=Table1[[#This Row],[Mould No]]), 0), 7),)</f>
        <v>12.3</v>
      </c>
      <c r="L102">
        <v>0</v>
      </c>
      <c r="M102">
        <v>0</v>
      </c>
      <c r="N102">
        <v>0</v>
      </c>
      <c r="O102">
        <v>0</v>
      </c>
      <c r="P102">
        <f>Table1[[#This Row],[Shot]]*Table1[[#This Row],[Cav]]</f>
        <v>0</v>
      </c>
      <c r="Q102">
        <v>0</v>
      </c>
      <c r="R102">
        <f>(Table1[[#This Row],[Part Weight (gm)]]*Table1[[#This Row],[Finish Good]])/1000</f>
        <v>0</v>
      </c>
      <c r="S102">
        <v>0</v>
      </c>
      <c r="T102">
        <f>IF(Table1[[#This Row],[Qty Order]]="Sample","-",IF(Table1[[#This Row],[Qty Order]]="RTFN","-",Table1[[#This Row],[Qty Order]]-Table1[[#This Row],[Qty Accumulate]]))</f>
        <v>0</v>
      </c>
      <c r="U102">
        <f>((Table1[[#This Row],[Shift Output]]*Table1[[#This Row],[Part Weight (gm)]])/1000)+Table1[[#This Row],[Reject Startup (kg)]]+Table1[[#This Row],[Reject Purging (kg)]]+Table1[[#This Row],[Reject Preform (kg)]]</f>
        <v>0</v>
      </c>
      <c r="V102" s="37">
        <f>(Table1[[#This Row],[Gross Weight (gm)]]-Table1[[#This Row],[Part Weight (gm)]])*Table1[[#This Row],[Shift Output]]/1000</f>
        <v>0</v>
      </c>
      <c r="W102" s="3">
        <v>0</v>
      </c>
      <c r="X102" s="36" t="e">
        <f>Table1[[#This Row],[Reject Startup (kg)]]/Table1[[#This Row],[Material Used]]</f>
        <v>#DIV/0!</v>
      </c>
      <c r="Y102" s="3">
        <v>0</v>
      </c>
      <c r="Z102" s="36" t="e">
        <f>Table1[[#This Row],[Reject Prod (kg)]]/Table1[[#This Row],[Material Used]]</f>
        <v>#DIV/0!</v>
      </c>
      <c r="AA102" s="4">
        <v>0</v>
      </c>
      <c r="AB102" s="5">
        <v>12</v>
      </c>
      <c r="AC102" s="4" cm="1">
        <f t="array" ref="AC102">IFERROR(INDEX(ReferenceCard, MATCH(1, (INDEX(ReferenceCard,,1)=Table1[[#This Row],[SAP No]]) * (INDEX(ReferenceCard,,2)=Table1[[#This Row],[Mould No]]), 0), 9),)</f>
        <v>12.3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L102" s="2"/>
      <c r="AM102" s="2"/>
      <c r="AN102" s="3">
        <v>0</v>
      </c>
      <c r="AO102" s="3">
        <v>0</v>
      </c>
      <c r="AP10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3" spans="1:42" x14ac:dyDescent="0.35">
      <c r="A103" s="1">
        <v>46020</v>
      </c>
      <c r="B103">
        <v>1</v>
      </c>
      <c r="C103" t="s">
        <v>33</v>
      </c>
      <c r="D103" t="str" cm="1">
        <f t="array" ref="D103">IFERROR(INDEX(ReferenceCard, MATCH(1, (INDEX(ReferenceCard,,1)=Table1[[#This Row],[SAP No]]) * (INDEX(ReferenceCard,,2)=Table1[[#This Row],[Mould No]]), 0), 6),)</f>
        <v>PET</v>
      </c>
      <c r="E103">
        <v>541381</v>
      </c>
      <c r="F103">
        <v>0</v>
      </c>
      <c r="G103" t="str" cm="1">
        <f t="array" ref="G103">IFERROR(INDEX(ReferenceCard, MATCH(1, (INDEX(ReferenceCard,,1)=Table1[[#This Row],[SAP No]]) * (INDEX(ReferenceCard,,2)=Table1[[#This Row],[Mould No]]), 0), 3),)</f>
        <v>BC28-1200-K-R-CL</v>
      </c>
      <c r="H103">
        <v>0</v>
      </c>
      <c r="I103" cm="1">
        <f t="array" ref="I103">IFERROR(INDEX(ReferenceCard, MATCH(1, (INDEX(ReferenceCard,,1)=Table1[[#This Row],[SAP No]]) * (INDEX(ReferenceCard,,2)=Table1[[#This Row],[Mould No]]), 0), 4),)</f>
        <v>4</v>
      </c>
      <c r="J103" s="4" cm="1">
        <f t="array" ref="J103">IFERROR(INDEX(ReferenceCard, MATCH(1, (INDEX(ReferenceCard,,1)=Table1[[#This Row],[SAP No]]) * (INDEX(ReferenceCard,,2)=Table1[[#This Row],[Mould No]]), 0), 9),)</f>
        <v>55</v>
      </c>
      <c r="K103" s="4" cm="1">
        <f t="array" ref="K103">IFERROR(INDEX(ReferenceCard, MATCH(1, (INDEX(ReferenceCard,,1)=Table1[[#This Row],[SAP No]]) * (INDEX(ReferenceCard,,2)=Table1[[#This Row],[Mould No]]), 0), 7),)</f>
        <v>55</v>
      </c>
      <c r="L103">
        <v>0</v>
      </c>
      <c r="M103">
        <v>0</v>
      </c>
      <c r="N103">
        <v>0</v>
      </c>
      <c r="O103">
        <v>0</v>
      </c>
      <c r="P103">
        <f>Table1[[#This Row],[Shot]]*Table1[[#This Row],[Cav]]</f>
        <v>0</v>
      </c>
      <c r="Q103">
        <v>0</v>
      </c>
      <c r="R103">
        <f>(Table1[[#This Row],[Part Weight (gm)]]*Table1[[#This Row],[Finish Good]])/1000</f>
        <v>0</v>
      </c>
      <c r="S103">
        <v>0</v>
      </c>
      <c r="T103">
        <f>IF(Table1[[#This Row],[Qty Order]]="Sample","-",IF(Table1[[#This Row],[Qty Order]]="RTFN","-",Table1[[#This Row],[Qty Order]]-Table1[[#This Row],[Qty Accumulate]]))</f>
        <v>0</v>
      </c>
      <c r="U103">
        <f>((Table1[[#This Row],[Shift Output]]*Table1[[#This Row],[Part Weight (gm)]])/1000)+Table1[[#This Row],[Reject Startup (kg)]]+Table1[[#This Row],[Reject Purging (kg)]]+Table1[[#This Row],[Reject Preform (kg)]]</f>
        <v>0</v>
      </c>
      <c r="V103" s="37">
        <f>(Table1[[#This Row],[Gross Weight (gm)]]-Table1[[#This Row],[Part Weight (gm)]])*Table1[[#This Row],[Shift Output]]/1000</f>
        <v>0</v>
      </c>
      <c r="W103" s="3">
        <v>0</v>
      </c>
      <c r="X103" s="36" t="e">
        <f>Table1[[#This Row],[Reject Startup (kg)]]/Table1[[#This Row],[Material Used]]</f>
        <v>#DIV/0!</v>
      </c>
      <c r="Y103" s="3">
        <v>0</v>
      </c>
      <c r="Z103" s="36" t="e">
        <f>Table1[[#This Row],[Reject Prod (kg)]]/Table1[[#This Row],[Material Used]]</f>
        <v>#DIV/0!</v>
      </c>
      <c r="AA103" s="4">
        <v>0</v>
      </c>
      <c r="AB103" s="5">
        <v>12</v>
      </c>
      <c r="AC103" s="4" cm="1">
        <f t="array" ref="AC103">IFERROR(INDEX(ReferenceCard, MATCH(1, (INDEX(ReferenceCard,,1)=Table1[[#This Row],[SAP No]]) * (INDEX(ReferenceCard,,2)=Table1[[#This Row],[Mould No]]), 0), 9),)</f>
        <v>55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L103" s="2"/>
      <c r="AM103" s="2"/>
      <c r="AN103" s="3">
        <v>0</v>
      </c>
      <c r="AO103" s="3">
        <v>0</v>
      </c>
      <c r="AP10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4" spans="1:42" x14ac:dyDescent="0.35">
      <c r="A104" s="1">
        <v>46020</v>
      </c>
      <c r="B104">
        <v>1</v>
      </c>
      <c r="C104" t="s">
        <v>35</v>
      </c>
      <c r="D104" t="str" cm="1">
        <f t="array" ref="D104">IFERROR(INDEX(ReferenceCard, MATCH(1, (INDEX(ReferenceCard,,1)=Table1[[#This Row],[SAP No]]) * (INDEX(ReferenceCard,,2)=Table1[[#This Row],[Mould No]]), 0), 6),)</f>
        <v>PPSB520Y</v>
      </c>
      <c r="E104">
        <v>552181</v>
      </c>
      <c r="F104">
        <v>1</v>
      </c>
      <c r="G104" t="str" cm="1">
        <f t="array" ref="G104">IFERROR(INDEX(ReferenceCard, MATCH(1, (INDEX(ReferenceCard,,1)=Table1[[#This Row],[SAP No]]) * (INDEX(ReferenceCard,,2)=Table1[[#This Row],[Mould No]]), 0), 3),)</f>
        <v>BC28-0090-D-APH-5180-3538-PP-6 NOTCHES-MOLD1</v>
      </c>
      <c r="H104">
        <v>0</v>
      </c>
      <c r="I104" cm="1">
        <f t="array" ref="I104">IFERROR(INDEX(ReferenceCard, MATCH(1, (INDEX(ReferenceCard,,1)=Table1[[#This Row],[SAP No]]) * (INDEX(ReferenceCard,,2)=Table1[[#This Row],[Mould No]]), 0), 4),)</f>
        <v>6</v>
      </c>
      <c r="J104" s="4" cm="1">
        <f t="array" ref="J104">IFERROR(INDEX(ReferenceCard, MATCH(1, (INDEX(ReferenceCard,,1)=Table1[[#This Row],[SAP No]]) * (INDEX(ReferenceCard,,2)=Table1[[#This Row],[Mould No]]), 0), 9),)</f>
        <v>18.8</v>
      </c>
      <c r="K104" s="4" cm="1">
        <f t="array" ref="K104">IFERROR(INDEX(ReferenceCard, MATCH(1, (INDEX(ReferenceCard,,1)=Table1[[#This Row],[SAP No]]) * (INDEX(ReferenceCard,,2)=Table1[[#This Row],[Mould No]]), 0), 7),)</f>
        <v>18.8</v>
      </c>
      <c r="L104">
        <v>0</v>
      </c>
      <c r="M104">
        <v>0</v>
      </c>
      <c r="N104">
        <v>0</v>
      </c>
      <c r="O104">
        <v>0</v>
      </c>
      <c r="P104">
        <f>Table1[[#This Row],[Shot]]*Table1[[#This Row],[Cav]]</f>
        <v>0</v>
      </c>
      <c r="Q104">
        <v>0</v>
      </c>
      <c r="R104">
        <f>(Table1[[#This Row],[Part Weight (gm)]]*Table1[[#This Row],[Finish Good]])/1000</f>
        <v>0</v>
      </c>
      <c r="S104">
        <v>0</v>
      </c>
      <c r="T104">
        <f>IF(Table1[[#This Row],[Qty Order]]="Sample","-",IF(Table1[[#This Row],[Qty Order]]="RTFN","-",Table1[[#This Row],[Qty Order]]-Table1[[#This Row],[Qty Accumulate]]))</f>
        <v>0</v>
      </c>
      <c r="U104">
        <f>((Table1[[#This Row],[Shift Output]]*Table1[[#This Row],[Part Weight (gm)]])/1000)+Table1[[#This Row],[Reject Startup (kg)]]+Table1[[#This Row],[Reject Purging (kg)]]+Table1[[#This Row],[Reject Preform (kg)]]</f>
        <v>0</v>
      </c>
      <c r="V104" s="37">
        <f>(Table1[[#This Row],[Gross Weight (gm)]]-Table1[[#This Row],[Part Weight (gm)]])*Table1[[#This Row],[Shift Output]]/1000</f>
        <v>0</v>
      </c>
      <c r="W104" s="3">
        <v>0</v>
      </c>
      <c r="X104" s="36" t="e">
        <f>Table1[[#This Row],[Reject Startup (kg)]]/Table1[[#This Row],[Material Used]]</f>
        <v>#DIV/0!</v>
      </c>
      <c r="Y104" s="3">
        <v>0</v>
      </c>
      <c r="Z104" s="36" t="e">
        <f>Table1[[#This Row],[Reject Prod (kg)]]/Table1[[#This Row],[Material Used]]</f>
        <v>#DIV/0!</v>
      </c>
      <c r="AA104" s="4">
        <v>0</v>
      </c>
      <c r="AB104" s="5">
        <v>12</v>
      </c>
      <c r="AC104" s="4" cm="1">
        <f t="array" ref="AC104">IFERROR(INDEX(ReferenceCard, MATCH(1, (INDEX(ReferenceCard,,1)=Table1[[#This Row],[SAP No]]) * (INDEX(ReferenceCard,,2)=Table1[[#This Row],[Mould No]]), 0), 9),)</f>
        <v>18.8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L104" s="2"/>
      <c r="AM104" s="2"/>
      <c r="AN104" s="3">
        <v>0</v>
      </c>
      <c r="AO104" s="3">
        <v>0</v>
      </c>
      <c r="AP10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5" spans="1:42" x14ac:dyDescent="0.35">
      <c r="A105" s="1">
        <v>46020</v>
      </c>
      <c r="B105">
        <v>1</v>
      </c>
      <c r="C105" t="s">
        <v>18</v>
      </c>
      <c r="D105" t="str" cm="1">
        <f t="array" ref="D105">IFERROR(INDEX(ReferenceCard, MATCH(1, (INDEX(ReferenceCard,,1)=Table1[[#This Row],[SAP No]]) * (INDEX(ReferenceCard,,2)=Table1[[#This Row],[Mould No]]), 0), 6),)</f>
        <v>PPSB520Y</v>
      </c>
      <c r="E105">
        <v>555979</v>
      </c>
      <c r="F105">
        <v>4</v>
      </c>
      <c r="G105" t="str" cm="1">
        <f t="array" ref="G105">IFERROR(INDEX(ReferenceCard, MATCH(1, (INDEX(ReferenceCard,,1)=Table1[[#This Row],[SAP No]]) * (INDEX(ReferenceCard,,2)=Table1[[#This Row],[Mould No]]), 0), 3),)</f>
        <v>BC28-0170-D-APH-5180-3539-PP-6 NOTCHES-MOLD4</v>
      </c>
      <c r="H105">
        <v>0</v>
      </c>
      <c r="I105" cm="1">
        <f t="array" ref="I105">IFERROR(INDEX(ReferenceCard, MATCH(1, (INDEX(ReferenceCard,,1)=Table1[[#This Row],[SAP No]]) * (INDEX(ReferenceCard,,2)=Table1[[#This Row],[Mould No]]), 0), 4),)</f>
        <v>6</v>
      </c>
      <c r="J105" s="4" cm="1">
        <f t="array" ref="J105">IFERROR(INDEX(ReferenceCard, MATCH(1, (INDEX(ReferenceCard,,1)=Table1[[#This Row],[SAP No]]) * (INDEX(ReferenceCard,,2)=Table1[[#This Row],[Mould No]]), 0), 9),)</f>
        <v>28</v>
      </c>
      <c r="K105" s="4" cm="1">
        <f t="array" ref="K105">IFERROR(INDEX(ReferenceCard, MATCH(1, (INDEX(ReferenceCard,,1)=Table1[[#This Row],[SAP No]]) * (INDEX(ReferenceCard,,2)=Table1[[#This Row],[Mould No]]), 0), 7),)</f>
        <v>28</v>
      </c>
      <c r="L105">
        <v>675</v>
      </c>
      <c r="M105">
        <v>0</v>
      </c>
      <c r="N105">
        <v>0</v>
      </c>
      <c r="O105">
        <v>0</v>
      </c>
      <c r="P105">
        <f>Table1[[#This Row],[Shot]]*Table1[[#This Row],[Cav]]</f>
        <v>4050</v>
      </c>
      <c r="Q105">
        <v>0</v>
      </c>
      <c r="R105">
        <f>(Table1[[#This Row],[Part Weight (gm)]]*Table1[[#This Row],[Finish Good]])/1000</f>
        <v>0</v>
      </c>
      <c r="S105">
        <v>0</v>
      </c>
      <c r="T105">
        <f>IF(Table1[[#This Row],[Qty Order]]="Sample","-",IF(Table1[[#This Row],[Qty Order]]="RTFN","-",Table1[[#This Row],[Qty Order]]-Table1[[#This Row],[Qty Accumulate]]))</f>
        <v>0</v>
      </c>
      <c r="U105">
        <f>((Table1[[#This Row],[Shift Output]]*Table1[[#This Row],[Part Weight (gm)]])/1000)+Table1[[#This Row],[Reject Startup (kg)]]+Table1[[#This Row],[Reject Purging (kg)]]+Table1[[#This Row],[Reject Preform (kg)]]</f>
        <v>113.4</v>
      </c>
      <c r="V105" s="37">
        <f>(Table1[[#This Row],[Gross Weight (gm)]]-Table1[[#This Row],[Part Weight (gm)]])*Table1[[#This Row],[Shift Output]]/1000</f>
        <v>0</v>
      </c>
      <c r="W105" s="3">
        <v>0</v>
      </c>
      <c r="X105" s="36">
        <f>Table1[[#This Row],[Reject Startup (kg)]]/Table1[[#This Row],[Material Used]]</f>
        <v>0</v>
      </c>
      <c r="Y105" s="3">
        <v>0</v>
      </c>
      <c r="Z105" s="36">
        <f>Table1[[#This Row],[Reject Prod (kg)]]/Table1[[#This Row],[Material Used]]</f>
        <v>0</v>
      </c>
      <c r="AA105" s="4">
        <v>43.5</v>
      </c>
      <c r="AB105" s="5">
        <v>10</v>
      </c>
      <c r="AC105" s="4" cm="1">
        <f t="array" ref="AC105">IFERROR(INDEX(ReferenceCard, MATCH(1, (INDEX(ReferenceCard,,1)=Table1[[#This Row],[SAP No]]) * (INDEX(ReferenceCard,,2)=Table1[[#This Row],[Mould No]]), 0), 9),)</f>
        <v>28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2</v>
      </c>
      <c r="AJ105" s="5">
        <v>0</v>
      </c>
      <c r="AL105" s="2"/>
      <c r="AM105" s="2"/>
      <c r="AN105" s="3">
        <v>0</v>
      </c>
      <c r="AO105" s="3">
        <v>0</v>
      </c>
      <c r="AP10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6" spans="1:42" x14ac:dyDescent="0.35">
      <c r="A106" s="1">
        <v>46019</v>
      </c>
      <c r="B106">
        <v>2</v>
      </c>
      <c r="C106" t="s">
        <v>0</v>
      </c>
      <c r="D106" t="str" cm="1">
        <f t="array" ref="D106">IFERROR(INDEX(ReferenceCard, MATCH(1, (INDEX(ReferenceCard,,1)=Table1[[#This Row],[SAP No]]) * (INDEX(ReferenceCard,,2)=Table1[[#This Row],[Mould No]]), 0), 6),)</f>
        <v>PET</v>
      </c>
      <c r="E106">
        <v>347623</v>
      </c>
      <c r="F106">
        <v>0</v>
      </c>
      <c r="G106" t="str" cm="1">
        <f t="array" ref="G106">IFERROR(INDEX(ReferenceCard, MATCH(1, (INDEX(ReferenceCard,,1)=Table1[[#This Row],[SAP No]]) * (INDEX(ReferenceCard,,2)=Table1[[#This Row],[Mould No]]), 0), 3),)</f>
        <v>BC28-0375-K-R-CL</v>
      </c>
      <c r="H106">
        <v>0</v>
      </c>
      <c r="I106" cm="1">
        <f t="array" ref="I106">IFERROR(INDEX(ReferenceCard, MATCH(1, (INDEX(ReferenceCard,,1)=Table1[[#This Row],[SAP No]]) * (INDEX(ReferenceCard,,2)=Table1[[#This Row],[Mould No]]), 0), 4),)</f>
        <v>4</v>
      </c>
      <c r="J106" s="4" cm="1">
        <f t="array" ref="J106">IFERROR(INDEX(ReferenceCard, MATCH(1, (INDEX(ReferenceCard,,1)=Table1[[#This Row],[SAP No]]) * (INDEX(ReferenceCard,,2)=Table1[[#This Row],[Mould No]]), 0), 9),)</f>
        <v>35.6</v>
      </c>
      <c r="K106" s="4" cm="1">
        <f t="array" ref="K106">IFERROR(INDEX(ReferenceCard, MATCH(1, (INDEX(ReferenceCard,,1)=Table1[[#This Row],[SAP No]]) * (INDEX(ReferenceCard,,2)=Table1[[#This Row],[Mould No]]), 0), 7),)</f>
        <v>35.6</v>
      </c>
      <c r="L106">
        <v>0</v>
      </c>
      <c r="M106">
        <v>0</v>
      </c>
      <c r="N106">
        <v>0</v>
      </c>
      <c r="O106">
        <v>0</v>
      </c>
      <c r="P106">
        <f>Table1[[#This Row],[Shot]]*Table1[[#This Row],[Cav]]</f>
        <v>0</v>
      </c>
      <c r="Q106">
        <v>0</v>
      </c>
      <c r="R106">
        <f>(Table1[[#This Row],[Part Weight (gm)]]*Table1[[#This Row],[Finish Good]])/1000</f>
        <v>0</v>
      </c>
      <c r="S106">
        <v>0</v>
      </c>
      <c r="T106">
        <f>IF(Table1[[#This Row],[Qty Order]]="Sample","-",IF(Table1[[#This Row],[Qty Order]]="RTFN","-",Table1[[#This Row],[Qty Order]]-Table1[[#This Row],[Qty Accumulate]]))</f>
        <v>0</v>
      </c>
      <c r="U106">
        <f>((Table1[[#This Row],[Shift Output]]*Table1[[#This Row],[Part Weight (gm)]])/1000)+Table1[[#This Row],[Reject Startup (kg)]]+Table1[[#This Row],[Reject Purging (kg)]]+Table1[[#This Row],[Reject Preform (kg)]]</f>
        <v>0</v>
      </c>
      <c r="V106" s="37">
        <f>(Table1[[#This Row],[Gross Weight (gm)]]-Table1[[#This Row],[Part Weight (gm)]])*Table1[[#This Row],[Shift Output]]/1000</f>
        <v>0</v>
      </c>
      <c r="W106" s="3">
        <v>0</v>
      </c>
      <c r="X106" s="36" t="e">
        <f>Table1[[#This Row],[Reject Startup (kg)]]/Table1[[#This Row],[Material Used]]</f>
        <v>#DIV/0!</v>
      </c>
      <c r="Y106" s="3">
        <v>0</v>
      </c>
      <c r="Z106" s="36" t="e">
        <f>Table1[[#This Row],[Reject Prod (kg)]]/Table1[[#This Row],[Material Used]]</f>
        <v>#DIV/0!</v>
      </c>
      <c r="AA106" s="4">
        <v>0</v>
      </c>
      <c r="AB106" s="5">
        <v>12</v>
      </c>
      <c r="AC106" s="4" cm="1">
        <f t="array" ref="AC106">IFERROR(INDEX(ReferenceCard, MATCH(1, (INDEX(ReferenceCard,,1)=Table1[[#This Row],[SAP No]]) * (INDEX(ReferenceCard,,2)=Table1[[#This Row],[Mould No]]), 0), 9),)</f>
        <v>35.6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L106" s="2"/>
      <c r="AM106" s="2"/>
      <c r="AN106" s="3">
        <v>0</v>
      </c>
      <c r="AO106" s="3">
        <v>0</v>
      </c>
      <c r="AP10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7" spans="1:42" x14ac:dyDescent="0.35">
      <c r="A107" s="1">
        <v>46019</v>
      </c>
      <c r="B107">
        <v>2</v>
      </c>
      <c r="C107" t="s">
        <v>3</v>
      </c>
      <c r="D107" t="str" cm="1">
        <f t="array" ref="D107">IFERROR(INDEX(ReferenceCard, MATCH(1, (INDEX(ReferenceCard,,1)=Table1[[#This Row],[SAP No]]) * (INDEX(ReferenceCard,,2)=Table1[[#This Row],[Mould No]]), 0), 6),)</f>
        <v>PET</v>
      </c>
      <c r="E107">
        <v>423215</v>
      </c>
      <c r="F107">
        <v>0</v>
      </c>
      <c r="G107" t="str" cm="1">
        <f t="array" ref="G107">IFERROR(INDEX(ReferenceCard, MATCH(1, (INDEX(ReferenceCard,,1)=Table1[[#This Row],[SAP No]]) * (INDEX(ReferenceCard,,2)=Table1[[#This Row],[Mould No]]), 0), 3),)</f>
        <v>BC28-0355-SCC-A-Q-CL</v>
      </c>
      <c r="H107">
        <v>0</v>
      </c>
      <c r="I107" cm="1">
        <f t="array" ref="I107">IFERROR(INDEX(ReferenceCard, MATCH(1, (INDEX(ReferenceCard,,1)=Table1[[#This Row],[SAP No]]) * (INDEX(ReferenceCard,,2)=Table1[[#This Row],[Mould No]]), 0), 4),)</f>
        <v>4</v>
      </c>
      <c r="J107" s="4" cm="1">
        <f t="array" ref="J107">IFERROR(INDEX(ReferenceCard, MATCH(1, (INDEX(ReferenceCard,,1)=Table1[[#This Row],[SAP No]]) * (INDEX(ReferenceCard,,2)=Table1[[#This Row],[Mould No]]), 0), 9),)</f>
        <v>24</v>
      </c>
      <c r="K107" s="4" cm="1">
        <f t="array" ref="K107">IFERROR(INDEX(ReferenceCard, MATCH(1, (INDEX(ReferenceCard,,1)=Table1[[#This Row],[SAP No]]) * (INDEX(ReferenceCard,,2)=Table1[[#This Row],[Mould No]]), 0), 7),)</f>
        <v>24</v>
      </c>
      <c r="L107">
        <v>0</v>
      </c>
      <c r="M107">
        <v>0</v>
      </c>
      <c r="N107">
        <v>0</v>
      </c>
      <c r="O107">
        <v>0</v>
      </c>
      <c r="P107">
        <f>Table1[[#This Row],[Shot]]*Table1[[#This Row],[Cav]]</f>
        <v>0</v>
      </c>
      <c r="Q107">
        <v>0</v>
      </c>
      <c r="R107">
        <f>(Table1[[#This Row],[Part Weight (gm)]]*Table1[[#This Row],[Finish Good]])/1000</f>
        <v>0</v>
      </c>
      <c r="S107">
        <v>0</v>
      </c>
      <c r="T107">
        <f>IF(Table1[[#This Row],[Qty Order]]="Sample","-",IF(Table1[[#This Row],[Qty Order]]="RTFN","-",Table1[[#This Row],[Qty Order]]-Table1[[#This Row],[Qty Accumulate]]))</f>
        <v>0</v>
      </c>
      <c r="U107">
        <f>((Table1[[#This Row],[Shift Output]]*Table1[[#This Row],[Part Weight (gm)]])/1000)+Table1[[#This Row],[Reject Startup (kg)]]+Table1[[#This Row],[Reject Purging (kg)]]+Table1[[#This Row],[Reject Preform (kg)]]</f>
        <v>0</v>
      </c>
      <c r="V107" s="37">
        <f>(Table1[[#This Row],[Gross Weight (gm)]]-Table1[[#This Row],[Part Weight (gm)]])*Table1[[#This Row],[Shift Output]]/1000</f>
        <v>0</v>
      </c>
      <c r="W107" s="3">
        <v>0</v>
      </c>
      <c r="X107" s="36" t="e">
        <f>Table1[[#This Row],[Reject Startup (kg)]]/Table1[[#This Row],[Material Used]]</f>
        <v>#DIV/0!</v>
      </c>
      <c r="Y107" s="3">
        <v>0</v>
      </c>
      <c r="Z107" s="36" t="e">
        <f>Table1[[#This Row],[Reject Prod (kg)]]/Table1[[#This Row],[Material Used]]</f>
        <v>#DIV/0!</v>
      </c>
      <c r="AA107" s="4">
        <v>0</v>
      </c>
      <c r="AB107" s="5">
        <v>0</v>
      </c>
      <c r="AC107" s="4" cm="1">
        <f t="array" ref="AC107">IFERROR(INDEX(ReferenceCard, MATCH(1, (INDEX(ReferenceCard,,1)=Table1[[#This Row],[SAP No]]) * (INDEX(ReferenceCard,,2)=Table1[[#This Row],[Mould No]]), 0), 9),)</f>
        <v>24</v>
      </c>
      <c r="AD107" s="5">
        <v>0</v>
      </c>
      <c r="AE107" s="5">
        <v>0</v>
      </c>
      <c r="AF107" s="5">
        <v>0</v>
      </c>
      <c r="AG107" s="5">
        <v>0</v>
      </c>
      <c r="AH107" s="5">
        <v>12</v>
      </c>
      <c r="AI107" s="5">
        <v>0</v>
      </c>
      <c r="AJ107" s="5">
        <v>0</v>
      </c>
      <c r="AL107" s="2"/>
      <c r="AM107" s="2"/>
      <c r="AN107" s="3">
        <v>0</v>
      </c>
      <c r="AO107" s="3">
        <v>0</v>
      </c>
      <c r="AP10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8" spans="1:42" x14ac:dyDescent="0.35">
      <c r="A108" s="1">
        <v>46019</v>
      </c>
      <c r="B108">
        <v>2</v>
      </c>
      <c r="C108" t="s">
        <v>5</v>
      </c>
      <c r="D108" t="str" cm="1">
        <f t="array" ref="D108">IFERROR(INDEX(ReferenceCard, MATCH(1, (INDEX(ReferenceCard,,1)=Table1[[#This Row],[SAP No]]) * (INDEX(ReferenceCard,,2)=Table1[[#This Row],[Mould No]]), 0), 6),)</f>
        <v>PET</v>
      </c>
      <c r="E108">
        <v>543590</v>
      </c>
      <c r="F108">
        <v>0</v>
      </c>
      <c r="G108" t="str" cm="1">
        <f t="array" ref="G108">IFERROR(INDEX(ReferenceCard, MATCH(1, (INDEX(ReferenceCard,,1)=Table1[[#This Row],[SAP No]]) * (INDEX(ReferenceCard,,2)=Table1[[#This Row],[Mould No]]), 0), 3),)</f>
        <v>BC28-0130-R-R-AM</v>
      </c>
      <c r="H108">
        <v>0</v>
      </c>
      <c r="I108" cm="1">
        <f t="array" ref="I108">IFERROR(INDEX(ReferenceCard, MATCH(1, (INDEX(ReferenceCard,,1)=Table1[[#This Row],[SAP No]]) * (INDEX(ReferenceCard,,2)=Table1[[#This Row],[Mould No]]), 0), 4),)</f>
        <v>4</v>
      </c>
      <c r="J108" s="4" cm="1">
        <f t="array" ref="J108">IFERROR(INDEX(ReferenceCard, MATCH(1, (INDEX(ReferenceCard,,1)=Table1[[#This Row],[SAP No]]) * (INDEX(ReferenceCard,,2)=Table1[[#This Row],[Mould No]]), 0), 9),)</f>
        <v>19</v>
      </c>
      <c r="K108" s="4" cm="1">
        <f t="array" ref="K108">IFERROR(INDEX(ReferenceCard, MATCH(1, (INDEX(ReferenceCard,,1)=Table1[[#This Row],[SAP No]]) * (INDEX(ReferenceCard,,2)=Table1[[#This Row],[Mould No]]), 0), 7),)</f>
        <v>19</v>
      </c>
      <c r="L108">
        <v>0</v>
      </c>
      <c r="M108">
        <v>0</v>
      </c>
      <c r="N108">
        <v>0</v>
      </c>
      <c r="O108">
        <v>0</v>
      </c>
      <c r="P108">
        <f>Table1[[#This Row],[Shot]]*Table1[[#This Row],[Cav]]</f>
        <v>0</v>
      </c>
      <c r="Q108">
        <v>0</v>
      </c>
      <c r="R108">
        <f>(Table1[[#This Row],[Part Weight (gm)]]*Table1[[#This Row],[Finish Good]])/1000</f>
        <v>0</v>
      </c>
      <c r="S108">
        <v>0</v>
      </c>
      <c r="T108">
        <f>IF(Table1[[#This Row],[Qty Order]]="Sample","-",IF(Table1[[#This Row],[Qty Order]]="RTFN","-",Table1[[#This Row],[Qty Order]]-Table1[[#This Row],[Qty Accumulate]]))</f>
        <v>0</v>
      </c>
      <c r="U108">
        <f>((Table1[[#This Row],[Shift Output]]*Table1[[#This Row],[Part Weight (gm)]])/1000)+Table1[[#This Row],[Reject Startup (kg)]]+Table1[[#This Row],[Reject Purging (kg)]]+Table1[[#This Row],[Reject Preform (kg)]]</f>
        <v>0</v>
      </c>
      <c r="V108" s="37">
        <f>(Table1[[#This Row],[Gross Weight (gm)]]-Table1[[#This Row],[Part Weight (gm)]])*Table1[[#This Row],[Shift Output]]/1000</f>
        <v>0</v>
      </c>
      <c r="W108" s="3">
        <v>0</v>
      </c>
      <c r="X108" s="36" t="e">
        <f>Table1[[#This Row],[Reject Startup (kg)]]/Table1[[#This Row],[Material Used]]</f>
        <v>#DIV/0!</v>
      </c>
      <c r="Y108" s="3">
        <v>0</v>
      </c>
      <c r="Z108" s="36" t="e">
        <f>Table1[[#This Row],[Reject Prod (kg)]]/Table1[[#This Row],[Material Used]]</f>
        <v>#DIV/0!</v>
      </c>
      <c r="AA108" s="4">
        <v>0</v>
      </c>
      <c r="AB108" s="5">
        <v>12</v>
      </c>
      <c r="AC108" s="4" cm="1">
        <f t="array" ref="AC108">IFERROR(INDEX(ReferenceCard, MATCH(1, (INDEX(ReferenceCard,,1)=Table1[[#This Row],[SAP No]]) * (INDEX(ReferenceCard,,2)=Table1[[#This Row],[Mould No]]), 0), 9),)</f>
        <v>19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L108" s="2"/>
      <c r="AM108" s="2"/>
      <c r="AN108" s="3">
        <v>0</v>
      </c>
      <c r="AO108" s="3">
        <v>0</v>
      </c>
      <c r="AP10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09" spans="1:42" x14ac:dyDescent="0.35">
      <c r="A109" s="1">
        <v>46019</v>
      </c>
      <c r="B109">
        <v>2</v>
      </c>
      <c r="C109" t="s">
        <v>7</v>
      </c>
      <c r="D109" t="str" cm="1">
        <f t="array" ref="D109">IFERROR(INDEX(ReferenceCard, MATCH(1, (INDEX(ReferenceCard,,1)=Table1[[#This Row],[SAP No]]) * (INDEX(ReferenceCard,,2)=Table1[[#This Row],[Mould No]]), 0), 6),)</f>
        <v>PET</v>
      </c>
      <c r="E109">
        <v>451191</v>
      </c>
      <c r="F109">
        <v>0</v>
      </c>
      <c r="G109" t="str" cm="1">
        <f t="array" ref="G109">IFERROR(INDEX(ReferenceCard, MATCH(1, (INDEX(ReferenceCard,,1)=Table1[[#This Row],[SAP No]]) * (INDEX(ReferenceCard,,2)=Table1[[#This Row],[Mould No]]), 0), 3),)</f>
        <v>BX38-0350-Z-C-CL</v>
      </c>
      <c r="H109">
        <v>0</v>
      </c>
      <c r="I109" cm="1">
        <f t="array" ref="I109">IFERROR(INDEX(ReferenceCard, MATCH(1, (INDEX(ReferenceCard,,1)=Table1[[#This Row],[SAP No]]) * (INDEX(ReferenceCard,,2)=Table1[[#This Row],[Mould No]]), 0), 4),)</f>
        <v>4</v>
      </c>
      <c r="J109" s="4" cm="1">
        <f t="array" ref="J109">IFERROR(INDEX(ReferenceCard, MATCH(1, (INDEX(ReferenceCard,,1)=Table1[[#This Row],[SAP No]]) * (INDEX(ReferenceCard,,2)=Table1[[#This Row],[Mould No]]), 0), 9),)</f>
        <v>29</v>
      </c>
      <c r="K109" s="4" cm="1">
        <f t="array" ref="K109">IFERROR(INDEX(ReferenceCard, MATCH(1, (INDEX(ReferenceCard,,1)=Table1[[#This Row],[SAP No]]) * (INDEX(ReferenceCard,,2)=Table1[[#This Row],[Mould No]]), 0), 7),)</f>
        <v>29</v>
      </c>
      <c r="L109">
        <v>0</v>
      </c>
      <c r="M109">
        <v>0</v>
      </c>
      <c r="N109">
        <v>0</v>
      </c>
      <c r="O109">
        <v>0</v>
      </c>
      <c r="P109">
        <f>Table1[[#This Row],[Shot]]*Table1[[#This Row],[Cav]]</f>
        <v>0</v>
      </c>
      <c r="Q109">
        <v>0</v>
      </c>
      <c r="R109">
        <f>(Table1[[#This Row],[Part Weight (gm)]]*Table1[[#This Row],[Finish Good]])/1000</f>
        <v>0</v>
      </c>
      <c r="S109">
        <v>0</v>
      </c>
      <c r="T109">
        <f>IF(Table1[[#This Row],[Qty Order]]="Sample","-",IF(Table1[[#This Row],[Qty Order]]="RTFN","-",Table1[[#This Row],[Qty Order]]-Table1[[#This Row],[Qty Accumulate]]))</f>
        <v>0</v>
      </c>
      <c r="U109">
        <f>((Table1[[#This Row],[Shift Output]]*Table1[[#This Row],[Part Weight (gm)]])/1000)+Table1[[#This Row],[Reject Startup (kg)]]+Table1[[#This Row],[Reject Purging (kg)]]+Table1[[#This Row],[Reject Preform (kg)]]</f>
        <v>0</v>
      </c>
      <c r="V109" s="37">
        <f>(Table1[[#This Row],[Gross Weight (gm)]]-Table1[[#This Row],[Part Weight (gm)]])*Table1[[#This Row],[Shift Output]]/1000</f>
        <v>0</v>
      </c>
      <c r="W109" s="3">
        <v>0</v>
      </c>
      <c r="X109" s="36" t="e">
        <f>Table1[[#This Row],[Reject Startup (kg)]]/Table1[[#This Row],[Material Used]]</f>
        <v>#DIV/0!</v>
      </c>
      <c r="Y109" s="3">
        <v>0</v>
      </c>
      <c r="Z109" s="36" t="e">
        <f>Table1[[#This Row],[Reject Prod (kg)]]/Table1[[#This Row],[Material Used]]</f>
        <v>#DIV/0!</v>
      </c>
      <c r="AA109" s="4">
        <v>0</v>
      </c>
      <c r="AB109" s="5">
        <v>12</v>
      </c>
      <c r="AC109" s="4" cm="1">
        <f t="array" ref="AC109">IFERROR(INDEX(ReferenceCard, MATCH(1, (INDEX(ReferenceCard,,1)=Table1[[#This Row],[SAP No]]) * (INDEX(ReferenceCard,,2)=Table1[[#This Row],[Mould No]]), 0), 9),)</f>
        <v>29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L109" s="2"/>
      <c r="AM109" s="2"/>
      <c r="AN109" s="3">
        <v>0</v>
      </c>
      <c r="AO109" s="3">
        <v>0</v>
      </c>
      <c r="AP10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0" spans="1:42" x14ac:dyDescent="0.35">
      <c r="A110" s="1">
        <v>46019</v>
      </c>
      <c r="B110">
        <v>2</v>
      </c>
      <c r="C110" t="s">
        <v>9</v>
      </c>
      <c r="D110" t="str" cm="1">
        <f t="array" ref="D110">IFERROR(INDEX(ReferenceCard, MATCH(1, (INDEX(ReferenceCard,,1)=Table1[[#This Row],[SAP No]]) * (INDEX(ReferenceCard,,2)=Table1[[#This Row],[Mould No]]), 0), 6),)</f>
        <v>PET</v>
      </c>
      <c r="E110">
        <v>322451</v>
      </c>
      <c r="F110">
        <v>0</v>
      </c>
      <c r="G110" t="str" cm="1">
        <f t="array" ref="G110">IFERROR(INDEX(ReferenceCard, MATCH(1, (INDEX(ReferenceCard,,1)=Table1[[#This Row],[SAP No]]) * (INDEX(ReferenceCard,,2)=Table1[[#This Row],[Mould No]]), 0), 3),)</f>
        <v>BC28-0500-WNHP-R-BR</v>
      </c>
      <c r="H110">
        <v>0</v>
      </c>
      <c r="I110" cm="1">
        <f t="array" ref="I110">IFERROR(INDEX(ReferenceCard, MATCH(1, (INDEX(ReferenceCard,,1)=Table1[[#This Row],[SAP No]]) * (INDEX(ReferenceCard,,2)=Table1[[#This Row],[Mould No]]), 0), 4),)</f>
        <v>4</v>
      </c>
      <c r="J110" s="4" cm="1">
        <f t="array" ref="J110">IFERROR(INDEX(ReferenceCard, MATCH(1, (INDEX(ReferenceCard,,1)=Table1[[#This Row],[SAP No]]) * (INDEX(ReferenceCard,,2)=Table1[[#This Row],[Mould No]]), 0), 9),)</f>
        <v>45.6</v>
      </c>
      <c r="K110" s="4" cm="1">
        <f t="array" ref="K110">IFERROR(INDEX(ReferenceCard, MATCH(1, (INDEX(ReferenceCard,,1)=Table1[[#This Row],[SAP No]]) * (INDEX(ReferenceCard,,2)=Table1[[#This Row],[Mould No]]), 0), 7),)</f>
        <v>45.6</v>
      </c>
      <c r="L110">
        <v>0</v>
      </c>
      <c r="M110">
        <v>0</v>
      </c>
      <c r="N110">
        <v>0</v>
      </c>
      <c r="O110">
        <v>0</v>
      </c>
      <c r="P110">
        <f>Table1[[#This Row],[Shot]]*Table1[[#This Row],[Cav]]</f>
        <v>0</v>
      </c>
      <c r="Q110">
        <v>0</v>
      </c>
      <c r="R110">
        <f>(Table1[[#This Row],[Part Weight (gm)]]*Table1[[#This Row],[Finish Good]])/1000</f>
        <v>0</v>
      </c>
      <c r="S110">
        <v>0</v>
      </c>
      <c r="T110">
        <f>IF(Table1[[#This Row],[Qty Order]]="Sample","-",IF(Table1[[#This Row],[Qty Order]]="RTFN","-",Table1[[#This Row],[Qty Order]]-Table1[[#This Row],[Qty Accumulate]]))</f>
        <v>0</v>
      </c>
      <c r="U110">
        <f>((Table1[[#This Row],[Shift Output]]*Table1[[#This Row],[Part Weight (gm)]])/1000)+Table1[[#This Row],[Reject Startup (kg)]]+Table1[[#This Row],[Reject Purging (kg)]]+Table1[[#This Row],[Reject Preform (kg)]]</f>
        <v>0</v>
      </c>
      <c r="V110" s="37">
        <f>(Table1[[#This Row],[Gross Weight (gm)]]-Table1[[#This Row],[Part Weight (gm)]])*Table1[[#This Row],[Shift Output]]/1000</f>
        <v>0</v>
      </c>
      <c r="W110" s="3">
        <v>0</v>
      </c>
      <c r="X110" s="36" t="e">
        <f>Table1[[#This Row],[Reject Startup (kg)]]/Table1[[#This Row],[Material Used]]</f>
        <v>#DIV/0!</v>
      </c>
      <c r="Y110" s="3">
        <v>0</v>
      </c>
      <c r="Z110" s="36" t="e">
        <f>Table1[[#This Row],[Reject Prod (kg)]]/Table1[[#This Row],[Material Used]]</f>
        <v>#DIV/0!</v>
      </c>
      <c r="AA110" s="4">
        <v>0</v>
      </c>
      <c r="AB110" s="5">
        <v>12</v>
      </c>
      <c r="AC110" s="4" cm="1">
        <f t="array" ref="AC110">IFERROR(INDEX(ReferenceCard, MATCH(1, (INDEX(ReferenceCard,,1)=Table1[[#This Row],[SAP No]]) * (INDEX(ReferenceCard,,2)=Table1[[#This Row],[Mould No]]), 0), 9),)</f>
        <v>45.6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L110" s="2"/>
      <c r="AM110" s="2"/>
      <c r="AN110" s="3">
        <v>0</v>
      </c>
      <c r="AO110" s="3">
        <v>0</v>
      </c>
      <c r="AP11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1" spans="1:42" x14ac:dyDescent="0.35">
      <c r="A111" s="1">
        <v>46019</v>
      </c>
      <c r="B111">
        <v>2</v>
      </c>
      <c r="C111" t="s">
        <v>11</v>
      </c>
      <c r="D111" t="str" cm="1">
        <f t="array" ref="D111">IFERROR(INDEX(ReferenceCard, MATCH(1, (INDEX(ReferenceCard,,1)=Table1[[#This Row],[SAP No]]) * (INDEX(ReferenceCard,,2)=Table1[[#This Row],[Mould No]]), 0), 6),)</f>
        <v>rPET</v>
      </c>
      <c r="E111">
        <v>620994</v>
      </c>
      <c r="F111">
        <v>0</v>
      </c>
      <c r="G111" t="str" cm="1">
        <f t="array" ref="G111">IFERROR(INDEX(ReferenceCard, MATCH(1, (INDEX(ReferenceCard,,1)=Table1[[#This Row],[SAP No]]) * (INDEX(ReferenceCard,,2)=Table1[[#This Row],[Mould No]]), 0), 3),)</f>
        <v>JJ63-0400-SH-S-CL-rPET</v>
      </c>
      <c r="H111">
        <v>0</v>
      </c>
      <c r="I111" cm="1">
        <f t="array" ref="I111">IFERROR(INDEX(ReferenceCard, MATCH(1, (INDEX(ReferenceCard,,1)=Table1[[#This Row],[SAP No]]) * (INDEX(ReferenceCard,,2)=Table1[[#This Row],[Mould No]]), 0), 4),)</f>
        <v>4</v>
      </c>
      <c r="J111" s="4" cm="1">
        <f t="array" ref="J111">IFERROR(INDEX(ReferenceCard, MATCH(1, (INDEX(ReferenceCard,,1)=Table1[[#This Row],[SAP No]]) * (INDEX(ReferenceCard,,2)=Table1[[#This Row],[Mould No]]), 0), 9),)</f>
        <v>32.74</v>
      </c>
      <c r="K111" s="4" cm="1">
        <f t="array" ref="K111">IFERROR(INDEX(ReferenceCard, MATCH(1, (INDEX(ReferenceCard,,1)=Table1[[#This Row],[SAP No]]) * (INDEX(ReferenceCard,,2)=Table1[[#This Row],[Mould No]]), 0), 7),)</f>
        <v>33</v>
      </c>
      <c r="L111">
        <v>0</v>
      </c>
      <c r="M111">
        <v>0</v>
      </c>
      <c r="N111">
        <v>0</v>
      </c>
      <c r="O111">
        <v>0</v>
      </c>
      <c r="P111">
        <f>Table1[[#This Row],[Shot]]*Table1[[#This Row],[Cav]]</f>
        <v>0</v>
      </c>
      <c r="Q111">
        <v>0</v>
      </c>
      <c r="R111">
        <f>(Table1[[#This Row],[Part Weight (gm)]]*Table1[[#This Row],[Finish Good]])/1000</f>
        <v>0</v>
      </c>
      <c r="S111">
        <v>0</v>
      </c>
      <c r="T111">
        <f>IF(Table1[[#This Row],[Qty Order]]="Sample","-",IF(Table1[[#This Row],[Qty Order]]="RTFN","-",Table1[[#This Row],[Qty Order]]-Table1[[#This Row],[Qty Accumulate]]))</f>
        <v>0</v>
      </c>
      <c r="U111">
        <f>((Table1[[#This Row],[Shift Output]]*Table1[[#This Row],[Part Weight (gm)]])/1000)+Table1[[#This Row],[Reject Startup (kg)]]+Table1[[#This Row],[Reject Purging (kg)]]+Table1[[#This Row],[Reject Preform (kg)]]</f>
        <v>0</v>
      </c>
      <c r="V111" s="37">
        <f>(Table1[[#This Row],[Gross Weight (gm)]]-Table1[[#This Row],[Part Weight (gm)]])*Table1[[#This Row],[Shift Output]]/1000</f>
        <v>0</v>
      </c>
      <c r="W111" s="3">
        <v>0</v>
      </c>
      <c r="X111" s="36" t="e">
        <f>Table1[[#This Row],[Reject Startup (kg)]]/Table1[[#This Row],[Material Used]]</f>
        <v>#DIV/0!</v>
      </c>
      <c r="Y111" s="3">
        <v>0</v>
      </c>
      <c r="Z111" s="36" t="e">
        <f>Table1[[#This Row],[Reject Prod (kg)]]/Table1[[#This Row],[Material Used]]</f>
        <v>#DIV/0!</v>
      </c>
      <c r="AA111" s="4">
        <v>0</v>
      </c>
      <c r="AB111" s="5">
        <v>12</v>
      </c>
      <c r="AC111" s="4" cm="1">
        <f t="array" ref="AC111">IFERROR(INDEX(ReferenceCard, MATCH(1, (INDEX(ReferenceCard,,1)=Table1[[#This Row],[SAP No]]) * (INDEX(ReferenceCard,,2)=Table1[[#This Row],[Mould No]]), 0), 9),)</f>
        <v>32.74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L111" s="2"/>
      <c r="AM111" s="2"/>
      <c r="AN111" s="3">
        <v>0</v>
      </c>
      <c r="AO111" s="3">
        <v>0</v>
      </c>
      <c r="AP11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2" spans="1:42" x14ac:dyDescent="0.35">
      <c r="A112" s="1">
        <v>46019</v>
      </c>
      <c r="B112">
        <v>2</v>
      </c>
      <c r="C112" t="s">
        <v>14</v>
      </c>
      <c r="D112" t="str" cm="1">
        <f t="array" ref="D112">IFERROR(INDEX(ReferenceCard, MATCH(1, (INDEX(ReferenceCard,,1)=Table1[[#This Row],[SAP No]]) * (INDEX(ReferenceCard,,2)=Table1[[#This Row],[Mould No]]), 0), 6),)</f>
        <v>PET</v>
      </c>
      <c r="E112">
        <v>322444</v>
      </c>
      <c r="F112">
        <v>0</v>
      </c>
      <c r="G112" t="str" cm="1">
        <f t="array" ref="G112">IFERROR(INDEX(ReferenceCard, MATCH(1, (INDEX(ReferenceCard,,1)=Table1[[#This Row],[SAP No]]) * (INDEX(ReferenceCard,,2)=Table1[[#This Row],[Mould No]]), 0), 3),)</f>
        <v>JJ63-0400-RH-R-CL</v>
      </c>
      <c r="H112">
        <v>0</v>
      </c>
      <c r="I112" cm="1">
        <f t="array" ref="I112">IFERROR(INDEX(ReferenceCard, MATCH(1, (INDEX(ReferenceCard,,1)=Table1[[#This Row],[SAP No]]) * (INDEX(ReferenceCard,,2)=Table1[[#This Row],[Mould No]]), 0), 4),)</f>
        <v>4</v>
      </c>
      <c r="J112" s="4" cm="1">
        <f t="array" ref="J112">IFERROR(INDEX(ReferenceCard, MATCH(1, (INDEX(ReferenceCard,,1)=Table1[[#This Row],[SAP No]]) * (INDEX(ReferenceCard,,2)=Table1[[#This Row],[Mould No]]), 0), 9),)</f>
        <v>32.74</v>
      </c>
      <c r="K112" s="4" cm="1">
        <f t="array" ref="K112">IFERROR(INDEX(ReferenceCard, MATCH(1, (INDEX(ReferenceCard,,1)=Table1[[#This Row],[SAP No]]) * (INDEX(ReferenceCard,,2)=Table1[[#This Row],[Mould No]]), 0), 7),)</f>
        <v>34.5</v>
      </c>
      <c r="L112">
        <v>0</v>
      </c>
      <c r="M112">
        <v>0</v>
      </c>
      <c r="N112">
        <v>0</v>
      </c>
      <c r="O112">
        <v>0</v>
      </c>
      <c r="P112">
        <f>Table1[[#This Row],[Shot]]*Table1[[#This Row],[Cav]]</f>
        <v>0</v>
      </c>
      <c r="Q112">
        <v>0</v>
      </c>
      <c r="R112">
        <f>(Table1[[#This Row],[Part Weight (gm)]]*Table1[[#This Row],[Finish Good]])/1000</f>
        <v>0</v>
      </c>
      <c r="S112">
        <v>0</v>
      </c>
      <c r="T112">
        <f>IF(Table1[[#This Row],[Qty Order]]="Sample","-",IF(Table1[[#This Row],[Qty Order]]="RTFN","-",Table1[[#This Row],[Qty Order]]-Table1[[#This Row],[Qty Accumulate]]))</f>
        <v>0</v>
      </c>
      <c r="U112">
        <f>((Table1[[#This Row],[Shift Output]]*Table1[[#This Row],[Part Weight (gm)]])/1000)+Table1[[#This Row],[Reject Startup (kg)]]+Table1[[#This Row],[Reject Purging (kg)]]+Table1[[#This Row],[Reject Preform (kg)]]</f>
        <v>0</v>
      </c>
      <c r="V112" s="37">
        <f>(Table1[[#This Row],[Gross Weight (gm)]]-Table1[[#This Row],[Part Weight (gm)]])*Table1[[#This Row],[Shift Output]]/1000</f>
        <v>0</v>
      </c>
      <c r="W112" s="3">
        <v>0</v>
      </c>
      <c r="X112" s="36" t="e">
        <f>Table1[[#This Row],[Reject Startup (kg)]]/Table1[[#This Row],[Material Used]]</f>
        <v>#DIV/0!</v>
      </c>
      <c r="Y112" s="3">
        <v>0</v>
      </c>
      <c r="Z112" s="36" t="e">
        <f>Table1[[#This Row],[Reject Prod (kg)]]/Table1[[#This Row],[Material Used]]</f>
        <v>#DIV/0!</v>
      </c>
      <c r="AA112" s="4">
        <v>0</v>
      </c>
      <c r="AB112" s="5">
        <v>0</v>
      </c>
      <c r="AC112" s="4" cm="1">
        <f t="array" ref="AC112">IFERROR(INDEX(ReferenceCard, MATCH(1, (INDEX(ReferenceCard,,1)=Table1[[#This Row],[SAP No]]) * (INDEX(ReferenceCard,,2)=Table1[[#This Row],[Mould No]]), 0), 9),)</f>
        <v>32.74</v>
      </c>
      <c r="AD112" s="5">
        <v>0</v>
      </c>
      <c r="AE112" s="5">
        <v>0</v>
      </c>
      <c r="AF112" s="5">
        <v>0</v>
      </c>
      <c r="AG112" s="5">
        <v>0</v>
      </c>
      <c r="AH112" s="5">
        <v>12</v>
      </c>
      <c r="AI112" s="5">
        <v>0</v>
      </c>
      <c r="AJ112" s="5">
        <v>0</v>
      </c>
      <c r="AL112" s="2"/>
      <c r="AM112" s="2"/>
      <c r="AN112" s="3">
        <v>0</v>
      </c>
      <c r="AO112" s="3">
        <v>0</v>
      </c>
      <c r="AP11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3" spans="1:42" x14ac:dyDescent="0.35">
      <c r="A113" s="1">
        <v>46019</v>
      </c>
      <c r="B113">
        <v>2</v>
      </c>
      <c r="C113" t="s">
        <v>16</v>
      </c>
      <c r="D113" t="str" cm="1">
        <f t="array" ref="D113">IFERROR(INDEX(ReferenceCard, MATCH(1, (INDEX(ReferenceCard,,1)=Table1[[#This Row],[SAP No]]) * (INDEX(ReferenceCard,,2)=Table1[[#This Row],[Mould No]]), 0), 6),)</f>
        <v>PET</v>
      </c>
      <c r="E113">
        <v>324206</v>
      </c>
      <c r="F113">
        <v>0</v>
      </c>
      <c r="G113" t="str" cm="1">
        <f t="array" ref="G113">IFERROR(INDEX(ReferenceCard, MATCH(1, (INDEX(ReferenceCard,,1)=Table1[[#This Row],[SAP No]]) * (INDEX(ReferenceCard,,2)=Table1[[#This Row],[Mould No]]), 0), 3),)</f>
        <v>BX38-1000-HC-S-CL</v>
      </c>
      <c r="H113">
        <v>0</v>
      </c>
      <c r="I113" cm="1">
        <f t="array" ref="I113">IFERROR(INDEX(ReferenceCard, MATCH(1, (INDEX(ReferenceCard,,1)=Table1[[#This Row],[SAP No]]) * (INDEX(ReferenceCard,,2)=Table1[[#This Row],[Mould No]]), 0), 4),)</f>
        <v>4</v>
      </c>
      <c r="J113" s="4" cm="1">
        <f t="array" ref="J113">IFERROR(INDEX(ReferenceCard, MATCH(1, (INDEX(ReferenceCard,,1)=Table1[[#This Row],[SAP No]]) * (INDEX(ReferenceCard,,2)=Table1[[#This Row],[Mould No]]), 0), 9),)</f>
        <v>49</v>
      </c>
      <c r="K113" s="4" cm="1">
        <f t="array" ref="K113">IFERROR(INDEX(ReferenceCard, MATCH(1, (INDEX(ReferenceCard,,1)=Table1[[#This Row],[SAP No]]) * (INDEX(ReferenceCard,,2)=Table1[[#This Row],[Mould No]]), 0), 7),)</f>
        <v>48</v>
      </c>
      <c r="L113">
        <v>0</v>
      </c>
      <c r="M113">
        <v>0</v>
      </c>
      <c r="N113">
        <v>0</v>
      </c>
      <c r="O113">
        <v>0</v>
      </c>
      <c r="P113">
        <f>Table1[[#This Row],[Shot]]*Table1[[#This Row],[Cav]]</f>
        <v>0</v>
      </c>
      <c r="Q113">
        <v>0</v>
      </c>
      <c r="R113">
        <f>(Table1[[#This Row],[Part Weight (gm)]]*Table1[[#This Row],[Finish Good]])/1000</f>
        <v>0</v>
      </c>
      <c r="S113">
        <v>0</v>
      </c>
      <c r="T113">
        <f>IF(Table1[[#This Row],[Qty Order]]="Sample","-",IF(Table1[[#This Row],[Qty Order]]="RTFN","-",Table1[[#This Row],[Qty Order]]-Table1[[#This Row],[Qty Accumulate]]))</f>
        <v>0</v>
      </c>
      <c r="U113">
        <f>((Table1[[#This Row],[Shift Output]]*Table1[[#This Row],[Part Weight (gm)]])/1000)+Table1[[#This Row],[Reject Startup (kg)]]+Table1[[#This Row],[Reject Purging (kg)]]+Table1[[#This Row],[Reject Preform (kg)]]</f>
        <v>0</v>
      </c>
      <c r="V113" s="37">
        <f>(Table1[[#This Row],[Gross Weight (gm)]]-Table1[[#This Row],[Part Weight (gm)]])*Table1[[#This Row],[Shift Output]]/1000</f>
        <v>0</v>
      </c>
      <c r="W113" s="3">
        <v>0</v>
      </c>
      <c r="X113" s="36" t="e">
        <f>Table1[[#This Row],[Reject Startup (kg)]]/Table1[[#This Row],[Material Used]]</f>
        <v>#DIV/0!</v>
      </c>
      <c r="Y113" s="3">
        <v>0</v>
      </c>
      <c r="Z113" s="36" t="e">
        <f>Table1[[#This Row],[Reject Prod (kg)]]/Table1[[#This Row],[Material Used]]</f>
        <v>#DIV/0!</v>
      </c>
      <c r="AA113" s="4">
        <v>0</v>
      </c>
      <c r="AB113" s="5">
        <v>12</v>
      </c>
      <c r="AC113" s="4" cm="1">
        <f t="array" ref="AC113">IFERROR(INDEX(ReferenceCard, MATCH(1, (INDEX(ReferenceCard,,1)=Table1[[#This Row],[SAP No]]) * (INDEX(ReferenceCard,,2)=Table1[[#This Row],[Mould No]]), 0), 9),)</f>
        <v>49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L113" s="2"/>
      <c r="AM113" s="2"/>
      <c r="AN113" s="3">
        <v>0</v>
      </c>
      <c r="AO113" s="3">
        <v>0</v>
      </c>
      <c r="AP11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4" spans="1:42" x14ac:dyDescent="0.35">
      <c r="A114" s="1">
        <v>46019</v>
      </c>
      <c r="B114">
        <v>2</v>
      </c>
      <c r="C114" t="s">
        <v>23</v>
      </c>
      <c r="D114" t="str" cm="1">
        <f t="array" ref="D114">IFERROR(INDEX(ReferenceCard, MATCH(1, (INDEX(ReferenceCard,,1)=Table1[[#This Row],[SAP No]]) * (INDEX(ReferenceCard,,2)=Table1[[#This Row],[Mould No]]), 0), 6),)</f>
        <v>PPSB520Y</v>
      </c>
      <c r="E114">
        <v>586276</v>
      </c>
      <c r="F114">
        <v>2</v>
      </c>
      <c r="G114" t="str" cm="1">
        <f t="array" ref="G114">IFERROR(INDEX(ReferenceCard, MATCH(1, (INDEX(ReferenceCard,,1)=Table1[[#This Row],[SAP No]]) * (INDEX(ReferenceCard,,2)=Table1[[#This Row],[Mould No]]), 0), 3),)</f>
        <v>BC28-0056-D-APH-LEB-604001-MOLD2</v>
      </c>
      <c r="H114">
        <v>0</v>
      </c>
      <c r="I114" cm="1">
        <f t="array" ref="I114">IFERROR(INDEX(ReferenceCard, MATCH(1, (INDEX(ReferenceCard,,1)=Table1[[#This Row],[SAP No]]) * (INDEX(ReferenceCard,,2)=Table1[[#This Row],[Mould No]]), 0), 4),)</f>
        <v>6</v>
      </c>
      <c r="J114" s="4" cm="1">
        <f t="array" ref="J114">IFERROR(INDEX(ReferenceCard, MATCH(1, (INDEX(ReferenceCard,,1)=Table1[[#This Row],[SAP No]]) * (INDEX(ReferenceCard,,2)=Table1[[#This Row],[Mould No]]), 0), 9),)</f>
        <v>12.3</v>
      </c>
      <c r="K114" s="4" cm="1">
        <f t="array" ref="K114">IFERROR(INDEX(ReferenceCard, MATCH(1, (INDEX(ReferenceCard,,1)=Table1[[#This Row],[SAP No]]) * (INDEX(ReferenceCard,,2)=Table1[[#This Row],[Mould No]]), 0), 7),)</f>
        <v>12.3</v>
      </c>
      <c r="L114">
        <v>0</v>
      </c>
      <c r="M114">
        <v>0</v>
      </c>
      <c r="N114">
        <v>0</v>
      </c>
      <c r="O114">
        <v>0</v>
      </c>
      <c r="P114">
        <f>Table1[[#This Row],[Shot]]*Table1[[#This Row],[Cav]]</f>
        <v>0</v>
      </c>
      <c r="Q114">
        <v>0</v>
      </c>
      <c r="R114">
        <f>(Table1[[#This Row],[Part Weight (gm)]]*Table1[[#This Row],[Finish Good]])/1000</f>
        <v>0</v>
      </c>
      <c r="S114">
        <v>0</v>
      </c>
      <c r="T114">
        <f>IF(Table1[[#This Row],[Qty Order]]="Sample","-",IF(Table1[[#This Row],[Qty Order]]="RTFN","-",Table1[[#This Row],[Qty Order]]-Table1[[#This Row],[Qty Accumulate]]))</f>
        <v>0</v>
      </c>
      <c r="U114">
        <f>((Table1[[#This Row],[Shift Output]]*Table1[[#This Row],[Part Weight (gm)]])/1000)+Table1[[#This Row],[Reject Startup (kg)]]+Table1[[#This Row],[Reject Purging (kg)]]+Table1[[#This Row],[Reject Preform (kg)]]</f>
        <v>0</v>
      </c>
      <c r="V114" s="37">
        <f>(Table1[[#This Row],[Gross Weight (gm)]]-Table1[[#This Row],[Part Weight (gm)]])*Table1[[#This Row],[Shift Output]]/1000</f>
        <v>0</v>
      </c>
      <c r="W114" s="3">
        <v>0</v>
      </c>
      <c r="X114" s="36" t="e">
        <f>Table1[[#This Row],[Reject Startup (kg)]]/Table1[[#This Row],[Material Used]]</f>
        <v>#DIV/0!</v>
      </c>
      <c r="Y114" s="3">
        <v>0</v>
      </c>
      <c r="Z114" s="36" t="e">
        <f>Table1[[#This Row],[Reject Prod (kg)]]/Table1[[#This Row],[Material Used]]</f>
        <v>#DIV/0!</v>
      </c>
      <c r="AA114" s="4">
        <v>0</v>
      </c>
      <c r="AB114" s="5">
        <v>12</v>
      </c>
      <c r="AC114" s="4" cm="1">
        <f t="array" ref="AC114">IFERROR(INDEX(ReferenceCard, MATCH(1, (INDEX(ReferenceCard,,1)=Table1[[#This Row],[SAP No]]) * (INDEX(ReferenceCard,,2)=Table1[[#This Row],[Mould No]]), 0), 9),)</f>
        <v>12.3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L114" s="2"/>
      <c r="AM114" s="2"/>
      <c r="AN114" s="3">
        <v>0</v>
      </c>
      <c r="AO114" s="3">
        <v>0</v>
      </c>
      <c r="AP11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5" spans="1:42" x14ac:dyDescent="0.35">
      <c r="A115" s="1">
        <v>46019</v>
      </c>
      <c r="B115">
        <v>2</v>
      </c>
      <c r="C115" t="s">
        <v>25</v>
      </c>
      <c r="D115" t="str" cm="1">
        <f t="array" ref="D115">IFERROR(INDEX(ReferenceCard, MATCH(1, (INDEX(ReferenceCard,,1)=Table1[[#This Row],[SAP No]]) * (INDEX(ReferenceCard,,2)=Table1[[#This Row],[Mould No]]), 0), 6),)</f>
        <v>PET</v>
      </c>
      <c r="E115">
        <v>323133</v>
      </c>
      <c r="F115">
        <v>0</v>
      </c>
      <c r="G115" t="str" cm="1">
        <f t="array" ref="G115">IFERROR(INDEX(ReferenceCard, MATCH(1, (INDEX(ReferenceCard,,1)=Table1[[#This Row],[SAP No]]) * (INDEX(ReferenceCard,,2)=Table1[[#This Row],[Mould No]]), 0), 3),)</f>
        <v>BX38-2000-RH-R-CL(GREEN) (ASEM)</v>
      </c>
      <c r="H115">
        <v>0</v>
      </c>
      <c r="I115" cm="1">
        <f t="array" ref="I115">IFERROR(INDEX(ReferenceCard, MATCH(1, (INDEX(ReferenceCard,,1)=Table1[[#This Row],[SAP No]]) * (INDEX(ReferenceCard,,2)=Table1[[#This Row],[Mould No]]), 0), 4),)</f>
        <v>4</v>
      </c>
      <c r="J115" s="4" cm="1">
        <f t="array" ref="J115">IFERROR(INDEX(ReferenceCard, MATCH(1, (INDEX(ReferenceCard,,1)=Table1[[#This Row],[SAP No]]) * (INDEX(ReferenceCard,,2)=Table1[[#This Row],[Mould No]]), 0), 9),)</f>
        <v>77</v>
      </c>
      <c r="K115" s="4" cm="1">
        <f t="array" ref="K115">IFERROR(INDEX(ReferenceCard, MATCH(1, (INDEX(ReferenceCard,,1)=Table1[[#This Row],[SAP No]]) * (INDEX(ReferenceCard,,2)=Table1[[#This Row],[Mould No]]), 0), 7),)</f>
        <v>77</v>
      </c>
      <c r="L115">
        <v>0</v>
      </c>
      <c r="M115">
        <v>0</v>
      </c>
      <c r="N115">
        <v>0</v>
      </c>
      <c r="O115">
        <v>0</v>
      </c>
      <c r="P115">
        <f>Table1[[#This Row],[Shot]]*Table1[[#This Row],[Cav]]</f>
        <v>0</v>
      </c>
      <c r="Q115">
        <v>0</v>
      </c>
      <c r="R115">
        <f>(Table1[[#This Row],[Part Weight (gm)]]*Table1[[#This Row],[Finish Good]])/1000</f>
        <v>0</v>
      </c>
      <c r="S115">
        <v>0</v>
      </c>
      <c r="T115">
        <f>IF(Table1[[#This Row],[Qty Order]]="Sample","-",IF(Table1[[#This Row],[Qty Order]]="RTFN","-",Table1[[#This Row],[Qty Order]]-Table1[[#This Row],[Qty Accumulate]]))</f>
        <v>0</v>
      </c>
      <c r="U115">
        <f>((Table1[[#This Row],[Shift Output]]*Table1[[#This Row],[Part Weight (gm)]])/1000)+Table1[[#This Row],[Reject Startup (kg)]]+Table1[[#This Row],[Reject Purging (kg)]]+Table1[[#This Row],[Reject Preform (kg)]]</f>
        <v>0</v>
      </c>
      <c r="V115" s="37">
        <f>(Table1[[#This Row],[Gross Weight (gm)]]-Table1[[#This Row],[Part Weight (gm)]])*Table1[[#This Row],[Shift Output]]/1000</f>
        <v>0</v>
      </c>
      <c r="W115" s="3">
        <v>0</v>
      </c>
      <c r="X115" s="36" t="e">
        <f>Table1[[#This Row],[Reject Startup (kg)]]/Table1[[#This Row],[Material Used]]</f>
        <v>#DIV/0!</v>
      </c>
      <c r="Y115" s="3">
        <v>0</v>
      </c>
      <c r="Z115" s="36" t="e">
        <f>Table1[[#This Row],[Reject Prod (kg)]]/Table1[[#This Row],[Material Used]]</f>
        <v>#DIV/0!</v>
      </c>
      <c r="AA115" s="4">
        <v>0</v>
      </c>
      <c r="AB115" s="5">
        <v>0</v>
      </c>
      <c r="AC115" s="4" cm="1">
        <f t="array" ref="AC115">IFERROR(INDEX(ReferenceCard, MATCH(1, (INDEX(ReferenceCard,,1)=Table1[[#This Row],[SAP No]]) * (INDEX(ReferenceCard,,2)=Table1[[#This Row],[Mould No]]), 0), 9),)</f>
        <v>77</v>
      </c>
      <c r="AD115" s="5">
        <v>0</v>
      </c>
      <c r="AE115" s="5">
        <v>0</v>
      </c>
      <c r="AF115" s="5">
        <v>0</v>
      </c>
      <c r="AG115" s="5">
        <v>12</v>
      </c>
      <c r="AH115" s="5">
        <v>0</v>
      </c>
      <c r="AI115" s="5">
        <v>0</v>
      </c>
      <c r="AJ115" s="5">
        <v>0</v>
      </c>
      <c r="AL115" s="2"/>
      <c r="AM115" s="2"/>
      <c r="AN115" s="3">
        <v>0</v>
      </c>
      <c r="AO115" s="3">
        <v>0</v>
      </c>
      <c r="AP11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6" spans="1:42" x14ac:dyDescent="0.35">
      <c r="A116" s="1">
        <v>46019</v>
      </c>
      <c r="B116">
        <v>2</v>
      </c>
      <c r="C116" t="s">
        <v>27</v>
      </c>
      <c r="D116" t="str" cm="1">
        <f t="array" ref="D116">IFERROR(INDEX(ReferenceCard, MATCH(1, (INDEX(ReferenceCard,,1)=Table1[[#This Row],[SAP No]]) * (INDEX(ReferenceCard,,2)=Table1[[#This Row],[Mould No]]), 0), 6),)</f>
        <v>PPSB520Y</v>
      </c>
      <c r="E116">
        <v>552181</v>
      </c>
      <c r="F116">
        <v>4</v>
      </c>
      <c r="G116" t="str" cm="1">
        <f t="array" ref="G116">IFERROR(INDEX(ReferenceCard, MATCH(1, (INDEX(ReferenceCard,,1)=Table1[[#This Row],[SAP No]]) * (INDEX(ReferenceCard,,2)=Table1[[#This Row],[Mould No]]), 0), 3),)</f>
        <v>BC28-0090-D-APH-5180-3538-PP-6 NOTCHES-MOLD4</v>
      </c>
      <c r="H116">
        <v>0</v>
      </c>
      <c r="I116" cm="1">
        <f t="array" ref="I116">IFERROR(INDEX(ReferenceCard, MATCH(1, (INDEX(ReferenceCard,,1)=Table1[[#This Row],[SAP No]]) * (INDEX(ReferenceCard,,2)=Table1[[#This Row],[Mould No]]), 0), 4),)</f>
        <v>6</v>
      </c>
      <c r="J116" s="4" cm="1">
        <f t="array" ref="J116">IFERROR(INDEX(ReferenceCard, MATCH(1, (INDEX(ReferenceCard,,1)=Table1[[#This Row],[SAP No]]) * (INDEX(ReferenceCard,,2)=Table1[[#This Row],[Mould No]]), 0), 9),)</f>
        <v>18.8</v>
      </c>
      <c r="K116" s="4" cm="1">
        <f t="array" ref="K116">IFERROR(INDEX(ReferenceCard, MATCH(1, (INDEX(ReferenceCard,,1)=Table1[[#This Row],[SAP No]]) * (INDEX(ReferenceCard,,2)=Table1[[#This Row],[Mould No]]), 0), 7),)</f>
        <v>18.8</v>
      </c>
      <c r="L116">
        <v>0</v>
      </c>
      <c r="M116">
        <v>0</v>
      </c>
      <c r="N116">
        <v>0</v>
      </c>
      <c r="O116">
        <v>0</v>
      </c>
      <c r="P116">
        <f>Table1[[#This Row],[Shot]]*Table1[[#This Row],[Cav]]</f>
        <v>0</v>
      </c>
      <c r="Q116">
        <v>0</v>
      </c>
      <c r="R116">
        <f>(Table1[[#This Row],[Part Weight (gm)]]*Table1[[#This Row],[Finish Good]])/1000</f>
        <v>0</v>
      </c>
      <c r="S116">
        <v>0</v>
      </c>
      <c r="T116">
        <f>IF(Table1[[#This Row],[Qty Order]]="Sample","-",IF(Table1[[#This Row],[Qty Order]]="RTFN","-",Table1[[#This Row],[Qty Order]]-Table1[[#This Row],[Qty Accumulate]]))</f>
        <v>0</v>
      </c>
      <c r="U116">
        <f>((Table1[[#This Row],[Shift Output]]*Table1[[#This Row],[Part Weight (gm)]])/1000)+Table1[[#This Row],[Reject Startup (kg)]]+Table1[[#This Row],[Reject Purging (kg)]]+Table1[[#This Row],[Reject Preform (kg)]]</f>
        <v>0</v>
      </c>
      <c r="V116" s="37">
        <f>(Table1[[#This Row],[Gross Weight (gm)]]-Table1[[#This Row],[Part Weight (gm)]])*Table1[[#This Row],[Shift Output]]/1000</f>
        <v>0</v>
      </c>
      <c r="W116" s="3">
        <v>0</v>
      </c>
      <c r="X116" s="36" t="e">
        <f>Table1[[#This Row],[Reject Startup (kg)]]/Table1[[#This Row],[Material Used]]</f>
        <v>#DIV/0!</v>
      </c>
      <c r="Y116" s="3">
        <v>0</v>
      </c>
      <c r="Z116" s="36" t="e">
        <f>Table1[[#This Row],[Reject Prod (kg)]]/Table1[[#This Row],[Material Used]]</f>
        <v>#DIV/0!</v>
      </c>
      <c r="AA116" s="4">
        <v>0</v>
      </c>
      <c r="AB116" s="5">
        <v>12</v>
      </c>
      <c r="AC116" s="4" cm="1">
        <f t="array" ref="AC116">IFERROR(INDEX(ReferenceCard, MATCH(1, (INDEX(ReferenceCard,,1)=Table1[[#This Row],[SAP No]]) * (INDEX(ReferenceCard,,2)=Table1[[#This Row],[Mould No]]), 0), 9),)</f>
        <v>18.8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L116" s="2"/>
      <c r="AM116" s="2"/>
      <c r="AN116" s="3">
        <v>0</v>
      </c>
      <c r="AO116" s="3">
        <v>0</v>
      </c>
      <c r="AP11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7" spans="1:42" x14ac:dyDescent="0.35">
      <c r="A117" s="1">
        <v>46019</v>
      </c>
      <c r="B117">
        <v>2</v>
      </c>
      <c r="C117" t="s">
        <v>29</v>
      </c>
      <c r="D117" t="str" cm="1">
        <f t="array" ref="D117">IFERROR(INDEX(ReferenceCard, MATCH(1, (INDEX(ReferenceCard,,1)=Table1[[#This Row],[SAP No]]) * (INDEX(ReferenceCard,,2)=Table1[[#This Row],[Mould No]]), 0), 6),)</f>
        <v>PET</v>
      </c>
      <c r="E117">
        <v>620599</v>
      </c>
      <c r="F117">
        <v>0</v>
      </c>
      <c r="G117" t="str" cm="1">
        <f t="array" ref="G117">IFERROR(INDEX(ReferenceCard, MATCH(1, (INDEX(ReferenceCard,,1)=Table1[[#This Row],[SAP No]]) * (INDEX(ReferenceCard,,2)=Table1[[#This Row],[Mould No]]), 0), 3),)</f>
        <v>BC28-0750-K4-R-CL (55g)</v>
      </c>
      <c r="H117">
        <v>0</v>
      </c>
      <c r="I117" cm="1">
        <f t="array" ref="I117">IFERROR(INDEX(ReferenceCard, MATCH(1, (INDEX(ReferenceCard,,1)=Table1[[#This Row],[SAP No]]) * (INDEX(ReferenceCard,,2)=Table1[[#This Row],[Mould No]]), 0), 4),)</f>
        <v>4</v>
      </c>
      <c r="J117" s="4" cm="1">
        <f t="array" ref="J117">IFERROR(INDEX(ReferenceCard, MATCH(1, (INDEX(ReferenceCard,,1)=Table1[[#This Row],[SAP No]]) * (INDEX(ReferenceCard,,2)=Table1[[#This Row],[Mould No]]), 0), 9),)</f>
        <v>55</v>
      </c>
      <c r="K117" s="4" cm="1">
        <f t="array" ref="K117">IFERROR(INDEX(ReferenceCard, MATCH(1, (INDEX(ReferenceCard,,1)=Table1[[#This Row],[SAP No]]) * (INDEX(ReferenceCard,,2)=Table1[[#This Row],[Mould No]]), 0), 7),)</f>
        <v>55</v>
      </c>
      <c r="L117">
        <v>0</v>
      </c>
      <c r="M117">
        <v>0</v>
      </c>
      <c r="N117">
        <v>0</v>
      </c>
      <c r="O117">
        <v>0</v>
      </c>
      <c r="P117">
        <f>Table1[[#This Row],[Shot]]*Table1[[#This Row],[Cav]]</f>
        <v>0</v>
      </c>
      <c r="Q117">
        <v>0</v>
      </c>
      <c r="R117">
        <f>(Table1[[#This Row],[Part Weight (gm)]]*Table1[[#This Row],[Finish Good]])/1000</f>
        <v>0</v>
      </c>
      <c r="S117">
        <v>0</v>
      </c>
      <c r="T117">
        <f>IF(Table1[[#This Row],[Qty Order]]="Sample","-",IF(Table1[[#This Row],[Qty Order]]="RTFN","-",Table1[[#This Row],[Qty Order]]-Table1[[#This Row],[Qty Accumulate]]))</f>
        <v>0</v>
      </c>
      <c r="U117">
        <f>((Table1[[#This Row],[Shift Output]]*Table1[[#This Row],[Part Weight (gm)]])/1000)+Table1[[#This Row],[Reject Startup (kg)]]+Table1[[#This Row],[Reject Purging (kg)]]+Table1[[#This Row],[Reject Preform (kg)]]</f>
        <v>0</v>
      </c>
      <c r="V117" s="37">
        <f>(Table1[[#This Row],[Gross Weight (gm)]]-Table1[[#This Row],[Part Weight (gm)]])*Table1[[#This Row],[Shift Output]]/1000</f>
        <v>0</v>
      </c>
      <c r="W117" s="3">
        <v>0</v>
      </c>
      <c r="X117" s="36" t="e">
        <f>Table1[[#This Row],[Reject Startup (kg)]]/Table1[[#This Row],[Material Used]]</f>
        <v>#DIV/0!</v>
      </c>
      <c r="Y117" s="3">
        <v>0</v>
      </c>
      <c r="Z117" s="36" t="e">
        <f>Table1[[#This Row],[Reject Prod (kg)]]/Table1[[#This Row],[Material Used]]</f>
        <v>#DIV/0!</v>
      </c>
      <c r="AA117" s="4">
        <v>0</v>
      </c>
      <c r="AB117" s="5">
        <v>12</v>
      </c>
      <c r="AC117" s="4" cm="1">
        <f t="array" ref="AC117">IFERROR(INDEX(ReferenceCard, MATCH(1, (INDEX(ReferenceCard,,1)=Table1[[#This Row],[SAP No]]) * (INDEX(ReferenceCard,,2)=Table1[[#This Row],[Mould No]]), 0), 9),)</f>
        <v>55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L117" s="2"/>
      <c r="AM117" s="2"/>
      <c r="AN117" s="3">
        <v>0</v>
      </c>
      <c r="AO117" s="3">
        <v>0</v>
      </c>
      <c r="AP11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8" spans="1:42" x14ac:dyDescent="0.35">
      <c r="A118" s="1">
        <v>46019</v>
      </c>
      <c r="B118">
        <v>2</v>
      </c>
      <c r="C118" t="s">
        <v>31</v>
      </c>
      <c r="D118" t="str" cm="1">
        <f t="array" ref="D118">IFERROR(INDEX(ReferenceCard, MATCH(1, (INDEX(ReferenceCard,,1)=Table1[[#This Row],[SAP No]]) * (INDEX(ReferenceCard,,2)=Table1[[#This Row],[Mould No]]), 0), 6),)</f>
        <v>PPSB520Y</v>
      </c>
      <c r="E118">
        <v>586276</v>
      </c>
      <c r="F118">
        <v>4</v>
      </c>
      <c r="G118" t="str" cm="1">
        <f t="array" ref="G118">IFERROR(INDEX(ReferenceCard, MATCH(1, (INDEX(ReferenceCard,,1)=Table1[[#This Row],[SAP No]]) * (INDEX(ReferenceCard,,2)=Table1[[#This Row],[Mould No]]), 0), 3),)</f>
        <v>BC28-0056-D-APH-LEB-604001-MOLD4</v>
      </c>
      <c r="H118">
        <v>0</v>
      </c>
      <c r="I118" cm="1">
        <f t="array" ref="I118">IFERROR(INDEX(ReferenceCard, MATCH(1, (INDEX(ReferenceCard,,1)=Table1[[#This Row],[SAP No]]) * (INDEX(ReferenceCard,,2)=Table1[[#This Row],[Mould No]]), 0), 4),)</f>
        <v>6</v>
      </c>
      <c r="J118" s="4" cm="1">
        <f t="array" ref="J118">IFERROR(INDEX(ReferenceCard, MATCH(1, (INDEX(ReferenceCard,,1)=Table1[[#This Row],[SAP No]]) * (INDEX(ReferenceCard,,2)=Table1[[#This Row],[Mould No]]), 0), 9),)</f>
        <v>12.3</v>
      </c>
      <c r="K118" s="4" cm="1">
        <f t="array" ref="K118">IFERROR(INDEX(ReferenceCard, MATCH(1, (INDEX(ReferenceCard,,1)=Table1[[#This Row],[SAP No]]) * (INDEX(ReferenceCard,,2)=Table1[[#This Row],[Mould No]]), 0), 7),)</f>
        <v>12.3</v>
      </c>
      <c r="L118">
        <v>0</v>
      </c>
      <c r="M118">
        <v>0</v>
      </c>
      <c r="N118">
        <v>0</v>
      </c>
      <c r="O118">
        <v>0</v>
      </c>
      <c r="P118">
        <f>Table1[[#This Row],[Shot]]*Table1[[#This Row],[Cav]]</f>
        <v>0</v>
      </c>
      <c r="Q118">
        <v>0</v>
      </c>
      <c r="R118">
        <f>(Table1[[#This Row],[Part Weight (gm)]]*Table1[[#This Row],[Finish Good]])/1000</f>
        <v>0</v>
      </c>
      <c r="S118">
        <v>0</v>
      </c>
      <c r="T118">
        <f>IF(Table1[[#This Row],[Qty Order]]="Sample","-",IF(Table1[[#This Row],[Qty Order]]="RTFN","-",Table1[[#This Row],[Qty Order]]-Table1[[#This Row],[Qty Accumulate]]))</f>
        <v>0</v>
      </c>
      <c r="U118">
        <f>((Table1[[#This Row],[Shift Output]]*Table1[[#This Row],[Part Weight (gm)]])/1000)+Table1[[#This Row],[Reject Startup (kg)]]+Table1[[#This Row],[Reject Purging (kg)]]+Table1[[#This Row],[Reject Preform (kg)]]</f>
        <v>0</v>
      </c>
      <c r="V118" s="37">
        <f>(Table1[[#This Row],[Gross Weight (gm)]]-Table1[[#This Row],[Part Weight (gm)]])*Table1[[#This Row],[Shift Output]]/1000</f>
        <v>0</v>
      </c>
      <c r="W118" s="3">
        <v>0</v>
      </c>
      <c r="X118" s="36" t="e">
        <f>Table1[[#This Row],[Reject Startup (kg)]]/Table1[[#This Row],[Material Used]]</f>
        <v>#DIV/0!</v>
      </c>
      <c r="Y118" s="3">
        <v>0</v>
      </c>
      <c r="Z118" s="36" t="e">
        <f>Table1[[#This Row],[Reject Prod (kg)]]/Table1[[#This Row],[Material Used]]</f>
        <v>#DIV/0!</v>
      </c>
      <c r="AA118" s="4">
        <v>0</v>
      </c>
      <c r="AB118" s="5">
        <v>12</v>
      </c>
      <c r="AC118" s="4" cm="1">
        <f t="array" ref="AC118">IFERROR(INDEX(ReferenceCard, MATCH(1, (INDEX(ReferenceCard,,1)=Table1[[#This Row],[SAP No]]) * (INDEX(ReferenceCard,,2)=Table1[[#This Row],[Mould No]]), 0), 9),)</f>
        <v>12.3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L118" s="2"/>
      <c r="AM118" s="2"/>
      <c r="AN118" s="3">
        <v>0</v>
      </c>
      <c r="AO118" s="3">
        <v>0</v>
      </c>
      <c r="AP11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19" spans="1:42" x14ac:dyDescent="0.35">
      <c r="A119" s="1">
        <v>46019</v>
      </c>
      <c r="B119">
        <v>2</v>
      </c>
      <c r="C119" t="s">
        <v>33</v>
      </c>
      <c r="D119" t="str" cm="1">
        <f t="array" ref="D119">IFERROR(INDEX(ReferenceCard, MATCH(1, (INDEX(ReferenceCard,,1)=Table1[[#This Row],[SAP No]]) * (INDEX(ReferenceCard,,2)=Table1[[#This Row],[Mould No]]), 0), 6),)</f>
        <v>PET</v>
      </c>
      <c r="E119">
        <v>541381</v>
      </c>
      <c r="F119">
        <v>0</v>
      </c>
      <c r="G119" t="str" cm="1">
        <f t="array" ref="G119">IFERROR(INDEX(ReferenceCard, MATCH(1, (INDEX(ReferenceCard,,1)=Table1[[#This Row],[SAP No]]) * (INDEX(ReferenceCard,,2)=Table1[[#This Row],[Mould No]]), 0), 3),)</f>
        <v>BC28-1200-K-R-CL</v>
      </c>
      <c r="H119">
        <v>0</v>
      </c>
      <c r="I119" cm="1">
        <f t="array" ref="I119">IFERROR(INDEX(ReferenceCard, MATCH(1, (INDEX(ReferenceCard,,1)=Table1[[#This Row],[SAP No]]) * (INDEX(ReferenceCard,,2)=Table1[[#This Row],[Mould No]]), 0), 4),)</f>
        <v>4</v>
      </c>
      <c r="J119" s="4" cm="1">
        <f t="array" ref="J119">IFERROR(INDEX(ReferenceCard, MATCH(1, (INDEX(ReferenceCard,,1)=Table1[[#This Row],[SAP No]]) * (INDEX(ReferenceCard,,2)=Table1[[#This Row],[Mould No]]), 0), 9),)</f>
        <v>55</v>
      </c>
      <c r="K119" s="4" cm="1">
        <f t="array" ref="K119">IFERROR(INDEX(ReferenceCard, MATCH(1, (INDEX(ReferenceCard,,1)=Table1[[#This Row],[SAP No]]) * (INDEX(ReferenceCard,,2)=Table1[[#This Row],[Mould No]]), 0), 7),)</f>
        <v>55</v>
      </c>
      <c r="L119">
        <v>0</v>
      </c>
      <c r="M119">
        <v>0</v>
      </c>
      <c r="N119">
        <v>0</v>
      </c>
      <c r="O119">
        <v>0</v>
      </c>
      <c r="P119">
        <f>Table1[[#This Row],[Shot]]*Table1[[#This Row],[Cav]]</f>
        <v>0</v>
      </c>
      <c r="Q119">
        <v>0</v>
      </c>
      <c r="R119">
        <f>(Table1[[#This Row],[Part Weight (gm)]]*Table1[[#This Row],[Finish Good]])/1000</f>
        <v>0</v>
      </c>
      <c r="S119">
        <v>0</v>
      </c>
      <c r="T119">
        <f>IF(Table1[[#This Row],[Qty Order]]="Sample","-",IF(Table1[[#This Row],[Qty Order]]="RTFN","-",Table1[[#This Row],[Qty Order]]-Table1[[#This Row],[Qty Accumulate]]))</f>
        <v>0</v>
      </c>
      <c r="U119">
        <f>((Table1[[#This Row],[Shift Output]]*Table1[[#This Row],[Part Weight (gm)]])/1000)+Table1[[#This Row],[Reject Startup (kg)]]+Table1[[#This Row],[Reject Purging (kg)]]+Table1[[#This Row],[Reject Preform (kg)]]</f>
        <v>0</v>
      </c>
      <c r="V119" s="37">
        <f>(Table1[[#This Row],[Gross Weight (gm)]]-Table1[[#This Row],[Part Weight (gm)]])*Table1[[#This Row],[Shift Output]]/1000</f>
        <v>0</v>
      </c>
      <c r="W119" s="3">
        <v>0</v>
      </c>
      <c r="X119" s="36" t="e">
        <f>Table1[[#This Row],[Reject Startup (kg)]]/Table1[[#This Row],[Material Used]]</f>
        <v>#DIV/0!</v>
      </c>
      <c r="Y119" s="3">
        <v>0</v>
      </c>
      <c r="Z119" s="36" t="e">
        <f>Table1[[#This Row],[Reject Prod (kg)]]/Table1[[#This Row],[Material Used]]</f>
        <v>#DIV/0!</v>
      </c>
      <c r="AA119" s="4">
        <v>0</v>
      </c>
      <c r="AB119" s="5">
        <v>12</v>
      </c>
      <c r="AC119" s="4" cm="1">
        <f t="array" ref="AC119">IFERROR(INDEX(ReferenceCard, MATCH(1, (INDEX(ReferenceCard,,1)=Table1[[#This Row],[SAP No]]) * (INDEX(ReferenceCard,,2)=Table1[[#This Row],[Mould No]]), 0), 9),)</f>
        <v>55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L119" s="2"/>
      <c r="AM119" s="2"/>
      <c r="AN119" s="3">
        <v>0</v>
      </c>
      <c r="AO119" s="3">
        <v>0</v>
      </c>
      <c r="AP11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0" spans="1:42" x14ac:dyDescent="0.35">
      <c r="A120" s="1">
        <v>46019</v>
      </c>
      <c r="B120">
        <v>2</v>
      </c>
      <c r="C120" t="s">
        <v>35</v>
      </c>
      <c r="D120" t="str" cm="1">
        <f t="array" ref="D120">IFERROR(INDEX(ReferenceCard, MATCH(1, (INDEX(ReferenceCard,,1)=Table1[[#This Row],[SAP No]]) * (INDEX(ReferenceCard,,2)=Table1[[#This Row],[Mould No]]), 0), 6),)</f>
        <v>PPSB520Y</v>
      </c>
      <c r="E120">
        <v>552181</v>
      </c>
      <c r="F120">
        <v>1</v>
      </c>
      <c r="G120" t="str" cm="1">
        <f t="array" ref="G120">IFERROR(INDEX(ReferenceCard, MATCH(1, (INDEX(ReferenceCard,,1)=Table1[[#This Row],[SAP No]]) * (INDEX(ReferenceCard,,2)=Table1[[#This Row],[Mould No]]), 0), 3),)</f>
        <v>BC28-0090-D-APH-5180-3538-PP-6 NOTCHES-MOLD1</v>
      </c>
      <c r="H120">
        <v>0</v>
      </c>
      <c r="I120" cm="1">
        <f t="array" ref="I120">IFERROR(INDEX(ReferenceCard, MATCH(1, (INDEX(ReferenceCard,,1)=Table1[[#This Row],[SAP No]]) * (INDEX(ReferenceCard,,2)=Table1[[#This Row],[Mould No]]), 0), 4),)</f>
        <v>6</v>
      </c>
      <c r="J120" s="4" cm="1">
        <f t="array" ref="J120">IFERROR(INDEX(ReferenceCard, MATCH(1, (INDEX(ReferenceCard,,1)=Table1[[#This Row],[SAP No]]) * (INDEX(ReferenceCard,,2)=Table1[[#This Row],[Mould No]]), 0), 9),)</f>
        <v>18.8</v>
      </c>
      <c r="K120" s="4" cm="1">
        <f t="array" ref="K120">IFERROR(INDEX(ReferenceCard, MATCH(1, (INDEX(ReferenceCard,,1)=Table1[[#This Row],[SAP No]]) * (INDEX(ReferenceCard,,2)=Table1[[#This Row],[Mould No]]), 0), 7),)</f>
        <v>18.8</v>
      </c>
      <c r="L120">
        <v>0</v>
      </c>
      <c r="M120">
        <v>0</v>
      </c>
      <c r="N120">
        <v>0</v>
      </c>
      <c r="O120">
        <v>0</v>
      </c>
      <c r="P120">
        <f>Table1[[#This Row],[Shot]]*Table1[[#This Row],[Cav]]</f>
        <v>0</v>
      </c>
      <c r="Q120">
        <v>0</v>
      </c>
      <c r="R120">
        <f>(Table1[[#This Row],[Part Weight (gm)]]*Table1[[#This Row],[Finish Good]])/1000</f>
        <v>0</v>
      </c>
      <c r="S120">
        <v>0</v>
      </c>
      <c r="T120">
        <f>IF(Table1[[#This Row],[Qty Order]]="Sample","-",IF(Table1[[#This Row],[Qty Order]]="RTFN","-",Table1[[#This Row],[Qty Order]]-Table1[[#This Row],[Qty Accumulate]]))</f>
        <v>0</v>
      </c>
      <c r="U120">
        <f>((Table1[[#This Row],[Shift Output]]*Table1[[#This Row],[Part Weight (gm)]])/1000)+Table1[[#This Row],[Reject Startup (kg)]]+Table1[[#This Row],[Reject Purging (kg)]]+Table1[[#This Row],[Reject Preform (kg)]]</f>
        <v>0</v>
      </c>
      <c r="V120" s="37">
        <f>(Table1[[#This Row],[Gross Weight (gm)]]-Table1[[#This Row],[Part Weight (gm)]])*Table1[[#This Row],[Shift Output]]/1000</f>
        <v>0</v>
      </c>
      <c r="W120" s="3">
        <v>0</v>
      </c>
      <c r="X120" s="36" t="e">
        <f>Table1[[#This Row],[Reject Startup (kg)]]/Table1[[#This Row],[Material Used]]</f>
        <v>#DIV/0!</v>
      </c>
      <c r="Y120" s="3">
        <v>0</v>
      </c>
      <c r="Z120" s="36" t="e">
        <f>Table1[[#This Row],[Reject Prod (kg)]]/Table1[[#This Row],[Material Used]]</f>
        <v>#DIV/0!</v>
      </c>
      <c r="AA120" s="4">
        <v>0</v>
      </c>
      <c r="AB120" s="5">
        <v>12</v>
      </c>
      <c r="AC120" s="4" cm="1">
        <f t="array" ref="AC120">IFERROR(INDEX(ReferenceCard, MATCH(1, (INDEX(ReferenceCard,,1)=Table1[[#This Row],[SAP No]]) * (INDEX(ReferenceCard,,2)=Table1[[#This Row],[Mould No]]), 0), 9),)</f>
        <v>18.8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L120" s="2"/>
      <c r="AM120" s="2"/>
      <c r="AN120" s="3">
        <v>0</v>
      </c>
      <c r="AO120" s="3">
        <v>0</v>
      </c>
      <c r="AP12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1" spans="1:42" x14ac:dyDescent="0.35">
      <c r="A121" s="1">
        <v>46019</v>
      </c>
      <c r="B121">
        <v>2</v>
      </c>
      <c r="C121" t="s">
        <v>18</v>
      </c>
      <c r="D121" t="str" cm="1">
        <f t="array" ref="D121">IFERROR(INDEX(ReferenceCard, MATCH(1, (INDEX(ReferenceCard,,1)=Table1[[#This Row],[SAP No]]) * (INDEX(ReferenceCard,,2)=Table1[[#This Row],[Mould No]]), 0), 6),)</f>
        <v>PPSB520Y</v>
      </c>
      <c r="E121">
        <v>555979</v>
      </c>
      <c r="F121">
        <v>4</v>
      </c>
      <c r="G121" t="str" cm="1">
        <f t="array" ref="G121">IFERROR(INDEX(ReferenceCard, MATCH(1, (INDEX(ReferenceCard,,1)=Table1[[#This Row],[SAP No]]) * (INDEX(ReferenceCard,,2)=Table1[[#This Row],[Mould No]]), 0), 3),)</f>
        <v>BC28-0170-D-APH-5180-3539-PP-6 NOTCHES-MOLD4</v>
      </c>
      <c r="H121">
        <v>0</v>
      </c>
      <c r="I121" cm="1">
        <f t="array" ref="I121">IFERROR(INDEX(ReferenceCard, MATCH(1, (INDEX(ReferenceCard,,1)=Table1[[#This Row],[SAP No]]) * (INDEX(ReferenceCard,,2)=Table1[[#This Row],[Mould No]]), 0), 4),)</f>
        <v>6</v>
      </c>
      <c r="J121" s="4" cm="1">
        <f t="array" ref="J121">IFERROR(INDEX(ReferenceCard, MATCH(1, (INDEX(ReferenceCard,,1)=Table1[[#This Row],[SAP No]]) * (INDEX(ReferenceCard,,2)=Table1[[#This Row],[Mould No]]), 0), 9),)</f>
        <v>28</v>
      </c>
      <c r="K121" s="4" cm="1">
        <f t="array" ref="K121">IFERROR(INDEX(ReferenceCard, MATCH(1, (INDEX(ReferenceCard,,1)=Table1[[#This Row],[SAP No]]) * (INDEX(ReferenceCard,,2)=Table1[[#This Row],[Mould No]]), 0), 7),)</f>
        <v>28</v>
      </c>
      <c r="L121">
        <v>0</v>
      </c>
      <c r="M121">
        <v>0</v>
      </c>
      <c r="N121">
        <v>0</v>
      </c>
      <c r="O121">
        <v>0</v>
      </c>
      <c r="P121">
        <f>Table1[[#This Row],[Shot]]*Table1[[#This Row],[Cav]]</f>
        <v>0</v>
      </c>
      <c r="Q121">
        <v>0</v>
      </c>
      <c r="R121">
        <f>(Table1[[#This Row],[Part Weight (gm)]]*Table1[[#This Row],[Finish Good]])/1000</f>
        <v>0</v>
      </c>
      <c r="S121">
        <v>0</v>
      </c>
      <c r="T121">
        <f>IF(Table1[[#This Row],[Qty Order]]="Sample","-",IF(Table1[[#This Row],[Qty Order]]="RTFN","-",Table1[[#This Row],[Qty Order]]-Table1[[#This Row],[Qty Accumulate]]))</f>
        <v>0</v>
      </c>
      <c r="U121">
        <f>((Table1[[#This Row],[Shift Output]]*Table1[[#This Row],[Part Weight (gm)]])/1000)+Table1[[#This Row],[Reject Startup (kg)]]+Table1[[#This Row],[Reject Purging (kg)]]+Table1[[#This Row],[Reject Preform (kg)]]</f>
        <v>0</v>
      </c>
      <c r="V121" s="37">
        <f>(Table1[[#This Row],[Gross Weight (gm)]]-Table1[[#This Row],[Part Weight (gm)]])*Table1[[#This Row],[Shift Output]]/1000</f>
        <v>0</v>
      </c>
      <c r="W121" s="3">
        <v>0</v>
      </c>
      <c r="X121" s="36" t="e">
        <f>Table1[[#This Row],[Reject Startup (kg)]]/Table1[[#This Row],[Material Used]]</f>
        <v>#DIV/0!</v>
      </c>
      <c r="Y121" s="3">
        <v>0</v>
      </c>
      <c r="Z121" s="36" t="e">
        <f>Table1[[#This Row],[Reject Prod (kg)]]/Table1[[#This Row],[Material Used]]</f>
        <v>#DIV/0!</v>
      </c>
      <c r="AA121" s="4">
        <v>0</v>
      </c>
      <c r="AB121" s="5">
        <v>0</v>
      </c>
      <c r="AC121" s="4" cm="1">
        <f t="array" ref="AC121">IFERROR(INDEX(ReferenceCard, MATCH(1, (INDEX(ReferenceCard,,1)=Table1[[#This Row],[SAP No]]) * (INDEX(ReferenceCard,,2)=Table1[[#This Row],[Mould No]]), 0), 9),)</f>
        <v>28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12</v>
      </c>
      <c r="AJ121" s="5">
        <v>0</v>
      </c>
      <c r="AL121" s="2"/>
      <c r="AM121" s="2"/>
      <c r="AN121" s="3">
        <v>0</v>
      </c>
      <c r="AO121" s="3">
        <v>0</v>
      </c>
      <c r="AP12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2" spans="1:42" x14ac:dyDescent="0.35">
      <c r="A122" s="1">
        <v>46019</v>
      </c>
      <c r="B122">
        <v>1</v>
      </c>
      <c r="C122" t="s">
        <v>0</v>
      </c>
      <c r="D122" t="str" cm="1">
        <f t="array" ref="D122">IFERROR(INDEX(ReferenceCard, MATCH(1, (INDEX(ReferenceCard,,1)=Table1[[#This Row],[SAP No]]) * (INDEX(ReferenceCard,,2)=Table1[[#This Row],[Mould No]]), 0), 6),)</f>
        <v>PET</v>
      </c>
      <c r="E122">
        <v>347623</v>
      </c>
      <c r="F122">
        <v>0</v>
      </c>
      <c r="G122" t="str" cm="1">
        <f t="array" ref="G122">IFERROR(INDEX(ReferenceCard, MATCH(1, (INDEX(ReferenceCard,,1)=Table1[[#This Row],[SAP No]]) * (INDEX(ReferenceCard,,2)=Table1[[#This Row],[Mould No]]), 0), 3),)</f>
        <v>BC28-0375-K-R-CL</v>
      </c>
      <c r="H122">
        <v>0</v>
      </c>
      <c r="I122" cm="1">
        <f t="array" ref="I122">IFERROR(INDEX(ReferenceCard, MATCH(1, (INDEX(ReferenceCard,,1)=Table1[[#This Row],[SAP No]]) * (INDEX(ReferenceCard,,2)=Table1[[#This Row],[Mould No]]), 0), 4),)</f>
        <v>4</v>
      </c>
      <c r="J122" s="4" cm="1">
        <f t="array" ref="J122">IFERROR(INDEX(ReferenceCard, MATCH(1, (INDEX(ReferenceCard,,1)=Table1[[#This Row],[SAP No]]) * (INDEX(ReferenceCard,,2)=Table1[[#This Row],[Mould No]]), 0), 9),)</f>
        <v>35.6</v>
      </c>
      <c r="K122" s="4" cm="1">
        <f t="array" ref="K122">IFERROR(INDEX(ReferenceCard, MATCH(1, (INDEX(ReferenceCard,,1)=Table1[[#This Row],[SAP No]]) * (INDEX(ReferenceCard,,2)=Table1[[#This Row],[Mould No]]), 0), 7),)</f>
        <v>35.6</v>
      </c>
      <c r="L122">
        <v>0</v>
      </c>
      <c r="M122">
        <v>0</v>
      </c>
      <c r="N122">
        <v>0</v>
      </c>
      <c r="O122">
        <v>0</v>
      </c>
      <c r="P122">
        <f>Table1[[#This Row],[Shot]]*Table1[[#This Row],[Cav]]</f>
        <v>0</v>
      </c>
      <c r="Q122">
        <v>0</v>
      </c>
      <c r="R122">
        <f>(Table1[[#This Row],[Part Weight (gm)]]*Table1[[#This Row],[Finish Good]])/1000</f>
        <v>0</v>
      </c>
      <c r="S122">
        <v>0</v>
      </c>
      <c r="T122">
        <f>IF(Table1[[#This Row],[Qty Order]]="Sample","-",IF(Table1[[#This Row],[Qty Order]]="RTFN","-",Table1[[#This Row],[Qty Order]]-Table1[[#This Row],[Qty Accumulate]]))</f>
        <v>0</v>
      </c>
      <c r="U122">
        <f>((Table1[[#This Row],[Shift Output]]*Table1[[#This Row],[Part Weight (gm)]])/1000)+Table1[[#This Row],[Reject Startup (kg)]]+Table1[[#This Row],[Reject Purging (kg)]]+Table1[[#This Row],[Reject Preform (kg)]]</f>
        <v>0</v>
      </c>
      <c r="V122" s="37">
        <f>(Table1[[#This Row],[Gross Weight (gm)]]-Table1[[#This Row],[Part Weight (gm)]])*Table1[[#This Row],[Shift Output]]/1000</f>
        <v>0</v>
      </c>
      <c r="W122" s="3">
        <v>0</v>
      </c>
      <c r="X122" s="36" t="e">
        <f>Table1[[#This Row],[Reject Startup (kg)]]/Table1[[#This Row],[Material Used]]</f>
        <v>#DIV/0!</v>
      </c>
      <c r="Y122" s="3">
        <v>0</v>
      </c>
      <c r="Z122" s="36" t="e">
        <f>Table1[[#This Row],[Reject Prod (kg)]]/Table1[[#This Row],[Material Used]]</f>
        <v>#DIV/0!</v>
      </c>
      <c r="AA122" s="4">
        <v>0</v>
      </c>
      <c r="AB122" s="5">
        <v>12</v>
      </c>
      <c r="AC122" s="4" cm="1">
        <f t="array" ref="AC122">IFERROR(INDEX(ReferenceCard, MATCH(1, (INDEX(ReferenceCard,,1)=Table1[[#This Row],[SAP No]]) * (INDEX(ReferenceCard,,2)=Table1[[#This Row],[Mould No]]), 0), 9),)</f>
        <v>35.6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L122" s="2"/>
      <c r="AM122" s="2"/>
      <c r="AN122" s="3">
        <v>0</v>
      </c>
      <c r="AO122" s="3">
        <v>0</v>
      </c>
      <c r="AP12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3" spans="1:42" x14ac:dyDescent="0.35">
      <c r="A123" s="1">
        <v>46019</v>
      </c>
      <c r="B123">
        <v>1</v>
      </c>
      <c r="C123" t="s">
        <v>3</v>
      </c>
      <c r="D123" t="str" cm="1">
        <f t="array" ref="D123">IFERROR(INDEX(ReferenceCard, MATCH(1, (INDEX(ReferenceCard,,1)=Table1[[#This Row],[SAP No]]) * (INDEX(ReferenceCard,,2)=Table1[[#This Row],[Mould No]]), 0), 6),)</f>
        <v>PET</v>
      </c>
      <c r="E123">
        <v>423215</v>
      </c>
      <c r="F123">
        <v>0</v>
      </c>
      <c r="G123" t="str" cm="1">
        <f t="array" ref="G123">IFERROR(INDEX(ReferenceCard, MATCH(1, (INDEX(ReferenceCard,,1)=Table1[[#This Row],[SAP No]]) * (INDEX(ReferenceCard,,2)=Table1[[#This Row],[Mould No]]), 0), 3),)</f>
        <v>BC28-0355-SCC-A-Q-CL</v>
      </c>
      <c r="H123">
        <v>0</v>
      </c>
      <c r="I123" cm="1">
        <f t="array" ref="I123">IFERROR(INDEX(ReferenceCard, MATCH(1, (INDEX(ReferenceCard,,1)=Table1[[#This Row],[SAP No]]) * (INDEX(ReferenceCard,,2)=Table1[[#This Row],[Mould No]]), 0), 4),)</f>
        <v>4</v>
      </c>
      <c r="J123" s="4" cm="1">
        <f t="array" ref="J123">IFERROR(INDEX(ReferenceCard, MATCH(1, (INDEX(ReferenceCard,,1)=Table1[[#This Row],[SAP No]]) * (INDEX(ReferenceCard,,2)=Table1[[#This Row],[Mould No]]), 0), 9),)</f>
        <v>24</v>
      </c>
      <c r="K123" s="4" cm="1">
        <f t="array" ref="K123">IFERROR(INDEX(ReferenceCard, MATCH(1, (INDEX(ReferenceCard,,1)=Table1[[#This Row],[SAP No]]) * (INDEX(ReferenceCard,,2)=Table1[[#This Row],[Mould No]]), 0), 7),)</f>
        <v>24</v>
      </c>
      <c r="L123">
        <v>0</v>
      </c>
      <c r="M123">
        <v>0</v>
      </c>
      <c r="N123">
        <v>0</v>
      </c>
      <c r="O123">
        <v>0</v>
      </c>
      <c r="P123">
        <f>Table1[[#This Row],[Shot]]*Table1[[#This Row],[Cav]]</f>
        <v>0</v>
      </c>
      <c r="Q123">
        <v>0</v>
      </c>
      <c r="R123">
        <f>(Table1[[#This Row],[Part Weight (gm)]]*Table1[[#This Row],[Finish Good]])/1000</f>
        <v>0</v>
      </c>
      <c r="S123">
        <v>0</v>
      </c>
      <c r="T123">
        <f>IF(Table1[[#This Row],[Qty Order]]="Sample","-",IF(Table1[[#This Row],[Qty Order]]="RTFN","-",Table1[[#This Row],[Qty Order]]-Table1[[#This Row],[Qty Accumulate]]))</f>
        <v>0</v>
      </c>
      <c r="U123">
        <f>((Table1[[#This Row],[Shift Output]]*Table1[[#This Row],[Part Weight (gm)]])/1000)+Table1[[#This Row],[Reject Startup (kg)]]+Table1[[#This Row],[Reject Purging (kg)]]+Table1[[#This Row],[Reject Preform (kg)]]</f>
        <v>0</v>
      </c>
      <c r="V123" s="37">
        <f>(Table1[[#This Row],[Gross Weight (gm)]]-Table1[[#This Row],[Part Weight (gm)]])*Table1[[#This Row],[Shift Output]]/1000</f>
        <v>0</v>
      </c>
      <c r="W123" s="3">
        <v>0</v>
      </c>
      <c r="X123" s="36" t="e">
        <f>Table1[[#This Row],[Reject Startup (kg)]]/Table1[[#This Row],[Material Used]]</f>
        <v>#DIV/0!</v>
      </c>
      <c r="Y123" s="3">
        <v>0</v>
      </c>
      <c r="Z123" s="36" t="e">
        <f>Table1[[#This Row],[Reject Prod (kg)]]/Table1[[#This Row],[Material Used]]</f>
        <v>#DIV/0!</v>
      </c>
      <c r="AA123" s="4">
        <v>0</v>
      </c>
      <c r="AB123" s="5">
        <v>0</v>
      </c>
      <c r="AC123" s="4" cm="1">
        <f t="array" ref="AC123">IFERROR(INDEX(ReferenceCard, MATCH(1, (INDEX(ReferenceCard,,1)=Table1[[#This Row],[SAP No]]) * (INDEX(ReferenceCard,,2)=Table1[[#This Row],[Mould No]]), 0), 9),)</f>
        <v>24</v>
      </c>
      <c r="AD123" s="5">
        <v>0</v>
      </c>
      <c r="AE123" s="5">
        <v>0</v>
      </c>
      <c r="AF123" s="5">
        <v>0</v>
      </c>
      <c r="AG123" s="5">
        <v>0</v>
      </c>
      <c r="AH123" s="5">
        <v>12</v>
      </c>
      <c r="AI123" s="5">
        <v>0</v>
      </c>
      <c r="AJ123" s="5">
        <v>0</v>
      </c>
      <c r="AL123" s="2"/>
      <c r="AM123" s="2"/>
      <c r="AN123" s="3">
        <v>0</v>
      </c>
      <c r="AO123" s="3">
        <v>0</v>
      </c>
      <c r="AP12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4" spans="1:42" x14ac:dyDescent="0.35">
      <c r="A124" s="1">
        <v>46019</v>
      </c>
      <c r="B124">
        <v>1</v>
      </c>
      <c r="C124" t="s">
        <v>5</v>
      </c>
      <c r="D124" t="str" cm="1">
        <f t="array" ref="D124">IFERROR(INDEX(ReferenceCard, MATCH(1, (INDEX(ReferenceCard,,1)=Table1[[#This Row],[SAP No]]) * (INDEX(ReferenceCard,,2)=Table1[[#This Row],[Mould No]]), 0), 6),)</f>
        <v>PET</v>
      </c>
      <c r="E124">
        <v>543590</v>
      </c>
      <c r="F124">
        <v>0</v>
      </c>
      <c r="G124" t="str" cm="1">
        <f t="array" ref="G124">IFERROR(INDEX(ReferenceCard, MATCH(1, (INDEX(ReferenceCard,,1)=Table1[[#This Row],[SAP No]]) * (INDEX(ReferenceCard,,2)=Table1[[#This Row],[Mould No]]), 0), 3),)</f>
        <v>BC28-0130-R-R-AM</v>
      </c>
      <c r="H124">
        <v>0</v>
      </c>
      <c r="I124" cm="1">
        <f t="array" ref="I124">IFERROR(INDEX(ReferenceCard, MATCH(1, (INDEX(ReferenceCard,,1)=Table1[[#This Row],[SAP No]]) * (INDEX(ReferenceCard,,2)=Table1[[#This Row],[Mould No]]), 0), 4),)</f>
        <v>4</v>
      </c>
      <c r="J124" s="4" cm="1">
        <f t="array" ref="J124">IFERROR(INDEX(ReferenceCard, MATCH(1, (INDEX(ReferenceCard,,1)=Table1[[#This Row],[SAP No]]) * (INDEX(ReferenceCard,,2)=Table1[[#This Row],[Mould No]]), 0), 9),)</f>
        <v>19</v>
      </c>
      <c r="K124" s="4" cm="1">
        <f t="array" ref="K124">IFERROR(INDEX(ReferenceCard, MATCH(1, (INDEX(ReferenceCard,,1)=Table1[[#This Row],[SAP No]]) * (INDEX(ReferenceCard,,2)=Table1[[#This Row],[Mould No]]), 0), 7),)</f>
        <v>19</v>
      </c>
      <c r="L124">
        <v>0</v>
      </c>
      <c r="M124">
        <v>0</v>
      </c>
      <c r="N124">
        <v>0</v>
      </c>
      <c r="O124">
        <v>0</v>
      </c>
      <c r="P124">
        <f>Table1[[#This Row],[Shot]]*Table1[[#This Row],[Cav]]</f>
        <v>0</v>
      </c>
      <c r="Q124">
        <v>0</v>
      </c>
      <c r="R124">
        <f>(Table1[[#This Row],[Part Weight (gm)]]*Table1[[#This Row],[Finish Good]])/1000</f>
        <v>0</v>
      </c>
      <c r="S124">
        <v>0</v>
      </c>
      <c r="T124">
        <f>IF(Table1[[#This Row],[Qty Order]]="Sample","-",IF(Table1[[#This Row],[Qty Order]]="RTFN","-",Table1[[#This Row],[Qty Order]]-Table1[[#This Row],[Qty Accumulate]]))</f>
        <v>0</v>
      </c>
      <c r="U124">
        <f>((Table1[[#This Row],[Shift Output]]*Table1[[#This Row],[Part Weight (gm)]])/1000)+Table1[[#This Row],[Reject Startup (kg)]]+Table1[[#This Row],[Reject Purging (kg)]]+Table1[[#This Row],[Reject Preform (kg)]]</f>
        <v>0</v>
      </c>
      <c r="V124" s="37">
        <f>(Table1[[#This Row],[Gross Weight (gm)]]-Table1[[#This Row],[Part Weight (gm)]])*Table1[[#This Row],[Shift Output]]/1000</f>
        <v>0</v>
      </c>
      <c r="W124" s="3">
        <v>0</v>
      </c>
      <c r="X124" s="36" t="e">
        <f>Table1[[#This Row],[Reject Startup (kg)]]/Table1[[#This Row],[Material Used]]</f>
        <v>#DIV/0!</v>
      </c>
      <c r="Y124" s="3">
        <v>0</v>
      </c>
      <c r="Z124" s="36" t="e">
        <f>Table1[[#This Row],[Reject Prod (kg)]]/Table1[[#This Row],[Material Used]]</f>
        <v>#DIV/0!</v>
      </c>
      <c r="AA124" s="4">
        <v>0</v>
      </c>
      <c r="AB124" s="5">
        <v>12</v>
      </c>
      <c r="AC124" s="4" cm="1">
        <f t="array" ref="AC124">IFERROR(INDEX(ReferenceCard, MATCH(1, (INDEX(ReferenceCard,,1)=Table1[[#This Row],[SAP No]]) * (INDEX(ReferenceCard,,2)=Table1[[#This Row],[Mould No]]), 0), 9),)</f>
        <v>19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L124" s="2"/>
      <c r="AM124" s="2"/>
      <c r="AN124" s="3">
        <v>0</v>
      </c>
      <c r="AO124" s="3">
        <v>0</v>
      </c>
      <c r="AP12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5" spans="1:42" x14ac:dyDescent="0.35">
      <c r="A125" s="1">
        <v>46019</v>
      </c>
      <c r="B125">
        <v>1</v>
      </c>
      <c r="C125" t="s">
        <v>7</v>
      </c>
      <c r="D125" t="str" cm="1">
        <f t="array" ref="D125">IFERROR(INDEX(ReferenceCard, MATCH(1, (INDEX(ReferenceCard,,1)=Table1[[#This Row],[SAP No]]) * (INDEX(ReferenceCard,,2)=Table1[[#This Row],[Mould No]]), 0), 6),)</f>
        <v>PET</v>
      </c>
      <c r="E125">
        <v>451191</v>
      </c>
      <c r="F125">
        <v>0</v>
      </c>
      <c r="G125" t="str" cm="1">
        <f t="array" ref="G125">IFERROR(INDEX(ReferenceCard, MATCH(1, (INDEX(ReferenceCard,,1)=Table1[[#This Row],[SAP No]]) * (INDEX(ReferenceCard,,2)=Table1[[#This Row],[Mould No]]), 0), 3),)</f>
        <v>BX38-0350-Z-C-CL</v>
      </c>
      <c r="H125">
        <v>0</v>
      </c>
      <c r="I125" cm="1">
        <f t="array" ref="I125">IFERROR(INDEX(ReferenceCard, MATCH(1, (INDEX(ReferenceCard,,1)=Table1[[#This Row],[SAP No]]) * (INDEX(ReferenceCard,,2)=Table1[[#This Row],[Mould No]]), 0), 4),)</f>
        <v>4</v>
      </c>
      <c r="J125" s="4" cm="1">
        <f t="array" ref="J125">IFERROR(INDEX(ReferenceCard, MATCH(1, (INDEX(ReferenceCard,,1)=Table1[[#This Row],[SAP No]]) * (INDEX(ReferenceCard,,2)=Table1[[#This Row],[Mould No]]), 0), 9),)</f>
        <v>29</v>
      </c>
      <c r="K125" s="4" cm="1">
        <f t="array" ref="K125">IFERROR(INDEX(ReferenceCard, MATCH(1, (INDEX(ReferenceCard,,1)=Table1[[#This Row],[SAP No]]) * (INDEX(ReferenceCard,,2)=Table1[[#This Row],[Mould No]]), 0), 7),)</f>
        <v>29</v>
      </c>
      <c r="L125">
        <v>0</v>
      </c>
      <c r="M125">
        <v>0</v>
      </c>
      <c r="N125">
        <v>0</v>
      </c>
      <c r="O125">
        <v>0</v>
      </c>
      <c r="P125">
        <f>Table1[[#This Row],[Shot]]*Table1[[#This Row],[Cav]]</f>
        <v>0</v>
      </c>
      <c r="Q125">
        <v>0</v>
      </c>
      <c r="R125">
        <f>(Table1[[#This Row],[Part Weight (gm)]]*Table1[[#This Row],[Finish Good]])/1000</f>
        <v>0</v>
      </c>
      <c r="S125">
        <v>0</v>
      </c>
      <c r="T125">
        <f>IF(Table1[[#This Row],[Qty Order]]="Sample","-",IF(Table1[[#This Row],[Qty Order]]="RTFN","-",Table1[[#This Row],[Qty Order]]-Table1[[#This Row],[Qty Accumulate]]))</f>
        <v>0</v>
      </c>
      <c r="U125">
        <f>((Table1[[#This Row],[Shift Output]]*Table1[[#This Row],[Part Weight (gm)]])/1000)+Table1[[#This Row],[Reject Startup (kg)]]+Table1[[#This Row],[Reject Purging (kg)]]+Table1[[#This Row],[Reject Preform (kg)]]</f>
        <v>0</v>
      </c>
      <c r="V125" s="37">
        <f>(Table1[[#This Row],[Gross Weight (gm)]]-Table1[[#This Row],[Part Weight (gm)]])*Table1[[#This Row],[Shift Output]]/1000</f>
        <v>0</v>
      </c>
      <c r="W125" s="3">
        <v>0</v>
      </c>
      <c r="X125" s="36" t="e">
        <f>Table1[[#This Row],[Reject Startup (kg)]]/Table1[[#This Row],[Material Used]]</f>
        <v>#DIV/0!</v>
      </c>
      <c r="Y125" s="3">
        <v>0</v>
      </c>
      <c r="Z125" s="36" t="e">
        <f>Table1[[#This Row],[Reject Prod (kg)]]/Table1[[#This Row],[Material Used]]</f>
        <v>#DIV/0!</v>
      </c>
      <c r="AA125" s="4">
        <v>0</v>
      </c>
      <c r="AB125" s="5">
        <v>12</v>
      </c>
      <c r="AC125" s="4" cm="1">
        <f t="array" ref="AC125">IFERROR(INDEX(ReferenceCard, MATCH(1, (INDEX(ReferenceCard,,1)=Table1[[#This Row],[SAP No]]) * (INDEX(ReferenceCard,,2)=Table1[[#This Row],[Mould No]]), 0), 9),)</f>
        <v>29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L125" s="2"/>
      <c r="AM125" s="2"/>
      <c r="AN125" s="3">
        <v>0</v>
      </c>
      <c r="AO125" s="3">
        <v>0</v>
      </c>
      <c r="AP12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6" spans="1:42" x14ac:dyDescent="0.35">
      <c r="A126" s="1">
        <v>46019</v>
      </c>
      <c r="B126">
        <v>1</v>
      </c>
      <c r="C126" t="s">
        <v>9</v>
      </c>
      <c r="D126" t="str" cm="1">
        <f t="array" ref="D126">IFERROR(INDEX(ReferenceCard, MATCH(1, (INDEX(ReferenceCard,,1)=Table1[[#This Row],[SAP No]]) * (INDEX(ReferenceCard,,2)=Table1[[#This Row],[Mould No]]), 0), 6),)</f>
        <v>PET</v>
      </c>
      <c r="E126">
        <v>322451</v>
      </c>
      <c r="F126">
        <v>0</v>
      </c>
      <c r="G126" t="str" cm="1">
        <f t="array" ref="G126">IFERROR(INDEX(ReferenceCard, MATCH(1, (INDEX(ReferenceCard,,1)=Table1[[#This Row],[SAP No]]) * (INDEX(ReferenceCard,,2)=Table1[[#This Row],[Mould No]]), 0), 3),)</f>
        <v>BC28-0500-WNHP-R-BR</v>
      </c>
      <c r="H126">
        <v>0</v>
      </c>
      <c r="I126" cm="1">
        <f t="array" ref="I126">IFERROR(INDEX(ReferenceCard, MATCH(1, (INDEX(ReferenceCard,,1)=Table1[[#This Row],[SAP No]]) * (INDEX(ReferenceCard,,2)=Table1[[#This Row],[Mould No]]), 0), 4),)</f>
        <v>4</v>
      </c>
      <c r="J126" s="4" cm="1">
        <f t="array" ref="J126">IFERROR(INDEX(ReferenceCard, MATCH(1, (INDEX(ReferenceCard,,1)=Table1[[#This Row],[SAP No]]) * (INDEX(ReferenceCard,,2)=Table1[[#This Row],[Mould No]]), 0), 9),)</f>
        <v>45.6</v>
      </c>
      <c r="K126" s="4" cm="1">
        <f t="array" ref="K126">IFERROR(INDEX(ReferenceCard, MATCH(1, (INDEX(ReferenceCard,,1)=Table1[[#This Row],[SAP No]]) * (INDEX(ReferenceCard,,2)=Table1[[#This Row],[Mould No]]), 0), 7),)</f>
        <v>45.6</v>
      </c>
      <c r="L126">
        <v>0</v>
      </c>
      <c r="M126">
        <v>0</v>
      </c>
      <c r="N126">
        <v>0</v>
      </c>
      <c r="O126">
        <v>0</v>
      </c>
      <c r="P126">
        <f>Table1[[#This Row],[Shot]]*Table1[[#This Row],[Cav]]</f>
        <v>0</v>
      </c>
      <c r="Q126">
        <v>0</v>
      </c>
      <c r="R126">
        <f>(Table1[[#This Row],[Part Weight (gm)]]*Table1[[#This Row],[Finish Good]])/1000</f>
        <v>0</v>
      </c>
      <c r="S126">
        <v>0</v>
      </c>
      <c r="T126">
        <f>IF(Table1[[#This Row],[Qty Order]]="Sample","-",IF(Table1[[#This Row],[Qty Order]]="RTFN","-",Table1[[#This Row],[Qty Order]]-Table1[[#This Row],[Qty Accumulate]]))</f>
        <v>0</v>
      </c>
      <c r="U126">
        <f>((Table1[[#This Row],[Shift Output]]*Table1[[#This Row],[Part Weight (gm)]])/1000)+Table1[[#This Row],[Reject Startup (kg)]]+Table1[[#This Row],[Reject Purging (kg)]]+Table1[[#This Row],[Reject Preform (kg)]]</f>
        <v>0</v>
      </c>
      <c r="V126" s="37">
        <f>(Table1[[#This Row],[Gross Weight (gm)]]-Table1[[#This Row],[Part Weight (gm)]])*Table1[[#This Row],[Shift Output]]/1000</f>
        <v>0</v>
      </c>
      <c r="W126" s="3">
        <v>0</v>
      </c>
      <c r="X126" s="36" t="e">
        <f>Table1[[#This Row],[Reject Startup (kg)]]/Table1[[#This Row],[Material Used]]</f>
        <v>#DIV/0!</v>
      </c>
      <c r="Y126" s="3">
        <v>0</v>
      </c>
      <c r="Z126" s="36" t="e">
        <f>Table1[[#This Row],[Reject Prod (kg)]]/Table1[[#This Row],[Material Used]]</f>
        <v>#DIV/0!</v>
      </c>
      <c r="AA126" s="4">
        <v>0</v>
      </c>
      <c r="AB126" s="5">
        <v>12</v>
      </c>
      <c r="AC126" s="4" cm="1">
        <f t="array" ref="AC126">IFERROR(INDEX(ReferenceCard, MATCH(1, (INDEX(ReferenceCard,,1)=Table1[[#This Row],[SAP No]]) * (INDEX(ReferenceCard,,2)=Table1[[#This Row],[Mould No]]), 0), 9),)</f>
        <v>45.6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L126" s="2"/>
      <c r="AM126" s="2"/>
      <c r="AN126" s="3">
        <v>0</v>
      </c>
      <c r="AO126" s="3">
        <v>0</v>
      </c>
      <c r="AP12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7" spans="1:42" x14ac:dyDescent="0.35">
      <c r="A127" s="1">
        <v>46019</v>
      </c>
      <c r="B127">
        <v>1</v>
      </c>
      <c r="C127" t="s">
        <v>11</v>
      </c>
      <c r="D127" t="str" cm="1">
        <f t="array" ref="D127">IFERROR(INDEX(ReferenceCard, MATCH(1, (INDEX(ReferenceCard,,1)=Table1[[#This Row],[SAP No]]) * (INDEX(ReferenceCard,,2)=Table1[[#This Row],[Mould No]]), 0), 6),)</f>
        <v>rPET</v>
      </c>
      <c r="E127">
        <v>620994</v>
      </c>
      <c r="F127">
        <v>0</v>
      </c>
      <c r="G127" t="str" cm="1">
        <f t="array" ref="G127">IFERROR(INDEX(ReferenceCard, MATCH(1, (INDEX(ReferenceCard,,1)=Table1[[#This Row],[SAP No]]) * (INDEX(ReferenceCard,,2)=Table1[[#This Row],[Mould No]]), 0), 3),)</f>
        <v>JJ63-0400-SH-S-CL-rPET</v>
      </c>
      <c r="H127">
        <v>0</v>
      </c>
      <c r="I127" cm="1">
        <f t="array" ref="I127">IFERROR(INDEX(ReferenceCard, MATCH(1, (INDEX(ReferenceCard,,1)=Table1[[#This Row],[SAP No]]) * (INDEX(ReferenceCard,,2)=Table1[[#This Row],[Mould No]]), 0), 4),)</f>
        <v>4</v>
      </c>
      <c r="J127" s="4" cm="1">
        <f t="array" ref="J127">IFERROR(INDEX(ReferenceCard, MATCH(1, (INDEX(ReferenceCard,,1)=Table1[[#This Row],[SAP No]]) * (INDEX(ReferenceCard,,2)=Table1[[#This Row],[Mould No]]), 0), 9),)</f>
        <v>32.74</v>
      </c>
      <c r="K127" s="4" cm="1">
        <f t="array" ref="K127">IFERROR(INDEX(ReferenceCard, MATCH(1, (INDEX(ReferenceCard,,1)=Table1[[#This Row],[SAP No]]) * (INDEX(ReferenceCard,,2)=Table1[[#This Row],[Mould No]]), 0), 7),)</f>
        <v>33</v>
      </c>
      <c r="L127">
        <v>0</v>
      </c>
      <c r="M127">
        <v>0</v>
      </c>
      <c r="N127">
        <v>0</v>
      </c>
      <c r="O127">
        <v>0</v>
      </c>
      <c r="P127">
        <f>Table1[[#This Row],[Shot]]*Table1[[#This Row],[Cav]]</f>
        <v>0</v>
      </c>
      <c r="Q127">
        <v>0</v>
      </c>
      <c r="R127">
        <f>(Table1[[#This Row],[Part Weight (gm)]]*Table1[[#This Row],[Finish Good]])/1000</f>
        <v>0</v>
      </c>
      <c r="S127">
        <v>0</v>
      </c>
      <c r="T127">
        <f>IF(Table1[[#This Row],[Qty Order]]="Sample","-",IF(Table1[[#This Row],[Qty Order]]="RTFN","-",Table1[[#This Row],[Qty Order]]-Table1[[#This Row],[Qty Accumulate]]))</f>
        <v>0</v>
      </c>
      <c r="U127">
        <f>((Table1[[#This Row],[Shift Output]]*Table1[[#This Row],[Part Weight (gm)]])/1000)+Table1[[#This Row],[Reject Startup (kg)]]+Table1[[#This Row],[Reject Purging (kg)]]+Table1[[#This Row],[Reject Preform (kg)]]</f>
        <v>0</v>
      </c>
      <c r="V127" s="37">
        <f>(Table1[[#This Row],[Gross Weight (gm)]]-Table1[[#This Row],[Part Weight (gm)]])*Table1[[#This Row],[Shift Output]]/1000</f>
        <v>0</v>
      </c>
      <c r="W127" s="3">
        <v>0</v>
      </c>
      <c r="X127" s="36" t="e">
        <f>Table1[[#This Row],[Reject Startup (kg)]]/Table1[[#This Row],[Material Used]]</f>
        <v>#DIV/0!</v>
      </c>
      <c r="Y127" s="3">
        <v>0</v>
      </c>
      <c r="Z127" s="36" t="e">
        <f>Table1[[#This Row],[Reject Prod (kg)]]/Table1[[#This Row],[Material Used]]</f>
        <v>#DIV/0!</v>
      </c>
      <c r="AA127" s="4">
        <v>0</v>
      </c>
      <c r="AB127" s="5">
        <v>12</v>
      </c>
      <c r="AC127" s="4" cm="1">
        <f t="array" ref="AC127">IFERROR(INDEX(ReferenceCard, MATCH(1, (INDEX(ReferenceCard,,1)=Table1[[#This Row],[SAP No]]) * (INDEX(ReferenceCard,,2)=Table1[[#This Row],[Mould No]]), 0), 9),)</f>
        <v>32.74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L127" s="2"/>
      <c r="AM127" s="2"/>
      <c r="AN127" s="3">
        <v>0</v>
      </c>
      <c r="AO127" s="3">
        <v>0</v>
      </c>
      <c r="AP12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8" spans="1:42" x14ac:dyDescent="0.35">
      <c r="A128" s="1">
        <v>46019</v>
      </c>
      <c r="B128">
        <v>1</v>
      </c>
      <c r="C128" t="s">
        <v>14</v>
      </c>
      <c r="D128" t="str" cm="1">
        <f t="array" ref="D128">IFERROR(INDEX(ReferenceCard, MATCH(1, (INDEX(ReferenceCard,,1)=Table1[[#This Row],[SAP No]]) * (INDEX(ReferenceCard,,2)=Table1[[#This Row],[Mould No]]), 0), 6),)</f>
        <v>PET</v>
      </c>
      <c r="E128">
        <v>322444</v>
      </c>
      <c r="F128">
        <v>0</v>
      </c>
      <c r="G128" t="str" cm="1">
        <f t="array" ref="G128">IFERROR(INDEX(ReferenceCard, MATCH(1, (INDEX(ReferenceCard,,1)=Table1[[#This Row],[SAP No]]) * (INDEX(ReferenceCard,,2)=Table1[[#This Row],[Mould No]]), 0), 3),)</f>
        <v>JJ63-0400-RH-R-CL</v>
      </c>
      <c r="H128">
        <v>0</v>
      </c>
      <c r="I128" cm="1">
        <f t="array" ref="I128">IFERROR(INDEX(ReferenceCard, MATCH(1, (INDEX(ReferenceCard,,1)=Table1[[#This Row],[SAP No]]) * (INDEX(ReferenceCard,,2)=Table1[[#This Row],[Mould No]]), 0), 4),)</f>
        <v>4</v>
      </c>
      <c r="J128" s="4" cm="1">
        <f t="array" ref="J128">IFERROR(INDEX(ReferenceCard, MATCH(1, (INDEX(ReferenceCard,,1)=Table1[[#This Row],[SAP No]]) * (INDEX(ReferenceCard,,2)=Table1[[#This Row],[Mould No]]), 0), 9),)</f>
        <v>32.74</v>
      </c>
      <c r="K128" s="4" cm="1">
        <f t="array" ref="K128">IFERROR(INDEX(ReferenceCard, MATCH(1, (INDEX(ReferenceCard,,1)=Table1[[#This Row],[SAP No]]) * (INDEX(ReferenceCard,,2)=Table1[[#This Row],[Mould No]]), 0), 7),)</f>
        <v>34.5</v>
      </c>
      <c r="L128">
        <v>0</v>
      </c>
      <c r="M128">
        <v>0</v>
      </c>
      <c r="N128">
        <v>0</v>
      </c>
      <c r="O128">
        <v>0</v>
      </c>
      <c r="P128">
        <f>Table1[[#This Row],[Shot]]*Table1[[#This Row],[Cav]]</f>
        <v>0</v>
      </c>
      <c r="Q128">
        <v>0</v>
      </c>
      <c r="R128">
        <f>(Table1[[#This Row],[Part Weight (gm)]]*Table1[[#This Row],[Finish Good]])/1000</f>
        <v>0</v>
      </c>
      <c r="S128">
        <v>0</v>
      </c>
      <c r="T128">
        <f>IF(Table1[[#This Row],[Qty Order]]="Sample","-",IF(Table1[[#This Row],[Qty Order]]="RTFN","-",Table1[[#This Row],[Qty Order]]-Table1[[#This Row],[Qty Accumulate]]))</f>
        <v>0</v>
      </c>
      <c r="U128">
        <f>((Table1[[#This Row],[Shift Output]]*Table1[[#This Row],[Part Weight (gm)]])/1000)+Table1[[#This Row],[Reject Startup (kg)]]+Table1[[#This Row],[Reject Purging (kg)]]+Table1[[#This Row],[Reject Preform (kg)]]</f>
        <v>0</v>
      </c>
      <c r="V128" s="37">
        <f>(Table1[[#This Row],[Gross Weight (gm)]]-Table1[[#This Row],[Part Weight (gm)]])*Table1[[#This Row],[Shift Output]]/1000</f>
        <v>0</v>
      </c>
      <c r="W128" s="3">
        <v>0</v>
      </c>
      <c r="X128" s="36" t="e">
        <f>Table1[[#This Row],[Reject Startup (kg)]]/Table1[[#This Row],[Material Used]]</f>
        <v>#DIV/0!</v>
      </c>
      <c r="Y128" s="3">
        <v>0</v>
      </c>
      <c r="Z128" s="36" t="e">
        <f>Table1[[#This Row],[Reject Prod (kg)]]/Table1[[#This Row],[Material Used]]</f>
        <v>#DIV/0!</v>
      </c>
      <c r="AA128" s="4">
        <v>0</v>
      </c>
      <c r="AB128" s="5">
        <v>0</v>
      </c>
      <c r="AC128" s="4" cm="1">
        <f t="array" ref="AC128">IFERROR(INDEX(ReferenceCard, MATCH(1, (INDEX(ReferenceCard,,1)=Table1[[#This Row],[SAP No]]) * (INDEX(ReferenceCard,,2)=Table1[[#This Row],[Mould No]]), 0), 9),)</f>
        <v>32.74</v>
      </c>
      <c r="AD128" s="5">
        <v>0</v>
      </c>
      <c r="AE128" s="5">
        <v>0</v>
      </c>
      <c r="AF128" s="5">
        <v>0</v>
      </c>
      <c r="AG128" s="5">
        <v>0</v>
      </c>
      <c r="AH128" s="5">
        <v>12</v>
      </c>
      <c r="AI128" s="5">
        <v>0</v>
      </c>
      <c r="AJ128" s="5">
        <v>0</v>
      </c>
      <c r="AL128" s="2"/>
      <c r="AM128" s="2"/>
      <c r="AN128" s="3">
        <v>0</v>
      </c>
      <c r="AO128" s="3">
        <v>0</v>
      </c>
      <c r="AP12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29" spans="1:42" x14ac:dyDescent="0.35">
      <c r="A129" s="1">
        <v>46019</v>
      </c>
      <c r="B129">
        <v>1</v>
      </c>
      <c r="C129" t="s">
        <v>16</v>
      </c>
      <c r="D129" t="str" cm="1">
        <f t="array" ref="D129">IFERROR(INDEX(ReferenceCard, MATCH(1, (INDEX(ReferenceCard,,1)=Table1[[#This Row],[SAP No]]) * (INDEX(ReferenceCard,,2)=Table1[[#This Row],[Mould No]]), 0), 6),)</f>
        <v>PET</v>
      </c>
      <c r="E129">
        <v>324206</v>
      </c>
      <c r="F129">
        <v>0</v>
      </c>
      <c r="G129" t="str" cm="1">
        <f t="array" ref="G129">IFERROR(INDEX(ReferenceCard, MATCH(1, (INDEX(ReferenceCard,,1)=Table1[[#This Row],[SAP No]]) * (INDEX(ReferenceCard,,2)=Table1[[#This Row],[Mould No]]), 0), 3),)</f>
        <v>BX38-1000-HC-S-CL</v>
      </c>
      <c r="H129">
        <v>0</v>
      </c>
      <c r="I129" cm="1">
        <f t="array" ref="I129">IFERROR(INDEX(ReferenceCard, MATCH(1, (INDEX(ReferenceCard,,1)=Table1[[#This Row],[SAP No]]) * (INDEX(ReferenceCard,,2)=Table1[[#This Row],[Mould No]]), 0), 4),)</f>
        <v>4</v>
      </c>
      <c r="J129" s="4" cm="1">
        <f t="array" ref="J129">IFERROR(INDEX(ReferenceCard, MATCH(1, (INDEX(ReferenceCard,,1)=Table1[[#This Row],[SAP No]]) * (INDEX(ReferenceCard,,2)=Table1[[#This Row],[Mould No]]), 0), 9),)</f>
        <v>49</v>
      </c>
      <c r="K129" s="4" cm="1">
        <f t="array" ref="K129">IFERROR(INDEX(ReferenceCard, MATCH(1, (INDEX(ReferenceCard,,1)=Table1[[#This Row],[SAP No]]) * (INDEX(ReferenceCard,,2)=Table1[[#This Row],[Mould No]]), 0), 7),)</f>
        <v>48</v>
      </c>
      <c r="L129">
        <v>0</v>
      </c>
      <c r="M129">
        <v>0</v>
      </c>
      <c r="N129">
        <v>0</v>
      </c>
      <c r="O129">
        <v>0</v>
      </c>
      <c r="P129">
        <f>Table1[[#This Row],[Shot]]*Table1[[#This Row],[Cav]]</f>
        <v>0</v>
      </c>
      <c r="Q129">
        <v>0</v>
      </c>
      <c r="R129">
        <f>(Table1[[#This Row],[Part Weight (gm)]]*Table1[[#This Row],[Finish Good]])/1000</f>
        <v>0</v>
      </c>
      <c r="S129">
        <v>0</v>
      </c>
      <c r="T129">
        <f>IF(Table1[[#This Row],[Qty Order]]="Sample","-",IF(Table1[[#This Row],[Qty Order]]="RTFN","-",Table1[[#This Row],[Qty Order]]-Table1[[#This Row],[Qty Accumulate]]))</f>
        <v>0</v>
      </c>
      <c r="U129">
        <f>((Table1[[#This Row],[Shift Output]]*Table1[[#This Row],[Part Weight (gm)]])/1000)+Table1[[#This Row],[Reject Startup (kg)]]+Table1[[#This Row],[Reject Purging (kg)]]+Table1[[#This Row],[Reject Preform (kg)]]</f>
        <v>0</v>
      </c>
      <c r="V129" s="37">
        <f>(Table1[[#This Row],[Gross Weight (gm)]]-Table1[[#This Row],[Part Weight (gm)]])*Table1[[#This Row],[Shift Output]]/1000</f>
        <v>0</v>
      </c>
      <c r="W129" s="3">
        <v>0</v>
      </c>
      <c r="X129" s="36" t="e">
        <f>Table1[[#This Row],[Reject Startup (kg)]]/Table1[[#This Row],[Material Used]]</f>
        <v>#DIV/0!</v>
      </c>
      <c r="Y129" s="3">
        <v>0</v>
      </c>
      <c r="Z129" s="36" t="e">
        <f>Table1[[#This Row],[Reject Prod (kg)]]/Table1[[#This Row],[Material Used]]</f>
        <v>#DIV/0!</v>
      </c>
      <c r="AA129" s="4">
        <v>0</v>
      </c>
      <c r="AB129" s="5">
        <v>12</v>
      </c>
      <c r="AC129" s="4" cm="1">
        <f t="array" ref="AC129">IFERROR(INDEX(ReferenceCard, MATCH(1, (INDEX(ReferenceCard,,1)=Table1[[#This Row],[SAP No]]) * (INDEX(ReferenceCard,,2)=Table1[[#This Row],[Mould No]]), 0), 9),)</f>
        <v>49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L129" s="2"/>
      <c r="AM129" s="2"/>
      <c r="AN129" s="3">
        <v>0</v>
      </c>
      <c r="AO129" s="3">
        <v>0</v>
      </c>
      <c r="AP12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0" spans="1:42" x14ac:dyDescent="0.35">
      <c r="A130" s="1">
        <v>46019</v>
      </c>
      <c r="B130">
        <v>1</v>
      </c>
      <c r="C130" t="s">
        <v>23</v>
      </c>
      <c r="D130" t="str" cm="1">
        <f t="array" ref="D130">IFERROR(INDEX(ReferenceCard, MATCH(1, (INDEX(ReferenceCard,,1)=Table1[[#This Row],[SAP No]]) * (INDEX(ReferenceCard,,2)=Table1[[#This Row],[Mould No]]), 0), 6),)</f>
        <v>PPSB520Y</v>
      </c>
      <c r="E130">
        <v>586276</v>
      </c>
      <c r="F130">
        <v>2</v>
      </c>
      <c r="G130" t="str" cm="1">
        <f t="array" ref="G130">IFERROR(INDEX(ReferenceCard, MATCH(1, (INDEX(ReferenceCard,,1)=Table1[[#This Row],[SAP No]]) * (INDEX(ReferenceCard,,2)=Table1[[#This Row],[Mould No]]), 0), 3),)</f>
        <v>BC28-0056-D-APH-LEB-604001-MOLD2</v>
      </c>
      <c r="H130">
        <v>0</v>
      </c>
      <c r="I130" cm="1">
        <f t="array" ref="I130">IFERROR(INDEX(ReferenceCard, MATCH(1, (INDEX(ReferenceCard,,1)=Table1[[#This Row],[SAP No]]) * (INDEX(ReferenceCard,,2)=Table1[[#This Row],[Mould No]]), 0), 4),)</f>
        <v>6</v>
      </c>
      <c r="J130" s="4" cm="1">
        <f t="array" ref="J130">IFERROR(INDEX(ReferenceCard, MATCH(1, (INDEX(ReferenceCard,,1)=Table1[[#This Row],[SAP No]]) * (INDEX(ReferenceCard,,2)=Table1[[#This Row],[Mould No]]), 0), 9),)</f>
        <v>12.3</v>
      </c>
      <c r="K130" s="4" cm="1">
        <f t="array" ref="K130">IFERROR(INDEX(ReferenceCard, MATCH(1, (INDEX(ReferenceCard,,1)=Table1[[#This Row],[SAP No]]) * (INDEX(ReferenceCard,,2)=Table1[[#This Row],[Mould No]]), 0), 7),)</f>
        <v>12.3</v>
      </c>
      <c r="L130">
        <v>0</v>
      </c>
      <c r="M130">
        <v>0</v>
      </c>
      <c r="N130">
        <v>0</v>
      </c>
      <c r="O130">
        <v>0</v>
      </c>
      <c r="P130">
        <f>Table1[[#This Row],[Shot]]*Table1[[#This Row],[Cav]]</f>
        <v>0</v>
      </c>
      <c r="Q130">
        <v>0</v>
      </c>
      <c r="R130">
        <f>(Table1[[#This Row],[Part Weight (gm)]]*Table1[[#This Row],[Finish Good]])/1000</f>
        <v>0</v>
      </c>
      <c r="S130">
        <v>0</v>
      </c>
      <c r="T130">
        <f>IF(Table1[[#This Row],[Qty Order]]="Sample","-",IF(Table1[[#This Row],[Qty Order]]="RTFN","-",Table1[[#This Row],[Qty Order]]-Table1[[#This Row],[Qty Accumulate]]))</f>
        <v>0</v>
      </c>
      <c r="U130">
        <f>((Table1[[#This Row],[Shift Output]]*Table1[[#This Row],[Part Weight (gm)]])/1000)+Table1[[#This Row],[Reject Startup (kg)]]+Table1[[#This Row],[Reject Purging (kg)]]+Table1[[#This Row],[Reject Preform (kg)]]</f>
        <v>0</v>
      </c>
      <c r="V130" s="37">
        <f>(Table1[[#This Row],[Gross Weight (gm)]]-Table1[[#This Row],[Part Weight (gm)]])*Table1[[#This Row],[Shift Output]]/1000</f>
        <v>0</v>
      </c>
      <c r="W130" s="3">
        <v>0</v>
      </c>
      <c r="X130" s="36" t="e">
        <f>Table1[[#This Row],[Reject Startup (kg)]]/Table1[[#This Row],[Material Used]]</f>
        <v>#DIV/0!</v>
      </c>
      <c r="Y130" s="3">
        <v>0</v>
      </c>
      <c r="Z130" s="36" t="e">
        <f>Table1[[#This Row],[Reject Prod (kg)]]/Table1[[#This Row],[Material Used]]</f>
        <v>#DIV/0!</v>
      </c>
      <c r="AA130" s="4">
        <v>0</v>
      </c>
      <c r="AB130" s="5">
        <v>12</v>
      </c>
      <c r="AC130" s="4" cm="1">
        <f t="array" ref="AC130">IFERROR(INDEX(ReferenceCard, MATCH(1, (INDEX(ReferenceCard,,1)=Table1[[#This Row],[SAP No]]) * (INDEX(ReferenceCard,,2)=Table1[[#This Row],[Mould No]]), 0), 9),)</f>
        <v>12.3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L130" s="2"/>
      <c r="AM130" s="2"/>
      <c r="AN130" s="3">
        <v>0</v>
      </c>
      <c r="AO130" s="3">
        <v>0</v>
      </c>
      <c r="AP13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1" spans="1:42" x14ac:dyDescent="0.35">
      <c r="A131" s="1">
        <v>46019</v>
      </c>
      <c r="B131">
        <v>1</v>
      </c>
      <c r="C131" t="s">
        <v>25</v>
      </c>
      <c r="D131" t="str" cm="1">
        <f t="array" ref="D131">IFERROR(INDEX(ReferenceCard, MATCH(1, (INDEX(ReferenceCard,,1)=Table1[[#This Row],[SAP No]]) * (INDEX(ReferenceCard,,2)=Table1[[#This Row],[Mould No]]), 0), 6),)</f>
        <v>PET</v>
      </c>
      <c r="E131">
        <v>323133</v>
      </c>
      <c r="F131">
        <v>0</v>
      </c>
      <c r="G131" t="str" cm="1">
        <f t="array" ref="G131">IFERROR(INDEX(ReferenceCard, MATCH(1, (INDEX(ReferenceCard,,1)=Table1[[#This Row],[SAP No]]) * (INDEX(ReferenceCard,,2)=Table1[[#This Row],[Mould No]]), 0), 3),)</f>
        <v>BX38-2000-RH-R-CL(GREEN) (ASEM)</v>
      </c>
      <c r="H131">
        <v>0</v>
      </c>
      <c r="I131" cm="1">
        <f t="array" ref="I131">IFERROR(INDEX(ReferenceCard, MATCH(1, (INDEX(ReferenceCard,,1)=Table1[[#This Row],[SAP No]]) * (INDEX(ReferenceCard,,2)=Table1[[#This Row],[Mould No]]), 0), 4),)</f>
        <v>4</v>
      </c>
      <c r="J131" s="4" cm="1">
        <f t="array" ref="J131">IFERROR(INDEX(ReferenceCard, MATCH(1, (INDEX(ReferenceCard,,1)=Table1[[#This Row],[SAP No]]) * (INDEX(ReferenceCard,,2)=Table1[[#This Row],[Mould No]]), 0), 9),)</f>
        <v>77</v>
      </c>
      <c r="K131" s="4" cm="1">
        <f t="array" ref="K131">IFERROR(INDEX(ReferenceCard, MATCH(1, (INDEX(ReferenceCard,,1)=Table1[[#This Row],[SAP No]]) * (INDEX(ReferenceCard,,2)=Table1[[#This Row],[Mould No]]), 0), 7),)</f>
        <v>77</v>
      </c>
      <c r="L131">
        <v>0</v>
      </c>
      <c r="M131">
        <v>0</v>
      </c>
      <c r="N131">
        <v>0</v>
      </c>
      <c r="O131">
        <v>0</v>
      </c>
      <c r="P131">
        <f>Table1[[#This Row],[Shot]]*Table1[[#This Row],[Cav]]</f>
        <v>0</v>
      </c>
      <c r="Q131">
        <v>0</v>
      </c>
      <c r="R131">
        <f>(Table1[[#This Row],[Part Weight (gm)]]*Table1[[#This Row],[Finish Good]])/1000</f>
        <v>0</v>
      </c>
      <c r="S131">
        <v>0</v>
      </c>
      <c r="T131">
        <f>IF(Table1[[#This Row],[Qty Order]]="Sample","-",IF(Table1[[#This Row],[Qty Order]]="RTFN","-",Table1[[#This Row],[Qty Order]]-Table1[[#This Row],[Qty Accumulate]]))</f>
        <v>0</v>
      </c>
      <c r="U131">
        <f>((Table1[[#This Row],[Shift Output]]*Table1[[#This Row],[Part Weight (gm)]])/1000)+Table1[[#This Row],[Reject Startup (kg)]]+Table1[[#This Row],[Reject Purging (kg)]]+Table1[[#This Row],[Reject Preform (kg)]]</f>
        <v>0</v>
      </c>
      <c r="V131" s="37">
        <f>(Table1[[#This Row],[Gross Weight (gm)]]-Table1[[#This Row],[Part Weight (gm)]])*Table1[[#This Row],[Shift Output]]/1000</f>
        <v>0</v>
      </c>
      <c r="W131" s="3">
        <v>0</v>
      </c>
      <c r="X131" s="36" t="e">
        <f>Table1[[#This Row],[Reject Startup (kg)]]/Table1[[#This Row],[Material Used]]</f>
        <v>#DIV/0!</v>
      </c>
      <c r="Y131" s="3">
        <v>0</v>
      </c>
      <c r="Z131" s="36" t="e">
        <f>Table1[[#This Row],[Reject Prod (kg)]]/Table1[[#This Row],[Material Used]]</f>
        <v>#DIV/0!</v>
      </c>
      <c r="AA131" s="4">
        <v>0</v>
      </c>
      <c r="AB131" s="5">
        <v>0</v>
      </c>
      <c r="AC131" s="4" cm="1">
        <f t="array" ref="AC131">IFERROR(INDEX(ReferenceCard, MATCH(1, (INDEX(ReferenceCard,,1)=Table1[[#This Row],[SAP No]]) * (INDEX(ReferenceCard,,2)=Table1[[#This Row],[Mould No]]), 0), 9),)</f>
        <v>77</v>
      </c>
      <c r="AD131" s="5">
        <v>0</v>
      </c>
      <c r="AE131" s="5">
        <v>0</v>
      </c>
      <c r="AF131" s="5">
        <v>0</v>
      </c>
      <c r="AG131" s="5">
        <v>12</v>
      </c>
      <c r="AH131" s="5">
        <v>0</v>
      </c>
      <c r="AI131" s="5">
        <v>0</v>
      </c>
      <c r="AJ131" s="5">
        <v>0</v>
      </c>
      <c r="AL131" s="2"/>
      <c r="AM131" s="2"/>
      <c r="AN131" s="3">
        <v>0</v>
      </c>
      <c r="AO131" s="3">
        <v>0</v>
      </c>
      <c r="AP13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2" spans="1:42" x14ac:dyDescent="0.35">
      <c r="A132" s="1">
        <v>46019</v>
      </c>
      <c r="B132">
        <v>1</v>
      </c>
      <c r="C132" t="s">
        <v>27</v>
      </c>
      <c r="D132" t="str" cm="1">
        <f t="array" ref="D132">IFERROR(INDEX(ReferenceCard, MATCH(1, (INDEX(ReferenceCard,,1)=Table1[[#This Row],[SAP No]]) * (INDEX(ReferenceCard,,2)=Table1[[#This Row],[Mould No]]), 0), 6),)</f>
        <v>PPSB520Y</v>
      </c>
      <c r="E132">
        <v>552181</v>
      </c>
      <c r="F132">
        <v>4</v>
      </c>
      <c r="G132" t="str" cm="1">
        <f t="array" ref="G132">IFERROR(INDEX(ReferenceCard, MATCH(1, (INDEX(ReferenceCard,,1)=Table1[[#This Row],[SAP No]]) * (INDEX(ReferenceCard,,2)=Table1[[#This Row],[Mould No]]), 0), 3),)</f>
        <v>BC28-0090-D-APH-5180-3538-PP-6 NOTCHES-MOLD4</v>
      </c>
      <c r="H132">
        <v>0</v>
      </c>
      <c r="I132" cm="1">
        <f t="array" ref="I132">IFERROR(INDEX(ReferenceCard, MATCH(1, (INDEX(ReferenceCard,,1)=Table1[[#This Row],[SAP No]]) * (INDEX(ReferenceCard,,2)=Table1[[#This Row],[Mould No]]), 0), 4),)</f>
        <v>6</v>
      </c>
      <c r="J132" s="4" cm="1">
        <f t="array" ref="J132">IFERROR(INDEX(ReferenceCard, MATCH(1, (INDEX(ReferenceCard,,1)=Table1[[#This Row],[SAP No]]) * (INDEX(ReferenceCard,,2)=Table1[[#This Row],[Mould No]]), 0), 9),)</f>
        <v>18.8</v>
      </c>
      <c r="K132" s="4" cm="1">
        <f t="array" ref="K132">IFERROR(INDEX(ReferenceCard, MATCH(1, (INDEX(ReferenceCard,,1)=Table1[[#This Row],[SAP No]]) * (INDEX(ReferenceCard,,2)=Table1[[#This Row],[Mould No]]), 0), 7),)</f>
        <v>18.8</v>
      </c>
      <c r="L132">
        <v>0</v>
      </c>
      <c r="M132">
        <v>0</v>
      </c>
      <c r="N132">
        <v>0</v>
      </c>
      <c r="O132">
        <v>0</v>
      </c>
      <c r="P132">
        <f>Table1[[#This Row],[Shot]]*Table1[[#This Row],[Cav]]</f>
        <v>0</v>
      </c>
      <c r="Q132">
        <v>0</v>
      </c>
      <c r="R132">
        <f>(Table1[[#This Row],[Part Weight (gm)]]*Table1[[#This Row],[Finish Good]])/1000</f>
        <v>0</v>
      </c>
      <c r="S132">
        <v>0</v>
      </c>
      <c r="T132">
        <f>IF(Table1[[#This Row],[Qty Order]]="Sample","-",IF(Table1[[#This Row],[Qty Order]]="RTFN","-",Table1[[#This Row],[Qty Order]]-Table1[[#This Row],[Qty Accumulate]]))</f>
        <v>0</v>
      </c>
      <c r="U132">
        <f>((Table1[[#This Row],[Shift Output]]*Table1[[#This Row],[Part Weight (gm)]])/1000)+Table1[[#This Row],[Reject Startup (kg)]]+Table1[[#This Row],[Reject Purging (kg)]]+Table1[[#This Row],[Reject Preform (kg)]]</f>
        <v>0</v>
      </c>
      <c r="V132" s="37">
        <f>(Table1[[#This Row],[Gross Weight (gm)]]-Table1[[#This Row],[Part Weight (gm)]])*Table1[[#This Row],[Shift Output]]/1000</f>
        <v>0</v>
      </c>
      <c r="W132" s="3">
        <v>0</v>
      </c>
      <c r="X132" s="36" t="e">
        <f>Table1[[#This Row],[Reject Startup (kg)]]/Table1[[#This Row],[Material Used]]</f>
        <v>#DIV/0!</v>
      </c>
      <c r="Y132" s="3">
        <v>0</v>
      </c>
      <c r="Z132" s="36" t="e">
        <f>Table1[[#This Row],[Reject Prod (kg)]]/Table1[[#This Row],[Material Used]]</f>
        <v>#DIV/0!</v>
      </c>
      <c r="AA132" s="4">
        <v>0</v>
      </c>
      <c r="AB132" s="5">
        <v>12</v>
      </c>
      <c r="AC132" s="4" cm="1">
        <f t="array" ref="AC132">IFERROR(INDEX(ReferenceCard, MATCH(1, (INDEX(ReferenceCard,,1)=Table1[[#This Row],[SAP No]]) * (INDEX(ReferenceCard,,2)=Table1[[#This Row],[Mould No]]), 0), 9),)</f>
        <v>18.8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L132" s="2"/>
      <c r="AM132" s="2"/>
      <c r="AN132" s="3">
        <v>0</v>
      </c>
      <c r="AO132" s="3">
        <v>0</v>
      </c>
      <c r="AP13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3" spans="1:42" x14ac:dyDescent="0.35">
      <c r="A133" s="1">
        <v>46019</v>
      </c>
      <c r="B133">
        <v>1</v>
      </c>
      <c r="C133" t="s">
        <v>29</v>
      </c>
      <c r="D133" t="str" cm="1">
        <f t="array" ref="D133">IFERROR(INDEX(ReferenceCard, MATCH(1, (INDEX(ReferenceCard,,1)=Table1[[#This Row],[SAP No]]) * (INDEX(ReferenceCard,,2)=Table1[[#This Row],[Mould No]]), 0), 6),)</f>
        <v>PET</v>
      </c>
      <c r="E133">
        <v>620599</v>
      </c>
      <c r="F133">
        <v>0</v>
      </c>
      <c r="G133" t="str" cm="1">
        <f t="array" ref="G133">IFERROR(INDEX(ReferenceCard, MATCH(1, (INDEX(ReferenceCard,,1)=Table1[[#This Row],[SAP No]]) * (INDEX(ReferenceCard,,2)=Table1[[#This Row],[Mould No]]), 0), 3),)</f>
        <v>BC28-0750-K4-R-CL (55g)</v>
      </c>
      <c r="H133">
        <v>0</v>
      </c>
      <c r="I133" cm="1">
        <f t="array" ref="I133">IFERROR(INDEX(ReferenceCard, MATCH(1, (INDEX(ReferenceCard,,1)=Table1[[#This Row],[SAP No]]) * (INDEX(ReferenceCard,,2)=Table1[[#This Row],[Mould No]]), 0), 4),)</f>
        <v>4</v>
      </c>
      <c r="J133" s="4" cm="1">
        <f t="array" ref="J133">IFERROR(INDEX(ReferenceCard, MATCH(1, (INDEX(ReferenceCard,,1)=Table1[[#This Row],[SAP No]]) * (INDEX(ReferenceCard,,2)=Table1[[#This Row],[Mould No]]), 0), 9),)</f>
        <v>55</v>
      </c>
      <c r="K133" s="4" cm="1">
        <f t="array" ref="K133">IFERROR(INDEX(ReferenceCard, MATCH(1, (INDEX(ReferenceCard,,1)=Table1[[#This Row],[SAP No]]) * (INDEX(ReferenceCard,,2)=Table1[[#This Row],[Mould No]]), 0), 7),)</f>
        <v>55</v>
      </c>
      <c r="L133">
        <v>0</v>
      </c>
      <c r="M133">
        <v>0</v>
      </c>
      <c r="N133">
        <v>0</v>
      </c>
      <c r="O133">
        <v>0</v>
      </c>
      <c r="P133">
        <f>Table1[[#This Row],[Shot]]*Table1[[#This Row],[Cav]]</f>
        <v>0</v>
      </c>
      <c r="Q133">
        <v>0</v>
      </c>
      <c r="R133">
        <f>(Table1[[#This Row],[Part Weight (gm)]]*Table1[[#This Row],[Finish Good]])/1000</f>
        <v>0</v>
      </c>
      <c r="S133">
        <v>0</v>
      </c>
      <c r="T133">
        <f>IF(Table1[[#This Row],[Qty Order]]="Sample","-",IF(Table1[[#This Row],[Qty Order]]="RTFN","-",Table1[[#This Row],[Qty Order]]-Table1[[#This Row],[Qty Accumulate]]))</f>
        <v>0</v>
      </c>
      <c r="U133">
        <f>((Table1[[#This Row],[Shift Output]]*Table1[[#This Row],[Part Weight (gm)]])/1000)+Table1[[#This Row],[Reject Startup (kg)]]+Table1[[#This Row],[Reject Purging (kg)]]+Table1[[#This Row],[Reject Preform (kg)]]</f>
        <v>0</v>
      </c>
      <c r="V133" s="37">
        <f>(Table1[[#This Row],[Gross Weight (gm)]]-Table1[[#This Row],[Part Weight (gm)]])*Table1[[#This Row],[Shift Output]]/1000</f>
        <v>0</v>
      </c>
      <c r="W133" s="3">
        <v>0</v>
      </c>
      <c r="X133" s="36" t="e">
        <f>Table1[[#This Row],[Reject Startup (kg)]]/Table1[[#This Row],[Material Used]]</f>
        <v>#DIV/0!</v>
      </c>
      <c r="Y133" s="3">
        <v>0</v>
      </c>
      <c r="Z133" s="36" t="e">
        <f>Table1[[#This Row],[Reject Prod (kg)]]/Table1[[#This Row],[Material Used]]</f>
        <v>#DIV/0!</v>
      </c>
      <c r="AA133" s="4">
        <v>0</v>
      </c>
      <c r="AB133" s="5">
        <v>12</v>
      </c>
      <c r="AC133" s="4" cm="1">
        <f t="array" ref="AC133">IFERROR(INDEX(ReferenceCard, MATCH(1, (INDEX(ReferenceCard,,1)=Table1[[#This Row],[SAP No]]) * (INDEX(ReferenceCard,,2)=Table1[[#This Row],[Mould No]]), 0), 9),)</f>
        <v>55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L133" s="2"/>
      <c r="AM133" s="2"/>
      <c r="AN133" s="3">
        <v>0</v>
      </c>
      <c r="AO133" s="3">
        <v>0</v>
      </c>
      <c r="AP13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4" spans="1:42" x14ac:dyDescent="0.35">
      <c r="A134" s="1">
        <v>46019</v>
      </c>
      <c r="B134">
        <v>1</v>
      </c>
      <c r="C134" t="s">
        <v>31</v>
      </c>
      <c r="D134" t="str" cm="1">
        <f t="array" ref="D134">IFERROR(INDEX(ReferenceCard, MATCH(1, (INDEX(ReferenceCard,,1)=Table1[[#This Row],[SAP No]]) * (INDEX(ReferenceCard,,2)=Table1[[#This Row],[Mould No]]), 0), 6),)</f>
        <v>PPSB520Y</v>
      </c>
      <c r="E134">
        <v>586276</v>
      </c>
      <c r="F134">
        <v>4</v>
      </c>
      <c r="G134" t="str" cm="1">
        <f t="array" ref="G134">IFERROR(INDEX(ReferenceCard, MATCH(1, (INDEX(ReferenceCard,,1)=Table1[[#This Row],[SAP No]]) * (INDEX(ReferenceCard,,2)=Table1[[#This Row],[Mould No]]), 0), 3),)</f>
        <v>BC28-0056-D-APH-LEB-604001-MOLD4</v>
      </c>
      <c r="H134">
        <v>0</v>
      </c>
      <c r="I134" cm="1">
        <f t="array" ref="I134">IFERROR(INDEX(ReferenceCard, MATCH(1, (INDEX(ReferenceCard,,1)=Table1[[#This Row],[SAP No]]) * (INDEX(ReferenceCard,,2)=Table1[[#This Row],[Mould No]]), 0), 4),)</f>
        <v>6</v>
      </c>
      <c r="J134" s="4" cm="1">
        <f t="array" ref="J134">IFERROR(INDEX(ReferenceCard, MATCH(1, (INDEX(ReferenceCard,,1)=Table1[[#This Row],[SAP No]]) * (INDEX(ReferenceCard,,2)=Table1[[#This Row],[Mould No]]), 0), 9),)</f>
        <v>12.3</v>
      </c>
      <c r="K134" s="4" cm="1">
        <f t="array" ref="K134">IFERROR(INDEX(ReferenceCard, MATCH(1, (INDEX(ReferenceCard,,1)=Table1[[#This Row],[SAP No]]) * (INDEX(ReferenceCard,,2)=Table1[[#This Row],[Mould No]]), 0), 7),)</f>
        <v>12.3</v>
      </c>
      <c r="L134">
        <v>0</v>
      </c>
      <c r="M134">
        <v>0</v>
      </c>
      <c r="N134">
        <v>0</v>
      </c>
      <c r="O134">
        <v>0</v>
      </c>
      <c r="P134">
        <f>Table1[[#This Row],[Shot]]*Table1[[#This Row],[Cav]]</f>
        <v>0</v>
      </c>
      <c r="Q134">
        <v>0</v>
      </c>
      <c r="R134">
        <f>(Table1[[#This Row],[Part Weight (gm)]]*Table1[[#This Row],[Finish Good]])/1000</f>
        <v>0</v>
      </c>
      <c r="S134">
        <v>0</v>
      </c>
      <c r="T134">
        <f>IF(Table1[[#This Row],[Qty Order]]="Sample","-",IF(Table1[[#This Row],[Qty Order]]="RTFN","-",Table1[[#This Row],[Qty Order]]-Table1[[#This Row],[Qty Accumulate]]))</f>
        <v>0</v>
      </c>
      <c r="U134">
        <f>((Table1[[#This Row],[Shift Output]]*Table1[[#This Row],[Part Weight (gm)]])/1000)+Table1[[#This Row],[Reject Startup (kg)]]+Table1[[#This Row],[Reject Purging (kg)]]+Table1[[#This Row],[Reject Preform (kg)]]</f>
        <v>0</v>
      </c>
      <c r="V134" s="37">
        <f>(Table1[[#This Row],[Gross Weight (gm)]]-Table1[[#This Row],[Part Weight (gm)]])*Table1[[#This Row],[Shift Output]]/1000</f>
        <v>0</v>
      </c>
      <c r="W134" s="3">
        <v>0</v>
      </c>
      <c r="X134" s="36" t="e">
        <f>Table1[[#This Row],[Reject Startup (kg)]]/Table1[[#This Row],[Material Used]]</f>
        <v>#DIV/0!</v>
      </c>
      <c r="Y134" s="3">
        <v>0</v>
      </c>
      <c r="Z134" s="36" t="e">
        <f>Table1[[#This Row],[Reject Prod (kg)]]/Table1[[#This Row],[Material Used]]</f>
        <v>#DIV/0!</v>
      </c>
      <c r="AA134" s="4">
        <v>0</v>
      </c>
      <c r="AB134" s="5">
        <v>12</v>
      </c>
      <c r="AC134" s="4" cm="1">
        <f t="array" ref="AC134">IFERROR(INDEX(ReferenceCard, MATCH(1, (INDEX(ReferenceCard,,1)=Table1[[#This Row],[SAP No]]) * (INDEX(ReferenceCard,,2)=Table1[[#This Row],[Mould No]]), 0), 9),)</f>
        <v>12.3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L134" s="2"/>
      <c r="AM134" s="2"/>
      <c r="AN134" s="3">
        <v>0</v>
      </c>
      <c r="AO134" s="3">
        <v>0</v>
      </c>
      <c r="AP13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5" spans="1:42" x14ac:dyDescent="0.35">
      <c r="A135" s="1">
        <v>46019</v>
      </c>
      <c r="B135">
        <v>1</v>
      </c>
      <c r="C135" t="s">
        <v>33</v>
      </c>
      <c r="D135" t="str" cm="1">
        <f t="array" ref="D135">IFERROR(INDEX(ReferenceCard, MATCH(1, (INDEX(ReferenceCard,,1)=Table1[[#This Row],[SAP No]]) * (INDEX(ReferenceCard,,2)=Table1[[#This Row],[Mould No]]), 0), 6),)</f>
        <v>PET</v>
      </c>
      <c r="E135">
        <v>541381</v>
      </c>
      <c r="F135">
        <v>0</v>
      </c>
      <c r="G135" t="str" cm="1">
        <f t="array" ref="G135">IFERROR(INDEX(ReferenceCard, MATCH(1, (INDEX(ReferenceCard,,1)=Table1[[#This Row],[SAP No]]) * (INDEX(ReferenceCard,,2)=Table1[[#This Row],[Mould No]]), 0), 3),)</f>
        <v>BC28-1200-K-R-CL</v>
      </c>
      <c r="H135">
        <v>0</v>
      </c>
      <c r="I135" cm="1">
        <f t="array" ref="I135">IFERROR(INDEX(ReferenceCard, MATCH(1, (INDEX(ReferenceCard,,1)=Table1[[#This Row],[SAP No]]) * (INDEX(ReferenceCard,,2)=Table1[[#This Row],[Mould No]]), 0), 4),)</f>
        <v>4</v>
      </c>
      <c r="J135" s="4" cm="1">
        <f t="array" ref="J135">IFERROR(INDEX(ReferenceCard, MATCH(1, (INDEX(ReferenceCard,,1)=Table1[[#This Row],[SAP No]]) * (INDEX(ReferenceCard,,2)=Table1[[#This Row],[Mould No]]), 0), 9),)</f>
        <v>55</v>
      </c>
      <c r="K135" s="4" cm="1">
        <f t="array" ref="K135">IFERROR(INDEX(ReferenceCard, MATCH(1, (INDEX(ReferenceCard,,1)=Table1[[#This Row],[SAP No]]) * (INDEX(ReferenceCard,,2)=Table1[[#This Row],[Mould No]]), 0), 7),)</f>
        <v>55</v>
      </c>
      <c r="L135">
        <v>0</v>
      </c>
      <c r="M135">
        <v>0</v>
      </c>
      <c r="N135">
        <v>0</v>
      </c>
      <c r="O135">
        <v>0</v>
      </c>
      <c r="P135">
        <f>Table1[[#This Row],[Shot]]*Table1[[#This Row],[Cav]]</f>
        <v>0</v>
      </c>
      <c r="Q135">
        <v>0</v>
      </c>
      <c r="R135">
        <f>(Table1[[#This Row],[Part Weight (gm)]]*Table1[[#This Row],[Finish Good]])/1000</f>
        <v>0</v>
      </c>
      <c r="S135">
        <v>0</v>
      </c>
      <c r="T135">
        <f>IF(Table1[[#This Row],[Qty Order]]="Sample","-",IF(Table1[[#This Row],[Qty Order]]="RTFN","-",Table1[[#This Row],[Qty Order]]-Table1[[#This Row],[Qty Accumulate]]))</f>
        <v>0</v>
      </c>
      <c r="U135">
        <f>((Table1[[#This Row],[Shift Output]]*Table1[[#This Row],[Part Weight (gm)]])/1000)+Table1[[#This Row],[Reject Startup (kg)]]+Table1[[#This Row],[Reject Purging (kg)]]+Table1[[#This Row],[Reject Preform (kg)]]</f>
        <v>0</v>
      </c>
      <c r="V135" s="37">
        <f>(Table1[[#This Row],[Gross Weight (gm)]]-Table1[[#This Row],[Part Weight (gm)]])*Table1[[#This Row],[Shift Output]]/1000</f>
        <v>0</v>
      </c>
      <c r="W135" s="3">
        <v>0</v>
      </c>
      <c r="X135" s="36" t="e">
        <f>Table1[[#This Row],[Reject Startup (kg)]]/Table1[[#This Row],[Material Used]]</f>
        <v>#DIV/0!</v>
      </c>
      <c r="Y135" s="3">
        <v>0</v>
      </c>
      <c r="Z135" s="36" t="e">
        <f>Table1[[#This Row],[Reject Prod (kg)]]/Table1[[#This Row],[Material Used]]</f>
        <v>#DIV/0!</v>
      </c>
      <c r="AA135" s="4">
        <v>0</v>
      </c>
      <c r="AB135" s="5">
        <v>12</v>
      </c>
      <c r="AC135" s="4" cm="1">
        <f t="array" ref="AC135">IFERROR(INDEX(ReferenceCard, MATCH(1, (INDEX(ReferenceCard,,1)=Table1[[#This Row],[SAP No]]) * (INDEX(ReferenceCard,,2)=Table1[[#This Row],[Mould No]]), 0), 9),)</f>
        <v>55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L135" s="2"/>
      <c r="AM135" s="2"/>
      <c r="AN135" s="3">
        <v>0</v>
      </c>
      <c r="AO135" s="3">
        <v>0</v>
      </c>
      <c r="AP13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6" spans="1:42" x14ac:dyDescent="0.35">
      <c r="A136" s="1">
        <v>46019</v>
      </c>
      <c r="B136">
        <v>1</v>
      </c>
      <c r="C136" t="s">
        <v>35</v>
      </c>
      <c r="D136" t="str" cm="1">
        <f t="array" ref="D136">IFERROR(INDEX(ReferenceCard, MATCH(1, (INDEX(ReferenceCard,,1)=Table1[[#This Row],[SAP No]]) * (INDEX(ReferenceCard,,2)=Table1[[#This Row],[Mould No]]), 0), 6),)</f>
        <v>PPSB520Y</v>
      </c>
      <c r="E136">
        <v>552181</v>
      </c>
      <c r="F136">
        <v>1</v>
      </c>
      <c r="G136" t="str" cm="1">
        <f t="array" ref="G136">IFERROR(INDEX(ReferenceCard, MATCH(1, (INDEX(ReferenceCard,,1)=Table1[[#This Row],[SAP No]]) * (INDEX(ReferenceCard,,2)=Table1[[#This Row],[Mould No]]), 0), 3),)</f>
        <v>BC28-0090-D-APH-5180-3538-PP-6 NOTCHES-MOLD1</v>
      </c>
      <c r="H136">
        <v>0</v>
      </c>
      <c r="I136" cm="1">
        <f t="array" ref="I136">IFERROR(INDEX(ReferenceCard, MATCH(1, (INDEX(ReferenceCard,,1)=Table1[[#This Row],[SAP No]]) * (INDEX(ReferenceCard,,2)=Table1[[#This Row],[Mould No]]), 0), 4),)</f>
        <v>6</v>
      </c>
      <c r="J136" s="4" cm="1">
        <f t="array" ref="J136">IFERROR(INDEX(ReferenceCard, MATCH(1, (INDEX(ReferenceCard,,1)=Table1[[#This Row],[SAP No]]) * (INDEX(ReferenceCard,,2)=Table1[[#This Row],[Mould No]]), 0), 9),)</f>
        <v>18.8</v>
      </c>
      <c r="K136" s="4" cm="1">
        <f t="array" ref="K136">IFERROR(INDEX(ReferenceCard, MATCH(1, (INDEX(ReferenceCard,,1)=Table1[[#This Row],[SAP No]]) * (INDEX(ReferenceCard,,2)=Table1[[#This Row],[Mould No]]), 0), 7),)</f>
        <v>18.8</v>
      </c>
      <c r="L136">
        <v>0</v>
      </c>
      <c r="M136">
        <v>0</v>
      </c>
      <c r="N136">
        <v>0</v>
      </c>
      <c r="O136">
        <v>0</v>
      </c>
      <c r="P136">
        <f>Table1[[#This Row],[Shot]]*Table1[[#This Row],[Cav]]</f>
        <v>0</v>
      </c>
      <c r="Q136">
        <v>0</v>
      </c>
      <c r="R136">
        <f>(Table1[[#This Row],[Part Weight (gm)]]*Table1[[#This Row],[Finish Good]])/1000</f>
        <v>0</v>
      </c>
      <c r="S136">
        <v>0</v>
      </c>
      <c r="T136">
        <f>IF(Table1[[#This Row],[Qty Order]]="Sample","-",IF(Table1[[#This Row],[Qty Order]]="RTFN","-",Table1[[#This Row],[Qty Order]]-Table1[[#This Row],[Qty Accumulate]]))</f>
        <v>0</v>
      </c>
      <c r="U136">
        <f>((Table1[[#This Row],[Shift Output]]*Table1[[#This Row],[Part Weight (gm)]])/1000)+Table1[[#This Row],[Reject Startup (kg)]]+Table1[[#This Row],[Reject Purging (kg)]]+Table1[[#This Row],[Reject Preform (kg)]]</f>
        <v>0</v>
      </c>
      <c r="V136" s="37">
        <f>(Table1[[#This Row],[Gross Weight (gm)]]-Table1[[#This Row],[Part Weight (gm)]])*Table1[[#This Row],[Shift Output]]/1000</f>
        <v>0</v>
      </c>
      <c r="W136" s="3">
        <v>0</v>
      </c>
      <c r="X136" s="36" t="e">
        <f>Table1[[#This Row],[Reject Startup (kg)]]/Table1[[#This Row],[Material Used]]</f>
        <v>#DIV/0!</v>
      </c>
      <c r="Y136" s="3">
        <v>0</v>
      </c>
      <c r="Z136" s="36" t="e">
        <f>Table1[[#This Row],[Reject Prod (kg)]]/Table1[[#This Row],[Material Used]]</f>
        <v>#DIV/0!</v>
      </c>
      <c r="AA136" s="4">
        <v>0</v>
      </c>
      <c r="AB136" s="5">
        <v>12</v>
      </c>
      <c r="AC136" s="4" cm="1">
        <f t="array" ref="AC136">IFERROR(INDEX(ReferenceCard, MATCH(1, (INDEX(ReferenceCard,,1)=Table1[[#This Row],[SAP No]]) * (INDEX(ReferenceCard,,2)=Table1[[#This Row],[Mould No]]), 0), 9),)</f>
        <v>18.8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L136" s="2"/>
      <c r="AM136" s="2"/>
      <c r="AN136" s="3">
        <v>0</v>
      </c>
      <c r="AO136" s="3">
        <v>0</v>
      </c>
      <c r="AP13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7" spans="1:42" x14ac:dyDescent="0.35">
      <c r="A137" s="1">
        <v>46019</v>
      </c>
      <c r="B137">
        <v>1</v>
      </c>
      <c r="C137" t="s">
        <v>18</v>
      </c>
      <c r="D137" t="str" cm="1">
        <f t="array" ref="D137">IFERROR(INDEX(ReferenceCard, MATCH(1, (INDEX(ReferenceCard,,1)=Table1[[#This Row],[SAP No]]) * (INDEX(ReferenceCard,,2)=Table1[[#This Row],[Mould No]]), 0), 6),)</f>
        <v>PPSB520Y</v>
      </c>
      <c r="E137">
        <v>555979</v>
      </c>
      <c r="F137">
        <v>4</v>
      </c>
      <c r="G137" t="str" cm="1">
        <f t="array" ref="G137">IFERROR(INDEX(ReferenceCard, MATCH(1, (INDEX(ReferenceCard,,1)=Table1[[#This Row],[SAP No]]) * (INDEX(ReferenceCard,,2)=Table1[[#This Row],[Mould No]]), 0), 3),)</f>
        <v>BC28-0170-D-APH-5180-3539-PP-6 NOTCHES-MOLD4</v>
      </c>
      <c r="H137">
        <v>0</v>
      </c>
      <c r="I137" cm="1">
        <f t="array" ref="I137">IFERROR(INDEX(ReferenceCard, MATCH(1, (INDEX(ReferenceCard,,1)=Table1[[#This Row],[SAP No]]) * (INDEX(ReferenceCard,,2)=Table1[[#This Row],[Mould No]]), 0), 4),)</f>
        <v>6</v>
      </c>
      <c r="J137" s="4" cm="1">
        <f t="array" ref="J137">IFERROR(INDEX(ReferenceCard, MATCH(1, (INDEX(ReferenceCard,,1)=Table1[[#This Row],[SAP No]]) * (INDEX(ReferenceCard,,2)=Table1[[#This Row],[Mould No]]), 0), 9),)</f>
        <v>28</v>
      </c>
      <c r="K137" s="4" cm="1">
        <f t="array" ref="K137">IFERROR(INDEX(ReferenceCard, MATCH(1, (INDEX(ReferenceCard,,1)=Table1[[#This Row],[SAP No]]) * (INDEX(ReferenceCard,,2)=Table1[[#This Row],[Mould No]]), 0), 7),)</f>
        <v>28</v>
      </c>
      <c r="L137">
        <v>0</v>
      </c>
      <c r="M137">
        <v>0</v>
      </c>
      <c r="N137">
        <v>0</v>
      </c>
      <c r="O137">
        <v>0</v>
      </c>
      <c r="P137">
        <f>Table1[[#This Row],[Shot]]*Table1[[#This Row],[Cav]]</f>
        <v>0</v>
      </c>
      <c r="Q137">
        <v>0</v>
      </c>
      <c r="R137">
        <f>(Table1[[#This Row],[Part Weight (gm)]]*Table1[[#This Row],[Finish Good]])/1000</f>
        <v>0</v>
      </c>
      <c r="S137">
        <v>0</v>
      </c>
      <c r="T137">
        <f>IF(Table1[[#This Row],[Qty Order]]="Sample","-",IF(Table1[[#This Row],[Qty Order]]="RTFN","-",Table1[[#This Row],[Qty Order]]-Table1[[#This Row],[Qty Accumulate]]))</f>
        <v>0</v>
      </c>
      <c r="U137">
        <f>((Table1[[#This Row],[Shift Output]]*Table1[[#This Row],[Part Weight (gm)]])/1000)+Table1[[#This Row],[Reject Startup (kg)]]+Table1[[#This Row],[Reject Purging (kg)]]+Table1[[#This Row],[Reject Preform (kg)]]</f>
        <v>0</v>
      </c>
      <c r="V137" s="37">
        <f>(Table1[[#This Row],[Gross Weight (gm)]]-Table1[[#This Row],[Part Weight (gm)]])*Table1[[#This Row],[Shift Output]]/1000</f>
        <v>0</v>
      </c>
      <c r="W137" s="3">
        <v>0</v>
      </c>
      <c r="X137" s="36" t="e">
        <f>Table1[[#This Row],[Reject Startup (kg)]]/Table1[[#This Row],[Material Used]]</f>
        <v>#DIV/0!</v>
      </c>
      <c r="Y137" s="3">
        <v>0</v>
      </c>
      <c r="Z137" s="36" t="e">
        <f>Table1[[#This Row],[Reject Prod (kg)]]/Table1[[#This Row],[Material Used]]</f>
        <v>#DIV/0!</v>
      </c>
      <c r="AA137" s="4">
        <v>0</v>
      </c>
      <c r="AB137" s="5">
        <v>0</v>
      </c>
      <c r="AC137" s="4" cm="1">
        <f t="array" ref="AC137">IFERROR(INDEX(ReferenceCard, MATCH(1, (INDEX(ReferenceCard,,1)=Table1[[#This Row],[SAP No]]) * (INDEX(ReferenceCard,,2)=Table1[[#This Row],[Mould No]]), 0), 9),)</f>
        <v>28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12</v>
      </c>
      <c r="AJ137" s="5">
        <v>0</v>
      </c>
      <c r="AL137" s="2"/>
      <c r="AM137" s="2"/>
      <c r="AN137" s="3">
        <v>0</v>
      </c>
      <c r="AO137" s="3">
        <v>0</v>
      </c>
      <c r="AP13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8" spans="1:42" x14ac:dyDescent="0.35">
      <c r="A138" s="1">
        <v>46018</v>
      </c>
      <c r="B138">
        <v>2</v>
      </c>
      <c r="C138" t="s">
        <v>0</v>
      </c>
      <c r="D138" t="str" cm="1">
        <f t="array" ref="D138">IFERROR(INDEX(ReferenceCard, MATCH(1, (INDEX(ReferenceCard,,1)=Table1[[#This Row],[SAP No]]) * (INDEX(ReferenceCard,,2)=Table1[[#This Row],[Mould No]]), 0), 6),)</f>
        <v>PET</v>
      </c>
      <c r="E138">
        <v>347623</v>
      </c>
      <c r="F138">
        <v>0</v>
      </c>
      <c r="G138" t="str" cm="1">
        <f t="array" ref="G138">IFERROR(INDEX(ReferenceCard, MATCH(1, (INDEX(ReferenceCard,,1)=Table1[[#This Row],[SAP No]]) * (INDEX(ReferenceCard,,2)=Table1[[#This Row],[Mould No]]), 0), 3),)</f>
        <v>BC28-0375-K-R-CL</v>
      </c>
      <c r="H138">
        <v>0</v>
      </c>
      <c r="I138" cm="1">
        <f t="array" ref="I138">IFERROR(INDEX(ReferenceCard, MATCH(1, (INDEX(ReferenceCard,,1)=Table1[[#This Row],[SAP No]]) * (INDEX(ReferenceCard,,2)=Table1[[#This Row],[Mould No]]), 0), 4),)</f>
        <v>4</v>
      </c>
      <c r="J138" s="4" cm="1">
        <f t="array" ref="J138">IFERROR(INDEX(ReferenceCard, MATCH(1, (INDEX(ReferenceCard,,1)=Table1[[#This Row],[SAP No]]) * (INDEX(ReferenceCard,,2)=Table1[[#This Row],[Mould No]]), 0), 9),)</f>
        <v>35.6</v>
      </c>
      <c r="K138" s="4" cm="1">
        <f t="array" ref="K138">IFERROR(INDEX(ReferenceCard, MATCH(1, (INDEX(ReferenceCard,,1)=Table1[[#This Row],[SAP No]]) * (INDEX(ReferenceCard,,2)=Table1[[#This Row],[Mould No]]), 0), 7),)</f>
        <v>35.6</v>
      </c>
      <c r="L138">
        <v>0</v>
      </c>
      <c r="M138">
        <v>0</v>
      </c>
      <c r="N138">
        <v>0</v>
      </c>
      <c r="O138">
        <v>0</v>
      </c>
      <c r="P138">
        <f>Table1[[#This Row],[Shot]]*Table1[[#This Row],[Cav]]</f>
        <v>0</v>
      </c>
      <c r="Q138">
        <v>0</v>
      </c>
      <c r="R138">
        <f>(Table1[[#This Row],[Part Weight (gm)]]*Table1[[#This Row],[Finish Good]])/1000</f>
        <v>0</v>
      </c>
      <c r="S138">
        <v>0</v>
      </c>
      <c r="T138">
        <f>IF(Table1[[#This Row],[Qty Order]]="Sample","-",IF(Table1[[#This Row],[Qty Order]]="RTFN","-",Table1[[#This Row],[Qty Order]]-Table1[[#This Row],[Qty Accumulate]]))</f>
        <v>0</v>
      </c>
      <c r="U138">
        <f>((Table1[[#This Row],[Shift Output]]*Table1[[#This Row],[Part Weight (gm)]])/1000)+Table1[[#This Row],[Reject Startup (kg)]]+Table1[[#This Row],[Reject Purging (kg)]]+Table1[[#This Row],[Reject Preform (kg)]]</f>
        <v>0</v>
      </c>
      <c r="V138" s="37">
        <f>(Table1[[#This Row],[Gross Weight (gm)]]-Table1[[#This Row],[Part Weight (gm)]])*Table1[[#This Row],[Shift Output]]/1000</f>
        <v>0</v>
      </c>
      <c r="W138" s="3">
        <v>0</v>
      </c>
      <c r="X138" s="36" t="e">
        <f>Table1[[#This Row],[Reject Startup (kg)]]/Table1[[#This Row],[Material Used]]</f>
        <v>#DIV/0!</v>
      </c>
      <c r="Y138" s="3">
        <v>0</v>
      </c>
      <c r="Z138" s="36" t="e">
        <f>Table1[[#This Row],[Reject Prod (kg)]]/Table1[[#This Row],[Material Used]]</f>
        <v>#DIV/0!</v>
      </c>
      <c r="AA138" s="4">
        <v>0</v>
      </c>
      <c r="AB138" s="5">
        <v>12</v>
      </c>
      <c r="AC138" s="4" cm="1">
        <f t="array" ref="AC138">IFERROR(INDEX(ReferenceCard, MATCH(1, (INDEX(ReferenceCard,,1)=Table1[[#This Row],[SAP No]]) * (INDEX(ReferenceCard,,2)=Table1[[#This Row],[Mould No]]), 0), 9),)</f>
        <v>35.6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L138" s="2"/>
      <c r="AM138" s="2"/>
      <c r="AN138" s="3">
        <v>0</v>
      </c>
      <c r="AO138" s="3">
        <v>0</v>
      </c>
      <c r="AP13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39" spans="1:42" x14ac:dyDescent="0.35">
      <c r="A139" s="1">
        <v>46018</v>
      </c>
      <c r="B139">
        <v>2</v>
      </c>
      <c r="C139" t="s">
        <v>3</v>
      </c>
      <c r="D139" t="str" cm="1">
        <f t="array" ref="D139">IFERROR(INDEX(ReferenceCard, MATCH(1, (INDEX(ReferenceCard,,1)=Table1[[#This Row],[SAP No]]) * (INDEX(ReferenceCard,,2)=Table1[[#This Row],[Mould No]]), 0), 6),)</f>
        <v>PET</v>
      </c>
      <c r="E139">
        <v>423215</v>
      </c>
      <c r="F139">
        <v>0</v>
      </c>
      <c r="G139" t="str" cm="1">
        <f t="array" ref="G139">IFERROR(INDEX(ReferenceCard, MATCH(1, (INDEX(ReferenceCard,,1)=Table1[[#This Row],[SAP No]]) * (INDEX(ReferenceCard,,2)=Table1[[#This Row],[Mould No]]), 0), 3),)</f>
        <v>BC28-0355-SCC-A-Q-CL</v>
      </c>
      <c r="H139">
        <v>0</v>
      </c>
      <c r="I139" cm="1">
        <f t="array" ref="I139">IFERROR(INDEX(ReferenceCard, MATCH(1, (INDEX(ReferenceCard,,1)=Table1[[#This Row],[SAP No]]) * (INDEX(ReferenceCard,,2)=Table1[[#This Row],[Mould No]]), 0), 4),)</f>
        <v>4</v>
      </c>
      <c r="J139" s="4" cm="1">
        <f t="array" ref="J139">IFERROR(INDEX(ReferenceCard, MATCH(1, (INDEX(ReferenceCard,,1)=Table1[[#This Row],[SAP No]]) * (INDEX(ReferenceCard,,2)=Table1[[#This Row],[Mould No]]), 0), 9),)</f>
        <v>24</v>
      </c>
      <c r="K139" s="4" cm="1">
        <f t="array" ref="K139">IFERROR(INDEX(ReferenceCard, MATCH(1, (INDEX(ReferenceCard,,1)=Table1[[#This Row],[SAP No]]) * (INDEX(ReferenceCard,,2)=Table1[[#This Row],[Mould No]]), 0), 7),)</f>
        <v>24</v>
      </c>
      <c r="L139">
        <v>0</v>
      </c>
      <c r="M139">
        <v>0</v>
      </c>
      <c r="N139">
        <v>0</v>
      </c>
      <c r="O139">
        <v>0</v>
      </c>
      <c r="P139">
        <f>Table1[[#This Row],[Shot]]*Table1[[#This Row],[Cav]]</f>
        <v>0</v>
      </c>
      <c r="Q139">
        <v>0</v>
      </c>
      <c r="R139">
        <f>(Table1[[#This Row],[Part Weight (gm)]]*Table1[[#This Row],[Finish Good]])/1000</f>
        <v>0</v>
      </c>
      <c r="S139">
        <v>0</v>
      </c>
      <c r="T139">
        <f>IF(Table1[[#This Row],[Qty Order]]="Sample","-",IF(Table1[[#This Row],[Qty Order]]="RTFN","-",Table1[[#This Row],[Qty Order]]-Table1[[#This Row],[Qty Accumulate]]))</f>
        <v>0</v>
      </c>
      <c r="U139">
        <f>((Table1[[#This Row],[Shift Output]]*Table1[[#This Row],[Part Weight (gm)]])/1000)+Table1[[#This Row],[Reject Startup (kg)]]+Table1[[#This Row],[Reject Purging (kg)]]+Table1[[#This Row],[Reject Preform (kg)]]</f>
        <v>0</v>
      </c>
      <c r="V139" s="37">
        <f>(Table1[[#This Row],[Gross Weight (gm)]]-Table1[[#This Row],[Part Weight (gm)]])*Table1[[#This Row],[Shift Output]]/1000</f>
        <v>0</v>
      </c>
      <c r="W139" s="3">
        <v>0</v>
      </c>
      <c r="X139" s="36" t="e">
        <f>Table1[[#This Row],[Reject Startup (kg)]]/Table1[[#This Row],[Material Used]]</f>
        <v>#DIV/0!</v>
      </c>
      <c r="Y139" s="3">
        <v>0</v>
      </c>
      <c r="Z139" s="36" t="e">
        <f>Table1[[#This Row],[Reject Prod (kg)]]/Table1[[#This Row],[Material Used]]</f>
        <v>#DIV/0!</v>
      </c>
      <c r="AA139" s="4">
        <v>0</v>
      </c>
      <c r="AB139" s="5">
        <v>0</v>
      </c>
      <c r="AC139" s="4" cm="1">
        <f t="array" ref="AC139">IFERROR(INDEX(ReferenceCard, MATCH(1, (INDEX(ReferenceCard,,1)=Table1[[#This Row],[SAP No]]) * (INDEX(ReferenceCard,,2)=Table1[[#This Row],[Mould No]]), 0), 9),)</f>
        <v>24</v>
      </c>
      <c r="AD139" s="5">
        <v>0</v>
      </c>
      <c r="AE139" s="5">
        <v>0</v>
      </c>
      <c r="AF139" s="5">
        <v>0</v>
      </c>
      <c r="AG139" s="5">
        <v>0</v>
      </c>
      <c r="AH139" s="5">
        <v>12</v>
      </c>
      <c r="AI139" s="5">
        <v>0</v>
      </c>
      <c r="AJ139" s="5">
        <v>0</v>
      </c>
      <c r="AL139" s="2"/>
      <c r="AM139" s="2"/>
      <c r="AN139" s="3">
        <v>0</v>
      </c>
      <c r="AO139" s="3">
        <v>0</v>
      </c>
      <c r="AP13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0" spans="1:42" x14ac:dyDescent="0.35">
      <c r="A140" s="1">
        <v>46018</v>
      </c>
      <c r="B140">
        <v>2</v>
      </c>
      <c r="C140" t="s">
        <v>5</v>
      </c>
      <c r="D140" t="str" cm="1">
        <f t="array" ref="D140">IFERROR(INDEX(ReferenceCard, MATCH(1, (INDEX(ReferenceCard,,1)=Table1[[#This Row],[SAP No]]) * (INDEX(ReferenceCard,,2)=Table1[[#This Row],[Mould No]]), 0), 6),)</f>
        <v>PET</v>
      </c>
      <c r="E140">
        <v>543590</v>
      </c>
      <c r="F140">
        <v>0</v>
      </c>
      <c r="G140" t="str" cm="1">
        <f t="array" ref="G140">IFERROR(INDEX(ReferenceCard, MATCH(1, (INDEX(ReferenceCard,,1)=Table1[[#This Row],[SAP No]]) * (INDEX(ReferenceCard,,2)=Table1[[#This Row],[Mould No]]), 0), 3),)</f>
        <v>BC28-0130-R-R-AM</v>
      </c>
      <c r="H140">
        <v>0</v>
      </c>
      <c r="I140" cm="1">
        <f t="array" ref="I140">IFERROR(INDEX(ReferenceCard, MATCH(1, (INDEX(ReferenceCard,,1)=Table1[[#This Row],[SAP No]]) * (INDEX(ReferenceCard,,2)=Table1[[#This Row],[Mould No]]), 0), 4),)</f>
        <v>4</v>
      </c>
      <c r="J140" s="4" cm="1">
        <f t="array" ref="J140">IFERROR(INDEX(ReferenceCard, MATCH(1, (INDEX(ReferenceCard,,1)=Table1[[#This Row],[SAP No]]) * (INDEX(ReferenceCard,,2)=Table1[[#This Row],[Mould No]]), 0), 9),)</f>
        <v>19</v>
      </c>
      <c r="K140" s="4" cm="1">
        <f t="array" ref="K140">IFERROR(INDEX(ReferenceCard, MATCH(1, (INDEX(ReferenceCard,,1)=Table1[[#This Row],[SAP No]]) * (INDEX(ReferenceCard,,2)=Table1[[#This Row],[Mould No]]), 0), 7),)</f>
        <v>19</v>
      </c>
      <c r="L140">
        <v>0</v>
      </c>
      <c r="M140">
        <v>0</v>
      </c>
      <c r="N140">
        <v>0</v>
      </c>
      <c r="O140">
        <v>0</v>
      </c>
      <c r="P140">
        <f>Table1[[#This Row],[Shot]]*Table1[[#This Row],[Cav]]</f>
        <v>0</v>
      </c>
      <c r="Q140">
        <v>0</v>
      </c>
      <c r="R140">
        <f>(Table1[[#This Row],[Part Weight (gm)]]*Table1[[#This Row],[Finish Good]])/1000</f>
        <v>0</v>
      </c>
      <c r="S140">
        <v>0</v>
      </c>
      <c r="T140">
        <f>IF(Table1[[#This Row],[Qty Order]]="Sample","-",IF(Table1[[#This Row],[Qty Order]]="RTFN","-",Table1[[#This Row],[Qty Order]]-Table1[[#This Row],[Qty Accumulate]]))</f>
        <v>0</v>
      </c>
      <c r="U140">
        <f>((Table1[[#This Row],[Shift Output]]*Table1[[#This Row],[Part Weight (gm)]])/1000)+Table1[[#This Row],[Reject Startup (kg)]]+Table1[[#This Row],[Reject Purging (kg)]]+Table1[[#This Row],[Reject Preform (kg)]]</f>
        <v>0</v>
      </c>
      <c r="V140" s="37">
        <f>(Table1[[#This Row],[Gross Weight (gm)]]-Table1[[#This Row],[Part Weight (gm)]])*Table1[[#This Row],[Shift Output]]/1000</f>
        <v>0</v>
      </c>
      <c r="W140" s="3">
        <v>0</v>
      </c>
      <c r="X140" s="36" t="e">
        <f>Table1[[#This Row],[Reject Startup (kg)]]/Table1[[#This Row],[Material Used]]</f>
        <v>#DIV/0!</v>
      </c>
      <c r="Y140" s="3">
        <v>0</v>
      </c>
      <c r="Z140" s="36" t="e">
        <f>Table1[[#This Row],[Reject Prod (kg)]]/Table1[[#This Row],[Material Used]]</f>
        <v>#DIV/0!</v>
      </c>
      <c r="AA140" s="4">
        <v>0</v>
      </c>
      <c r="AB140" s="5">
        <v>12</v>
      </c>
      <c r="AC140" s="4" cm="1">
        <f t="array" ref="AC140">IFERROR(INDEX(ReferenceCard, MATCH(1, (INDEX(ReferenceCard,,1)=Table1[[#This Row],[SAP No]]) * (INDEX(ReferenceCard,,2)=Table1[[#This Row],[Mould No]]), 0), 9),)</f>
        <v>19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L140" s="2"/>
      <c r="AM140" s="2"/>
      <c r="AN140" s="3">
        <v>0</v>
      </c>
      <c r="AO140" s="3">
        <v>0</v>
      </c>
      <c r="AP14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1" spans="1:42" x14ac:dyDescent="0.35">
      <c r="A141" s="1">
        <v>46018</v>
      </c>
      <c r="B141">
        <v>2</v>
      </c>
      <c r="C141" t="s">
        <v>7</v>
      </c>
      <c r="D141" t="str" cm="1">
        <f t="array" ref="D141">IFERROR(INDEX(ReferenceCard, MATCH(1, (INDEX(ReferenceCard,,1)=Table1[[#This Row],[SAP No]]) * (INDEX(ReferenceCard,,2)=Table1[[#This Row],[Mould No]]), 0), 6),)</f>
        <v>PET</v>
      </c>
      <c r="E141">
        <v>451191</v>
      </c>
      <c r="F141">
        <v>0</v>
      </c>
      <c r="G141" t="str" cm="1">
        <f t="array" ref="G141">IFERROR(INDEX(ReferenceCard, MATCH(1, (INDEX(ReferenceCard,,1)=Table1[[#This Row],[SAP No]]) * (INDEX(ReferenceCard,,2)=Table1[[#This Row],[Mould No]]), 0), 3),)</f>
        <v>BX38-0350-Z-C-CL</v>
      </c>
      <c r="H141">
        <v>0</v>
      </c>
      <c r="I141" cm="1">
        <f t="array" ref="I141">IFERROR(INDEX(ReferenceCard, MATCH(1, (INDEX(ReferenceCard,,1)=Table1[[#This Row],[SAP No]]) * (INDEX(ReferenceCard,,2)=Table1[[#This Row],[Mould No]]), 0), 4),)</f>
        <v>4</v>
      </c>
      <c r="J141" s="4" cm="1">
        <f t="array" ref="J141">IFERROR(INDEX(ReferenceCard, MATCH(1, (INDEX(ReferenceCard,,1)=Table1[[#This Row],[SAP No]]) * (INDEX(ReferenceCard,,2)=Table1[[#This Row],[Mould No]]), 0), 9),)</f>
        <v>29</v>
      </c>
      <c r="K141" s="4" cm="1">
        <f t="array" ref="K141">IFERROR(INDEX(ReferenceCard, MATCH(1, (INDEX(ReferenceCard,,1)=Table1[[#This Row],[SAP No]]) * (INDEX(ReferenceCard,,2)=Table1[[#This Row],[Mould No]]), 0), 7),)</f>
        <v>29</v>
      </c>
      <c r="L141">
        <v>0</v>
      </c>
      <c r="M141">
        <v>0</v>
      </c>
      <c r="N141">
        <v>0</v>
      </c>
      <c r="O141">
        <v>0</v>
      </c>
      <c r="P141">
        <f>Table1[[#This Row],[Shot]]*Table1[[#This Row],[Cav]]</f>
        <v>0</v>
      </c>
      <c r="Q141">
        <v>0</v>
      </c>
      <c r="R141">
        <f>(Table1[[#This Row],[Part Weight (gm)]]*Table1[[#This Row],[Finish Good]])/1000</f>
        <v>0</v>
      </c>
      <c r="S141">
        <v>0</v>
      </c>
      <c r="T141">
        <f>IF(Table1[[#This Row],[Qty Order]]="Sample","-",IF(Table1[[#This Row],[Qty Order]]="RTFN","-",Table1[[#This Row],[Qty Order]]-Table1[[#This Row],[Qty Accumulate]]))</f>
        <v>0</v>
      </c>
      <c r="U141">
        <f>((Table1[[#This Row],[Shift Output]]*Table1[[#This Row],[Part Weight (gm)]])/1000)+Table1[[#This Row],[Reject Startup (kg)]]+Table1[[#This Row],[Reject Purging (kg)]]+Table1[[#This Row],[Reject Preform (kg)]]</f>
        <v>0</v>
      </c>
      <c r="V141" s="37">
        <f>(Table1[[#This Row],[Gross Weight (gm)]]-Table1[[#This Row],[Part Weight (gm)]])*Table1[[#This Row],[Shift Output]]/1000</f>
        <v>0</v>
      </c>
      <c r="W141" s="3">
        <v>0</v>
      </c>
      <c r="X141" s="36" t="e">
        <f>Table1[[#This Row],[Reject Startup (kg)]]/Table1[[#This Row],[Material Used]]</f>
        <v>#DIV/0!</v>
      </c>
      <c r="Y141" s="3">
        <v>0</v>
      </c>
      <c r="Z141" s="36" t="e">
        <f>Table1[[#This Row],[Reject Prod (kg)]]/Table1[[#This Row],[Material Used]]</f>
        <v>#DIV/0!</v>
      </c>
      <c r="AA141" s="4">
        <v>0</v>
      </c>
      <c r="AB141" s="5">
        <v>12</v>
      </c>
      <c r="AC141" s="4" cm="1">
        <f t="array" ref="AC141">IFERROR(INDEX(ReferenceCard, MATCH(1, (INDEX(ReferenceCard,,1)=Table1[[#This Row],[SAP No]]) * (INDEX(ReferenceCard,,2)=Table1[[#This Row],[Mould No]]), 0), 9),)</f>
        <v>29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L141" s="2"/>
      <c r="AM141" s="2"/>
      <c r="AN141" s="3">
        <v>0</v>
      </c>
      <c r="AO141" s="3">
        <v>0</v>
      </c>
      <c r="AP14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2" spans="1:42" x14ac:dyDescent="0.35">
      <c r="A142" s="1">
        <v>46018</v>
      </c>
      <c r="B142">
        <v>2</v>
      </c>
      <c r="C142" t="s">
        <v>9</v>
      </c>
      <c r="D142" t="str" cm="1">
        <f t="array" ref="D142">IFERROR(INDEX(ReferenceCard, MATCH(1, (INDEX(ReferenceCard,,1)=Table1[[#This Row],[SAP No]]) * (INDEX(ReferenceCard,,2)=Table1[[#This Row],[Mould No]]), 0), 6),)</f>
        <v>PET</v>
      </c>
      <c r="E142">
        <v>322451</v>
      </c>
      <c r="F142">
        <v>0</v>
      </c>
      <c r="G142" t="str" cm="1">
        <f t="array" ref="G142">IFERROR(INDEX(ReferenceCard, MATCH(1, (INDEX(ReferenceCard,,1)=Table1[[#This Row],[SAP No]]) * (INDEX(ReferenceCard,,2)=Table1[[#This Row],[Mould No]]), 0), 3),)</f>
        <v>BC28-0500-WNHP-R-BR</v>
      </c>
      <c r="H142">
        <v>0</v>
      </c>
      <c r="I142" cm="1">
        <f t="array" ref="I142">IFERROR(INDEX(ReferenceCard, MATCH(1, (INDEX(ReferenceCard,,1)=Table1[[#This Row],[SAP No]]) * (INDEX(ReferenceCard,,2)=Table1[[#This Row],[Mould No]]), 0), 4),)</f>
        <v>4</v>
      </c>
      <c r="J142" s="4" cm="1">
        <f t="array" ref="J142">IFERROR(INDEX(ReferenceCard, MATCH(1, (INDEX(ReferenceCard,,1)=Table1[[#This Row],[SAP No]]) * (INDEX(ReferenceCard,,2)=Table1[[#This Row],[Mould No]]), 0), 9),)</f>
        <v>45.6</v>
      </c>
      <c r="K142" s="4" cm="1">
        <f t="array" ref="K142">IFERROR(INDEX(ReferenceCard, MATCH(1, (INDEX(ReferenceCard,,1)=Table1[[#This Row],[SAP No]]) * (INDEX(ReferenceCard,,2)=Table1[[#This Row],[Mould No]]), 0), 7),)</f>
        <v>45.6</v>
      </c>
      <c r="L142">
        <v>0</v>
      </c>
      <c r="M142">
        <v>0</v>
      </c>
      <c r="N142">
        <v>0</v>
      </c>
      <c r="O142">
        <v>0</v>
      </c>
      <c r="P142">
        <f>Table1[[#This Row],[Shot]]*Table1[[#This Row],[Cav]]</f>
        <v>0</v>
      </c>
      <c r="Q142">
        <v>0</v>
      </c>
      <c r="R142">
        <f>(Table1[[#This Row],[Part Weight (gm)]]*Table1[[#This Row],[Finish Good]])/1000</f>
        <v>0</v>
      </c>
      <c r="S142">
        <v>0</v>
      </c>
      <c r="T142">
        <f>IF(Table1[[#This Row],[Qty Order]]="Sample","-",IF(Table1[[#This Row],[Qty Order]]="RTFN","-",Table1[[#This Row],[Qty Order]]-Table1[[#This Row],[Qty Accumulate]]))</f>
        <v>0</v>
      </c>
      <c r="U142">
        <f>((Table1[[#This Row],[Shift Output]]*Table1[[#This Row],[Part Weight (gm)]])/1000)+Table1[[#This Row],[Reject Startup (kg)]]+Table1[[#This Row],[Reject Purging (kg)]]+Table1[[#This Row],[Reject Preform (kg)]]</f>
        <v>0</v>
      </c>
      <c r="V142" s="37">
        <f>(Table1[[#This Row],[Gross Weight (gm)]]-Table1[[#This Row],[Part Weight (gm)]])*Table1[[#This Row],[Shift Output]]/1000</f>
        <v>0</v>
      </c>
      <c r="W142" s="3">
        <v>0</v>
      </c>
      <c r="X142" s="36" t="e">
        <f>Table1[[#This Row],[Reject Startup (kg)]]/Table1[[#This Row],[Material Used]]</f>
        <v>#DIV/0!</v>
      </c>
      <c r="Y142" s="3">
        <v>0</v>
      </c>
      <c r="Z142" s="36" t="e">
        <f>Table1[[#This Row],[Reject Prod (kg)]]/Table1[[#This Row],[Material Used]]</f>
        <v>#DIV/0!</v>
      </c>
      <c r="AA142" s="4">
        <v>0</v>
      </c>
      <c r="AB142" s="5">
        <v>12</v>
      </c>
      <c r="AC142" s="4" cm="1">
        <f t="array" ref="AC142">IFERROR(INDEX(ReferenceCard, MATCH(1, (INDEX(ReferenceCard,,1)=Table1[[#This Row],[SAP No]]) * (INDEX(ReferenceCard,,2)=Table1[[#This Row],[Mould No]]), 0), 9),)</f>
        <v>45.6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L142" s="2"/>
      <c r="AM142" s="2"/>
      <c r="AN142" s="3">
        <v>0</v>
      </c>
      <c r="AO142" s="3">
        <v>0</v>
      </c>
      <c r="AP14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3" spans="1:42" x14ac:dyDescent="0.35">
      <c r="A143" s="1">
        <v>46018</v>
      </c>
      <c r="B143">
        <v>2</v>
      </c>
      <c r="C143" t="s">
        <v>11</v>
      </c>
      <c r="D143" t="str" cm="1">
        <f t="array" ref="D143">IFERROR(INDEX(ReferenceCard, MATCH(1, (INDEX(ReferenceCard,,1)=Table1[[#This Row],[SAP No]]) * (INDEX(ReferenceCard,,2)=Table1[[#This Row],[Mould No]]), 0), 6),)</f>
        <v>rPET</v>
      </c>
      <c r="E143">
        <v>620994</v>
      </c>
      <c r="F143">
        <v>0</v>
      </c>
      <c r="G143" t="str" cm="1">
        <f t="array" ref="G143">IFERROR(INDEX(ReferenceCard, MATCH(1, (INDEX(ReferenceCard,,1)=Table1[[#This Row],[SAP No]]) * (INDEX(ReferenceCard,,2)=Table1[[#This Row],[Mould No]]), 0), 3),)</f>
        <v>JJ63-0400-SH-S-CL-rPET</v>
      </c>
      <c r="H143">
        <v>0</v>
      </c>
      <c r="I143" cm="1">
        <f t="array" ref="I143">IFERROR(INDEX(ReferenceCard, MATCH(1, (INDEX(ReferenceCard,,1)=Table1[[#This Row],[SAP No]]) * (INDEX(ReferenceCard,,2)=Table1[[#This Row],[Mould No]]), 0), 4),)</f>
        <v>4</v>
      </c>
      <c r="J143" s="4" cm="1">
        <f t="array" ref="J143">IFERROR(INDEX(ReferenceCard, MATCH(1, (INDEX(ReferenceCard,,1)=Table1[[#This Row],[SAP No]]) * (INDEX(ReferenceCard,,2)=Table1[[#This Row],[Mould No]]), 0), 9),)</f>
        <v>32.74</v>
      </c>
      <c r="K143" s="4" cm="1">
        <f t="array" ref="K143">IFERROR(INDEX(ReferenceCard, MATCH(1, (INDEX(ReferenceCard,,1)=Table1[[#This Row],[SAP No]]) * (INDEX(ReferenceCard,,2)=Table1[[#This Row],[Mould No]]), 0), 7),)</f>
        <v>33</v>
      </c>
      <c r="L143">
        <v>0</v>
      </c>
      <c r="M143">
        <v>0</v>
      </c>
      <c r="N143">
        <v>0</v>
      </c>
      <c r="O143">
        <v>0</v>
      </c>
      <c r="P143">
        <f>Table1[[#This Row],[Shot]]*Table1[[#This Row],[Cav]]</f>
        <v>0</v>
      </c>
      <c r="Q143">
        <v>0</v>
      </c>
      <c r="R143">
        <f>(Table1[[#This Row],[Part Weight (gm)]]*Table1[[#This Row],[Finish Good]])/1000</f>
        <v>0</v>
      </c>
      <c r="S143">
        <v>0</v>
      </c>
      <c r="T143">
        <f>IF(Table1[[#This Row],[Qty Order]]="Sample","-",IF(Table1[[#This Row],[Qty Order]]="RTFN","-",Table1[[#This Row],[Qty Order]]-Table1[[#This Row],[Qty Accumulate]]))</f>
        <v>0</v>
      </c>
      <c r="U143">
        <f>((Table1[[#This Row],[Shift Output]]*Table1[[#This Row],[Part Weight (gm)]])/1000)+Table1[[#This Row],[Reject Startup (kg)]]+Table1[[#This Row],[Reject Purging (kg)]]+Table1[[#This Row],[Reject Preform (kg)]]</f>
        <v>0</v>
      </c>
      <c r="V143" s="37">
        <f>(Table1[[#This Row],[Gross Weight (gm)]]-Table1[[#This Row],[Part Weight (gm)]])*Table1[[#This Row],[Shift Output]]/1000</f>
        <v>0</v>
      </c>
      <c r="W143" s="3">
        <v>0</v>
      </c>
      <c r="X143" s="36" t="e">
        <f>Table1[[#This Row],[Reject Startup (kg)]]/Table1[[#This Row],[Material Used]]</f>
        <v>#DIV/0!</v>
      </c>
      <c r="Y143" s="3">
        <v>0</v>
      </c>
      <c r="Z143" s="36" t="e">
        <f>Table1[[#This Row],[Reject Prod (kg)]]/Table1[[#This Row],[Material Used]]</f>
        <v>#DIV/0!</v>
      </c>
      <c r="AA143" s="4">
        <v>0</v>
      </c>
      <c r="AB143" s="5">
        <v>12</v>
      </c>
      <c r="AC143" s="4" cm="1">
        <f t="array" ref="AC143">IFERROR(INDEX(ReferenceCard, MATCH(1, (INDEX(ReferenceCard,,1)=Table1[[#This Row],[SAP No]]) * (INDEX(ReferenceCard,,2)=Table1[[#This Row],[Mould No]]), 0), 9),)</f>
        <v>32.74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L143" s="2"/>
      <c r="AM143" s="2"/>
      <c r="AN143" s="3">
        <v>0</v>
      </c>
      <c r="AO143" s="3">
        <v>0</v>
      </c>
      <c r="AP14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4" spans="1:42" x14ac:dyDescent="0.35">
      <c r="A144" s="1">
        <v>46018</v>
      </c>
      <c r="B144">
        <v>2</v>
      </c>
      <c r="C144" t="s">
        <v>14</v>
      </c>
      <c r="D144" t="str" cm="1">
        <f t="array" ref="D144">IFERROR(INDEX(ReferenceCard, MATCH(1, (INDEX(ReferenceCard,,1)=Table1[[#This Row],[SAP No]]) * (INDEX(ReferenceCard,,2)=Table1[[#This Row],[Mould No]]), 0), 6),)</f>
        <v>PET</v>
      </c>
      <c r="E144">
        <v>322444</v>
      </c>
      <c r="F144">
        <v>0</v>
      </c>
      <c r="G144" t="str" cm="1">
        <f t="array" ref="G144">IFERROR(INDEX(ReferenceCard, MATCH(1, (INDEX(ReferenceCard,,1)=Table1[[#This Row],[SAP No]]) * (INDEX(ReferenceCard,,2)=Table1[[#This Row],[Mould No]]), 0), 3),)</f>
        <v>JJ63-0400-RH-R-CL</v>
      </c>
      <c r="H144">
        <v>0</v>
      </c>
      <c r="I144" cm="1">
        <f t="array" ref="I144">IFERROR(INDEX(ReferenceCard, MATCH(1, (INDEX(ReferenceCard,,1)=Table1[[#This Row],[SAP No]]) * (INDEX(ReferenceCard,,2)=Table1[[#This Row],[Mould No]]), 0), 4),)</f>
        <v>4</v>
      </c>
      <c r="J144" s="4" cm="1">
        <f t="array" ref="J144">IFERROR(INDEX(ReferenceCard, MATCH(1, (INDEX(ReferenceCard,,1)=Table1[[#This Row],[SAP No]]) * (INDEX(ReferenceCard,,2)=Table1[[#This Row],[Mould No]]), 0), 9),)</f>
        <v>32.74</v>
      </c>
      <c r="K144" s="4" cm="1">
        <f t="array" ref="K144">IFERROR(INDEX(ReferenceCard, MATCH(1, (INDEX(ReferenceCard,,1)=Table1[[#This Row],[SAP No]]) * (INDEX(ReferenceCard,,2)=Table1[[#This Row],[Mould No]]), 0), 7),)</f>
        <v>34.5</v>
      </c>
      <c r="L144">
        <v>0</v>
      </c>
      <c r="M144">
        <v>0</v>
      </c>
      <c r="N144">
        <v>0</v>
      </c>
      <c r="O144">
        <v>0</v>
      </c>
      <c r="P144">
        <f>Table1[[#This Row],[Shot]]*Table1[[#This Row],[Cav]]</f>
        <v>0</v>
      </c>
      <c r="Q144">
        <v>0</v>
      </c>
      <c r="R144">
        <f>(Table1[[#This Row],[Part Weight (gm)]]*Table1[[#This Row],[Finish Good]])/1000</f>
        <v>0</v>
      </c>
      <c r="S144">
        <v>0</v>
      </c>
      <c r="T144">
        <f>IF(Table1[[#This Row],[Qty Order]]="Sample","-",IF(Table1[[#This Row],[Qty Order]]="RTFN","-",Table1[[#This Row],[Qty Order]]-Table1[[#This Row],[Qty Accumulate]]))</f>
        <v>0</v>
      </c>
      <c r="U144">
        <f>((Table1[[#This Row],[Shift Output]]*Table1[[#This Row],[Part Weight (gm)]])/1000)+Table1[[#This Row],[Reject Startup (kg)]]+Table1[[#This Row],[Reject Purging (kg)]]+Table1[[#This Row],[Reject Preform (kg)]]</f>
        <v>0</v>
      </c>
      <c r="V144" s="37">
        <f>(Table1[[#This Row],[Gross Weight (gm)]]-Table1[[#This Row],[Part Weight (gm)]])*Table1[[#This Row],[Shift Output]]/1000</f>
        <v>0</v>
      </c>
      <c r="W144" s="3">
        <v>0</v>
      </c>
      <c r="X144" s="36" t="e">
        <f>Table1[[#This Row],[Reject Startup (kg)]]/Table1[[#This Row],[Material Used]]</f>
        <v>#DIV/0!</v>
      </c>
      <c r="Y144" s="3">
        <v>0</v>
      </c>
      <c r="Z144" s="36" t="e">
        <f>Table1[[#This Row],[Reject Prod (kg)]]/Table1[[#This Row],[Material Used]]</f>
        <v>#DIV/0!</v>
      </c>
      <c r="AA144" s="4">
        <v>0</v>
      </c>
      <c r="AB144" s="5">
        <v>0</v>
      </c>
      <c r="AC144" s="4" cm="1">
        <f t="array" ref="AC144">IFERROR(INDEX(ReferenceCard, MATCH(1, (INDEX(ReferenceCard,,1)=Table1[[#This Row],[SAP No]]) * (INDEX(ReferenceCard,,2)=Table1[[#This Row],[Mould No]]), 0), 9),)</f>
        <v>32.74</v>
      </c>
      <c r="AD144" s="5">
        <v>0</v>
      </c>
      <c r="AE144" s="5">
        <v>0</v>
      </c>
      <c r="AF144" s="5">
        <v>0</v>
      </c>
      <c r="AG144" s="5">
        <v>0</v>
      </c>
      <c r="AH144" s="5">
        <v>12</v>
      </c>
      <c r="AI144" s="5">
        <v>0</v>
      </c>
      <c r="AJ144" s="5">
        <v>0</v>
      </c>
      <c r="AL144" s="2"/>
      <c r="AM144" s="2"/>
      <c r="AN144" s="3">
        <v>0</v>
      </c>
      <c r="AO144" s="3">
        <v>0</v>
      </c>
      <c r="AP14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5" spans="1:42" x14ac:dyDescent="0.35">
      <c r="A145" s="1">
        <v>46018</v>
      </c>
      <c r="B145">
        <v>2</v>
      </c>
      <c r="C145" t="s">
        <v>16</v>
      </c>
      <c r="D145" t="str" cm="1">
        <f t="array" ref="D145">IFERROR(INDEX(ReferenceCard, MATCH(1, (INDEX(ReferenceCard,,1)=Table1[[#This Row],[SAP No]]) * (INDEX(ReferenceCard,,2)=Table1[[#This Row],[Mould No]]), 0), 6),)</f>
        <v>PET</v>
      </c>
      <c r="E145">
        <v>324206</v>
      </c>
      <c r="F145">
        <v>0</v>
      </c>
      <c r="G145" t="str" cm="1">
        <f t="array" ref="G145">IFERROR(INDEX(ReferenceCard, MATCH(1, (INDEX(ReferenceCard,,1)=Table1[[#This Row],[SAP No]]) * (INDEX(ReferenceCard,,2)=Table1[[#This Row],[Mould No]]), 0), 3),)</f>
        <v>BX38-1000-HC-S-CL</v>
      </c>
      <c r="H145">
        <v>0</v>
      </c>
      <c r="I145" cm="1">
        <f t="array" ref="I145">IFERROR(INDEX(ReferenceCard, MATCH(1, (INDEX(ReferenceCard,,1)=Table1[[#This Row],[SAP No]]) * (INDEX(ReferenceCard,,2)=Table1[[#This Row],[Mould No]]), 0), 4),)</f>
        <v>4</v>
      </c>
      <c r="J145" s="4" cm="1">
        <f t="array" ref="J145">IFERROR(INDEX(ReferenceCard, MATCH(1, (INDEX(ReferenceCard,,1)=Table1[[#This Row],[SAP No]]) * (INDEX(ReferenceCard,,2)=Table1[[#This Row],[Mould No]]), 0), 9),)</f>
        <v>49</v>
      </c>
      <c r="K145" s="4" cm="1">
        <f t="array" ref="K145">IFERROR(INDEX(ReferenceCard, MATCH(1, (INDEX(ReferenceCard,,1)=Table1[[#This Row],[SAP No]]) * (INDEX(ReferenceCard,,2)=Table1[[#This Row],[Mould No]]), 0), 7),)</f>
        <v>48</v>
      </c>
      <c r="L145">
        <v>0</v>
      </c>
      <c r="M145">
        <v>0</v>
      </c>
      <c r="N145">
        <v>0</v>
      </c>
      <c r="O145">
        <v>0</v>
      </c>
      <c r="P145">
        <f>Table1[[#This Row],[Shot]]*Table1[[#This Row],[Cav]]</f>
        <v>0</v>
      </c>
      <c r="Q145">
        <v>0</v>
      </c>
      <c r="R145">
        <f>(Table1[[#This Row],[Part Weight (gm)]]*Table1[[#This Row],[Finish Good]])/1000</f>
        <v>0</v>
      </c>
      <c r="S145">
        <v>0</v>
      </c>
      <c r="T145">
        <f>IF(Table1[[#This Row],[Qty Order]]="Sample","-",IF(Table1[[#This Row],[Qty Order]]="RTFN","-",Table1[[#This Row],[Qty Order]]-Table1[[#This Row],[Qty Accumulate]]))</f>
        <v>0</v>
      </c>
      <c r="U145">
        <f>((Table1[[#This Row],[Shift Output]]*Table1[[#This Row],[Part Weight (gm)]])/1000)+Table1[[#This Row],[Reject Startup (kg)]]+Table1[[#This Row],[Reject Purging (kg)]]+Table1[[#This Row],[Reject Preform (kg)]]</f>
        <v>0</v>
      </c>
      <c r="V145" s="37">
        <f>(Table1[[#This Row],[Gross Weight (gm)]]-Table1[[#This Row],[Part Weight (gm)]])*Table1[[#This Row],[Shift Output]]/1000</f>
        <v>0</v>
      </c>
      <c r="W145" s="3">
        <v>0</v>
      </c>
      <c r="X145" s="36" t="e">
        <f>Table1[[#This Row],[Reject Startup (kg)]]/Table1[[#This Row],[Material Used]]</f>
        <v>#DIV/0!</v>
      </c>
      <c r="Y145" s="3">
        <v>0</v>
      </c>
      <c r="Z145" s="36" t="e">
        <f>Table1[[#This Row],[Reject Prod (kg)]]/Table1[[#This Row],[Material Used]]</f>
        <v>#DIV/0!</v>
      </c>
      <c r="AA145" s="4">
        <v>0</v>
      </c>
      <c r="AB145" s="5">
        <v>12</v>
      </c>
      <c r="AC145" s="4" cm="1">
        <f t="array" ref="AC145">IFERROR(INDEX(ReferenceCard, MATCH(1, (INDEX(ReferenceCard,,1)=Table1[[#This Row],[SAP No]]) * (INDEX(ReferenceCard,,2)=Table1[[#This Row],[Mould No]]), 0), 9),)</f>
        <v>49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L145" s="2"/>
      <c r="AM145" s="2"/>
      <c r="AN145" s="3">
        <v>0</v>
      </c>
      <c r="AO145" s="3">
        <v>0</v>
      </c>
      <c r="AP14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6" spans="1:42" x14ac:dyDescent="0.35">
      <c r="A146" s="1">
        <v>46018</v>
      </c>
      <c r="B146">
        <v>2</v>
      </c>
      <c r="C146" t="s">
        <v>23</v>
      </c>
      <c r="D146" t="str" cm="1">
        <f t="array" ref="D146">IFERROR(INDEX(ReferenceCard, MATCH(1, (INDEX(ReferenceCard,,1)=Table1[[#This Row],[SAP No]]) * (INDEX(ReferenceCard,,2)=Table1[[#This Row],[Mould No]]), 0), 6),)</f>
        <v>PPSB520Y</v>
      </c>
      <c r="E146">
        <v>586276</v>
      </c>
      <c r="F146">
        <v>2</v>
      </c>
      <c r="G146" t="str" cm="1">
        <f t="array" ref="G146">IFERROR(INDEX(ReferenceCard, MATCH(1, (INDEX(ReferenceCard,,1)=Table1[[#This Row],[SAP No]]) * (INDEX(ReferenceCard,,2)=Table1[[#This Row],[Mould No]]), 0), 3),)</f>
        <v>BC28-0056-D-APH-LEB-604001-MOLD2</v>
      </c>
      <c r="H146">
        <v>0</v>
      </c>
      <c r="I146" cm="1">
        <f t="array" ref="I146">IFERROR(INDEX(ReferenceCard, MATCH(1, (INDEX(ReferenceCard,,1)=Table1[[#This Row],[SAP No]]) * (INDEX(ReferenceCard,,2)=Table1[[#This Row],[Mould No]]), 0), 4),)</f>
        <v>6</v>
      </c>
      <c r="J146" s="4" cm="1">
        <f t="array" ref="J146">IFERROR(INDEX(ReferenceCard, MATCH(1, (INDEX(ReferenceCard,,1)=Table1[[#This Row],[SAP No]]) * (INDEX(ReferenceCard,,2)=Table1[[#This Row],[Mould No]]), 0), 9),)</f>
        <v>12.3</v>
      </c>
      <c r="K146" s="4" cm="1">
        <f t="array" ref="K146">IFERROR(INDEX(ReferenceCard, MATCH(1, (INDEX(ReferenceCard,,1)=Table1[[#This Row],[SAP No]]) * (INDEX(ReferenceCard,,2)=Table1[[#This Row],[Mould No]]), 0), 7),)</f>
        <v>12.3</v>
      </c>
      <c r="L146">
        <v>0</v>
      </c>
      <c r="M146">
        <v>0</v>
      </c>
      <c r="N146">
        <v>0</v>
      </c>
      <c r="O146">
        <v>0</v>
      </c>
      <c r="P146">
        <f>Table1[[#This Row],[Shot]]*Table1[[#This Row],[Cav]]</f>
        <v>0</v>
      </c>
      <c r="Q146">
        <v>0</v>
      </c>
      <c r="R146">
        <f>(Table1[[#This Row],[Part Weight (gm)]]*Table1[[#This Row],[Finish Good]])/1000</f>
        <v>0</v>
      </c>
      <c r="S146">
        <v>0</v>
      </c>
      <c r="T146">
        <f>IF(Table1[[#This Row],[Qty Order]]="Sample","-",IF(Table1[[#This Row],[Qty Order]]="RTFN","-",Table1[[#This Row],[Qty Order]]-Table1[[#This Row],[Qty Accumulate]]))</f>
        <v>0</v>
      </c>
      <c r="U146">
        <f>((Table1[[#This Row],[Shift Output]]*Table1[[#This Row],[Part Weight (gm)]])/1000)+Table1[[#This Row],[Reject Startup (kg)]]+Table1[[#This Row],[Reject Purging (kg)]]+Table1[[#This Row],[Reject Preform (kg)]]</f>
        <v>0</v>
      </c>
      <c r="V146" s="37">
        <f>(Table1[[#This Row],[Gross Weight (gm)]]-Table1[[#This Row],[Part Weight (gm)]])*Table1[[#This Row],[Shift Output]]/1000</f>
        <v>0</v>
      </c>
      <c r="W146" s="3">
        <v>0</v>
      </c>
      <c r="X146" s="36" t="e">
        <f>Table1[[#This Row],[Reject Startup (kg)]]/Table1[[#This Row],[Material Used]]</f>
        <v>#DIV/0!</v>
      </c>
      <c r="Y146" s="3">
        <v>0</v>
      </c>
      <c r="Z146" s="36" t="e">
        <f>Table1[[#This Row],[Reject Prod (kg)]]/Table1[[#This Row],[Material Used]]</f>
        <v>#DIV/0!</v>
      </c>
      <c r="AA146" s="4">
        <v>0</v>
      </c>
      <c r="AB146" s="5">
        <v>12</v>
      </c>
      <c r="AC146" s="4" cm="1">
        <f t="array" ref="AC146">IFERROR(INDEX(ReferenceCard, MATCH(1, (INDEX(ReferenceCard,,1)=Table1[[#This Row],[SAP No]]) * (INDEX(ReferenceCard,,2)=Table1[[#This Row],[Mould No]]), 0), 9),)</f>
        <v>12.3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L146" s="2"/>
      <c r="AM146" s="2"/>
      <c r="AN146" s="3">
        <v>0</v>
      </c>
      <c r="AO146" s="3">
        <v>0</v>
      </c>
      <c r="AP14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7" spans="1:42" x14ac:dyDescent="0.35">
      <c r="A147" s="1">
        <v>46018</v>
      </c>
      <c r="B147">
        <v>2</v>
      </c>
      <c r="C147" t="s">
        <v>25</v>
      </c>
      <c r="D147" t="str" cm="1">
        <f t="array" ref="D147">IFERROR(INDEX(ReferenceCard, MATCH(1, (INDEX(ReferenceCard,,1)=Table1[[#This Row],[SAP No]]) * (INDEX(ReferenceCard,,2)=Table1[[#This Row],[Mould No]]), 0), 6),)</f>
        <v>PET</v>
      </c>
      <c r="E147">
        <v>323133</v>
      </c>
      <c r="F147">
        <v>0</v>
      </c>
      <c r="G147" t="str" cm="1">
        <f t="array" ref="G147">IFERROR(INDEX(ReferenceCard, MATCH(1, (INDEX(ReferenceCard,,1)=Table1[[#This Row],[SAP No]]) * (INDEX(ReferenceCard,,2)=Table1[[#This Row],[Mould No]]), 0), 3),)</f>
        <v>BX38-2000-RH-R-CL(GREEN) (ASEM)</v>
      </c>
      <c r="H147">
        <v>0</v>
      </c>
      <c r="I147" cm="1">
        <f t="array" ref="I147">IFERROR(INDEX(ReferenceCard, MATCH(1, (INDEX(ReferenceCard,,1)=Table1[[#This Row],[SAP No]]) * (INDEX(ReferenceCard,,2)=Table1[[#This Row],[Mould No]]), 0), 4),)</f>
        <v>4</v>
      </c>
      <c r="J147" s="4" cm="1">
        <f t="array" ref="J147">IFERROR(INDEX(ReferenceCard, MATCH(1, (INDEX(ReferenceCard,,1)=Table1[[#This Row],[SAP No]]) * (INDEX(ReferenceCard,,2)=Table1[[#This Row],[Mould No]]), 0), 9),)</f>
        <v>77</v>
      </c>
      <c r="K147" s="4" cm="1">
        <f t="array" ref="K147">IFERROR(INDEX(ReferenceCard, MATCH(1, (INDEX(ReferenceCard,,1)=Table1[[#This Row],[SAP No]]) * (INDEX(ReferenceCard,,2)=Table1[[#This Row],[Mould No]]), 0), 7),)</f>
        <v>77</v>
      </c>
      <c r="L147">
        <v>0</v>
      </c>
      <c r="M147">
        <v>0</v>
      </c>
      <c r="N147">
        <v>0</v>
      </c>
      <c r="O147">
        <v>0</v>
      </c>
      <c r="P147">
        <f>Table1[[#This Row],[Shot]]*Table1[[#This Row],[Cav]]</f>
        <v>0</v>
      </c>
      <c r="Q147">
        <v>0</v>
      </c>
      <c r="R147">
        <f>(Table1[[#This Row],[Part Weight (gm)]]*Table1[[#This Row],[Finish Good]])/1000</f>
        <v>0</v>
      </c>
      <c r="S147">
        <v>0</v>
      </c>
      <c r="T147">
        <f>IF(Table1[[#This Row],[Qty Order]]="Sample","-",IF(Table1[[#This Row],[Qty Order]]="RTFN","-",Table1[[#This Row],[Qty Order]]-Table1[[#This Row],[Qty Accumulate]]))</f>
        <v>0</v>
      </c>
      <c r="U147">
        <f>((Table1[[#This Row],[Shift Output]]*Table1[[#This Row],[Part Weight (gm)]])/1000)+Table1[[#This Row],[Reject Startup (kg)]]+Table1[[#This Row],[Reject Purging (kg)]]+Table1[[#This Row],[Reject Preform (kg)]]</f>
        <v>0</v>
      </c>
      <c r="V147" s="37">
        <f>(Table1[[#This Row],[Gross Weight (gm)]]-Table1[[#This Row],[Part Weight (gm)]])*Table1[[#This Row],[Shift Output]]/1000</f>
        <v>0</v>
      </c>
      <c r="W147" s="3">
        <v>0</v>
      </c>
      <c r="X147" s="36" t="e">
        <f>Table1[[#This Row],[Reject Startup (kg)]]/Table1[[#This Row],[Material Used]]</f>
        <v>#DIV/0!</v>
      </c>
      <c r="Y147" s="3">
        <v>0</v>
      </c>
      <c r="Z147" s="36" t="e">
        <f>Table1[[#This Row],[Reject Prod (kg)]]/Table1[[#This Row],[Material Used]]</f>
        <v>#DIV/0!</v>
      </c>
      <c r="AA147" s="4">
        <v>0</v>
      </c>
      <c r="AB147" s="5">
        <v>0</v>
      </c>
      <c r="AC147" s="4" cm="1">
        <f t="array" ref="AC147">IFERROR(INDEX(ReferenceCard, MATCH(1, (INDEX(ReferenceCard,,1)=Table1[[#This Row],[SAP No]]) * (INDEX(ReferenceCard,,2)=Table1[[#This Row],[Mould No]]), 0), 9),)</f>
        <v>77</v>
      </c>
      <c r="AD147" s="5">
        <v>0</v>
      </c>
      <c r="AE147" s="5">
        <v>0</v>
      </c>
      <c r="AF147" s="5">
        <v>0</v>
      </c>
      <c r="AG147" s="5">
        <v>12</v>
      </c>
      <c r="AH147" s="5">
        <v>0</v>
      </c>
      <c r="AI147" s="5">
        <v>0</v>
      </c>
      <c r="AJ147" s="5">
        <v>0</v>
      </c>
      <c r="AL147" s="2"/>
      <c r="AM147" s="2"/>
      <c r="AN147" s="3">
        <v>0</v>
      </c>
      <c r="AO147" s="3">
        <v>0</v>
      </c>
      <c r="AP14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8" spans="1:42" x14ac:dyDescent="0.35">
      <c r="A148" s="1">
        <v>46018</v>
      </c>
      <c r="B148">
        <v>2</v>
      </c>
      <c r="C148" t="s">
        <v>27</v>
      </c>
      <c r="D148" t="str" cm="1">
        <f t="array" ref="D148">IFERROR(INDEX(ReferenceCard, MATCH(1, (INDEX(ReferenceCard,,1)=Table1[[#This Row],[SAP No]]) * (INDEX(ReferenceCard,,2)=Table1[[#This Row],[Mould No]]), 0), 6),)</f>
        <v>PPSB520Y</v>
      </c>
      <c r="E148">
        <v>552181</v>
      </c>
      <c r="F148">
        <v>4</v>
      </c>
      <c r="G148" t="str" cm="1">
        <f t="array" ref="G148">IFERROR(INDEX(ReferenceCard, MATCH(1, (INDEX(ReferenceCard,,1)=Table1[[#This Row],[SAP No]]) * (INDEX(ReferenceCard,,2)=Table1[[#This Row],[Mould No]]), 0), 3),)</f>
        <v>BC28-0090-D-APH-5180-3538-PP-6 NOTCHES-MOLD4</v>
      </c>
      <c r="H148">
        <v>0</v>
      </c>
      <c r="I148" cm="1">
        <f t="array" ref="I148">IFERROR(INDEX(ReferenceCard, MATCH(1, (INDEX(ReferenceCard,,1)=Table1[[#This Row],[SAP No]]) * (INDEX(ReferenceCard,,2)=Table1[[#This Row],[Mould No]]), 0), 4),)</f>
        <v>6</v>
      </c>
      <c r="J148" s="4" cm="1">
        <f t="array" ref="J148">IFERROR(INDEX(ReferenceCard, MATCH(1, (INDEX(ReferenceCard,,1)=Table1[[#This Row],[SAP No]]) * (INDEX(ReferenceCard,,2)=Table1[[#This Row],[Mould No]]), 0), 9),)</f>
        <v>18.8</v>
      </c>
      <c r="K148" s="4" cm="1">
        <f t="array" ref="K148">IFERROR(INDEX(ReferenceCard, MATCH(1, (INDEX(ReferenceCard,,1)=Table1[[#This Row],[SAP No]]) * (INDEX(ReferenceCard,,2)=Table1[[#This Row],[Mould No]]), 0), 7),)</f>
        <v>18.8</v>
      </c>
      <c r="L148">
        <v>0</v>
      </c>
      <c r="M148">
        <v>0</v>
      </c>
      <c r="N148">
        <v>0</v>
      </c>
      <c r="O148">
        <v>0</v>
      </c>
      <c r="P148">
        <f>Table1[[#This Row],[Shot]]*Table1[[#This Row],[Cav]]</f>
        <v>0</v>
      </c>
      <c r="Q148">
        <v>0</v>
      </c>
      <c r="R148">
        <f>(Table1[[#This Row],[Part Weight (gm)]]*Table1[[#This Row],[Finish Good]])/1000</f>
        <v>0</v>
      </c>
      <c r="S148">
        <v>0</v>
      </c>
      <c r="T148">
        <f>IF(Table1[[#This Row],[Qty Order]]="Sample","-",IF(Table1[[#This Row],[Qty Order]]="RTFN","-",Table1[[#This Row],[Qty Order]]-Table1[[#This Row],[Qty Accumulate]]))</f>
        <v>0</v>
      </c>
      <c r="U148">
        <f>((Table1[[#This Row],[Shift Output]]*Table1[[#This Row],[Part Weight (gm)]])/1000)+Table1[[#This Row],[Reject Startup (kg)]]+Table1[[#This Row],[Reject Purging (kg)]]+Table1[[#This Row],[Reject Preform (kg)]]</f>
        <v>0</v>
      </c>
      <c r="V148" s="37">
        <f>(Table1[[#This Row],[Gross Weight (gm)]]-Table1[[#This Row],[Part Weight (gm)]])*Table1[[#This Row],[Shift Output]]/1000</f>
        <v>0</v>
      </c>
      <c r="W148" s="3">
        <v>0</v>
      </c>
      <c r="X148" s="36" t="e">
        <f>Table1[[#This Row],[Reject Startup (kg)]]/Table1[[#This Row],[Material Used]]</f>
        <v>#DIV/0!</v>
      </c>
      <c r="Y148" s="3">
        <v>0</v>
      </c>
      <c r="Z148" s="36" t="e">
        <f>Table1[[#This Row],[Reject Prod (kg)]]/Table1[[#This Row],[Material Used]]</f>
        <v>#DIV/0!</v>
      </c>
      <c r="AA148" s="4">
        <v>0</v>
      </c>
      <c r="AB148" s="5">
        <v>12</v>
      </c>
      <c r="AC148" s="4" cm="1">
        <f t="array" ref="AC148">IFERROR(INDEX(ReferenceCard, MATCH(1, (INDEX(ReferenceCard,,1)=Table1[[#This Row],[SAP No]]) * (INDEX(ReferenceCard,,2)=Table1[[#This Row],[Mould No]]), 0), 9),)</f>
        <v>18.8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L148" s="2"/>
      <c r="AM148" s="2"/>
      <c r="AN148" s="3">
        <v>0</v>
      </c>
      <c r="AO148" s="3">
        <v>0</v>
      </c>
      <c r="AP14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49" spans="1:42" x14ac:dyDescent="0.35">
      <c r="A149" s="1">
        <v>46018</v>
      </c>
      <c r="B149">
        <v>2</v>
      </c>
      <c r="C149" t="s">
        <v>29</v>
      </c>
      <c r="D149" t="str" cm="1">
        <f t="array" ref="D149">IFERROR(INDEX(ReferenceCard, MATCH(1, (INDEX(ReferenceCard,,1)=Table1[[#This Row],[SAP No]]) * (INDEX(ReferenceCard,,2)=Table1[[#This Row],[Mould No]]), 0), 6),)</f>
        <v>PET</v>
      </c>
      <c r="E149">
        <v>620599</v>
      </c>
      <c r="F149">
        <v>0</v>
      </c>
      <c r="G149" t="str" cm="1">
        <f t="array" ref="G149">IFERROR(INDEX(ReferenceCard, MATCH(1, (INDEX(ReferenceCard,,1)=Table1[[#This Row],[SAP No]]) * (INDEX(ReferenceCard,,2)=Table1[[#This Row],[Mould No]]), 0), 3),)</f>
        <v>BC28-0750-K4-R-CL (55g)</v>
      </c>
      <c r="H149">
        <v>0</v>
      </c>
      <c r="I149" cm="1">
        <f t="array" ref="I149">IFERROR(INDEX(ReferenceCard, MATCH(1, (INDEX(ReferenceCard,,1)=Table1[[#This Row],[SAP No]]) * (INDEX(ReferenceCard,,2)=Table1[[#This Row],[Mould No]]), 0), 4),)</f>
        <v>4</v>
      </c>
      <c r="J149" s="4" cm="1">
        <f t="array" ref="J149">IFERROR(INDEX(ReferenceCard, MATCH(1, (INDEX(ReferenceCard,,1)=Table1[[#This Row],[SAP No]]) * (INDEX(ReferenceCard,,2)=Table1[[#This Row],[Mould No]]), 0), 9),)</f>
        <v>55</v>
      </c>
      <c r="K149" s="4" cm="1">
        <f t="array" ref="K149">IFERROR(INDEX(ReferenceCard, MATCH(1, (INDEX(ReferenceCard,,1)=Table1[[#This Row],[SAP No]]) * (INDEX(ReferenceCard,,2)=Table1[[#This Row],[Mould No]]), 0), 7),)</f>
        <v>55</v>
      </c>
      <c r="L149">
        <v>0</v>
      </c>
      <c r="M149">
        <v>0</v>
      </c>
      <c r="N149">
        <v>0</v>
      </c>
      <c r="O149">
        <v>0</v>
      </c>
      <c r="P149">
        <f>Table1[[#This Row],[Shot]]*Table1[[#This Row],[Cav]]</f>
        <v>0</v>
      </c>
      <c r="Q149">
        <v>0</v>
      </c>
      <c r="R149">
        <f>(Table1[[#This Row],[Part Weight (gm)]]*Table1[[#This Row],[Finish Good]])/1000</f>
        <v>0</v>
      </c>
      <c r="S149">
        <v>0</v>
      </c>
      <c r="T149">
        <f>IF(Table1[[#This Row],[Qty Order]]="Sample","-",IF(Table1[[#This Row],[Qty Order]]="RTFN","-",Table1[[#This Row],[Qty Order]]-Table1[[#This Row],[Qty Accumulate]]))</f>
        <v>0</v>
      </c>
      <c r="U149">
        <f>((Table1[[#This Row],[Shift Output]]*Table1[[#This Row],[Part Weight (gm)]])/1000)+Table1[[#This Row],[Reject Startup (kg)]]+Table1[[#This Row],[Reject Purging (kg)]]+Table1[[#This Row],[Reject Preform (kg)]]</f>
        <v>0</v>
      </c>
      <c r="V149" s="37">
        <f>(Table1[[#This Row],[Gross Weight (gm)]]-Table1[[#This Row],[Part Weight (gm)]])*Table1[[#This Row],[Shift Output]]/1000</f>
        <v>0</v>
      </c>
      <c r="W149" s="3">
        <v>0</v>
      </c>
      <c r="X149" s="36" t="e">
        <f>Table1[[#This Row],[Reject Startup (kg)]]/Table1[[#This Row],[Material Used]]</f>
        <v>#DIV/0!</v>
      </c>
      <c r="Y149" s="3">
        <v>0</v>
      </c>
      <c r="Z149" s="36" t="e">
        <f>Table1[[#This Row],[Reject Prod (kg)]]/Table1[[#This Row],[Material Used]]</f>
        <v>#DIV/0!</v>
      </c>
      <c r="AA149" s="4">
        <v>0</v>
      </c>
      <c r="AB149" s="5">
        <v>12</v>
      </c>
      <c r="AC149" s="4" cm="1">
        <f t="array" ref="AC149">IFERROR(INDEX(ReferenceCard, MATCH(1, (INDEX(ReferenceCard,,1)=Table1[[#This Row],[SAP No]]) * (INDEX(ReferenceCard,,2)=Table1[[#This Row],[Mould No]]), 0), 9),)</f>
        <v>55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L149" s="2"/>
      <c r="AM149" s="2"/>
      <c r="AN149" s="3">
        <v>0</v>
      </c>
      <c r="AO149" s="3">
        <v>0</v>
      </c>
      <c r="AP14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0" spans="1:42" x14ac:dyDescent="0.35">
      <c r="A150" s="1">
        <v>46018</v>
      </c>
      <c r="B150">
        <v>2</v>
      </c>
      <c r="C150" t="s">
        <v>31</v>
      </c>
      <c r="D150" t="str" cm="1">
        <f t="array" ref="D150">IFERROR(INDEX(ReferenceCard, MATCH(1, (INDEX(ReferenceCard,,1)=Table1[[#This Row],[SAP No]]) * (INDEX(ReferenceCard,,2)=Table1[[#This Row],[Mould No]]), 0), 6),)</f>
        <v>PPSB520Y</v>
      </c>
      <c r="E150">
        <v>586276</v>
      </c>
      <c r="F150">
        <v>4</v>
      </c>
      <c r="G150" t="str" cm="1">
        <f t="array" ref="G150">IFERROR(INDEX(ReferenceCard, MATCH(1, (INDEX(ReferenceCard,,1)=Table1[[#This Row],[SAP No]]) * (INDEX(ReferenceCard,,2)=Table1[[#This Row],[Mould No]]), 0), 3),)</f>
        <v>BC28-0056-D-APH-LEB-604001-MOLD4</v>
      </c>
      <c r="H150">
        <v>0</v>
      </c>
      <c r="I150" cm="1">
        <f t="array" ref="I150">IFERROR(INDEX(ReferenceCard, MATCH(1, (INDEX(ReferenceCard,,1)=Table1[[#This Row],[SAP No]]) * (INDEX(ReferenceCard,,2)=Table1[[#This Row],[Mould No]]), 0), 4),)</f>
        <v>6</v>
      </c>
      <c r="J150" s="4" cm="1">
        <f t="array" ref="J150">IFERROR(INDEX(ReferenceCard, MATCH(1, (INDEX(ReferenceCard,,1)=Table1[[#This Row],[SAP No]]) * (INDEX(ReferenceCard,,2)=Table1[[#This Row],[Mould No]]), 0), 9),)</f>
        <v>12.3</v>
      </c>
      <c r="K150" s="4" cm="1">
        <f t="array" ref="K150">IFERROR(INDEX(ReferenceCard, MATCH(1, (INDEX(ReferenceCard,,1)=Table1[[#This Row],[SAP No]]) * (INDEX(ReferenceCard,,2)=Table1[[#This Row],[Mould No]]), 0), 7),)</f>
        <v>12.3</v>
      </c>
      <c r="L150">
        <v>0</v>
      </c>
      <c r="M150">
        <v>0</v>
      </c>
      <c r="N150">
        <v>0</v>
      </c>
      <c r="O150">
        <v>0</v>
      </c>
      <c r="P150">
        <f>Table1[[#This Row],[Shot]]*Table1[[#This Row],[Cav]]</f>
        <v>0</v>
      </c>
      <c r="Q150">
        <v>0</v>
      </c>
      <c r="R150">
        <f>(Table1[[#This Row],[Part Weight (gm)]]*Table1[[#This Row],[Finish Good]])/1000</f>
        <v>0</v>
      </c>
      <c r="S150">
        <v>0</v>
      </c>
      <c r="T150">
        <f>IF(Table1[[#This Row],[Qty Order]]="Sample","-",IF(Table1[[#This Row],[Qty Order]]="RTFN","-",Table1[[#This Row],[Qty Order]]-Table1[[#This Row],[Qty Accumulate]]))</f>
        <v>0</v>
      </c>
      <c r="U150">
        <f>((Table1[[#This Row],[Shift Output]]*Table1[[#This Row],[Part Weight (gm)]])/1000)+Table1[[#This Row],[Reject Startup (kg)]]+Table1[[#This Row],[Reject Purging (kg)]]+Table1[[#This Row],[Reject Preform (kg)]]</f>
        <v>0</v>
      </c>
      <c r="V150" s="37">
        <f>(Table1[[#This Row],[Gross Weight (gm)]]-Table1[[#This Row],[Part Weight (gm)]])*Table1[[#This Row],[Shift Output]]/1000</f>
        <v>0</v>
      </c>
      <c r="W150" s="3">
        <v>0</v>
      </c>
      <c r="X150" s="36" t="e">
        <f>Table1[[#This Row],[Reject Startup (kg)]]/Table1[[#This Row],[Material Used]]</f>
        <v>#DIV/0!</v>
      </c>
      <c r="Y150" s="3">
        <v>0</v>
      </c>
      <c r="Z150" s="36" t="e">
        <f>Table1[[#This Row],[Reject Prod (kg)]]/Table1[[#This Row],[Material Used]]</f>
        <v>#DIV/0!</v>
      </c>
      <c r="AA150" s="4">
        <v>0</v>
      </c>
      <c r="AB150" s="5">
        <v>12</v>
      </c>
      <c r="AC150" s="4" cm="1">
        <f t="array" ref="AC150">IFERROR(INDEX(ReferenceCard, MATCH(1, (INDEX(ReferenceCard,,1)=Table1[[#This Row],[SAP No]]) * (INDEX(ReferenceCard,,2)=Table1[[#This Row],[Mould No]]), 0), 9),)</f>
        <v>12.3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L150" s="2"/>
      <c r="AM150" s="2"/>
      <c r="AN150" s="3">
        <v>0</v>
      </c>
      <c r="AO150" s="3">
        <v>0</v>
      </c>
      <c r="AP15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1" spans="1:42" x14ac:dyDescent="0.35">
      <c r="A151" s="1">
        <v>46018</v>
      </c>
      <c r="B151">
        <v>2</v>
      </c>
      <c r="C151" t="s">
        <v>33</v>
      </c>
      <c r="D151" t="str" cm="1">
        <f t="array" ref="D151">IFERROR(INDEX(ReferenceCard, MATCH(1, (INDEX(ReferenceCard,,1)=Table1[[#This Row],[SAP No]]) * (INDEX(ReferenceCard,,2)=Table1[[#This Row],[Mould No]]), 0), 6),)</f>
        <v>PET</v>
      </c>
      <c r="E151">
        <v>541381</v>
      </c>
      <c r="F151">
        <v>0</v>
      </c>
      <c r="G151" t="str" cm="1">
        <f t="array" ref="G151">IFERROR(INDEX(ReferenceCard, MATCH(1, (INDEX(ReferenceCard,,1)=Table1[[#This Row],[SAP No]]) * (INDEX(ReferenceCard,,2)=Table1[[#This Row],[Mould No]]), 0), 3),)</f>
        <v>BC28-1200-K-R-CL</v>
      </c>
      <c r="H151">
        <v>0</v>
      </c>
      <c r="I151" cm="1">
        <f t="array" ref="I151">IFERROR(INDEX(ReferenceCard, MATCH(1, (INDEX(ReferenceCard,,1)=Table1[[#This Row],[SAP No]]) * (INDEX(ReferenceCard,,2)=Table1[[#This Row],[Mould No]]), 0), 4),)</f>
        <v>4</v>
      </c>
      <c r="J151" s="4" cm="1">
        <f t="array" ref="J151">IFERROR(INDEX(ReferenceCard, MATCH(1, (INDEX(ReferenceCard,,1)=Table1[[#This Row],[SAP No]]) * (INDEX(ReferenceCard,,2)=Table1[[#This Row],[Mould No]]), 0), 9),)</f>
        <v>55</v>
      </c>
      <c r="K151" s="4" cm="1">
        <f t="array" ref="K151">IFERROR(INDEX(ReferenceCard, MATCH(1, (INDEX(ReferenceCard,,1)=Table1[[#This Row],[SAP No]]) * (INDEX(ReferenceCard,,2)=Table1[[#This Row],[Mould No]]), 0), 7),)</f>
        <v>55</v>
      </c>
      <c r="L151">
        <v>0</v>
      </c>
      <c r="M151">
        <v>0</v>
      </c>
      <c r="N151">
        <v>0</v>
      </c>
      <c r="O151">
        <v>0</v>
      </c>
      <c r="P151">
        <f>Table1[[#This Row],[Shot]]*Table1[[#This Row],[Cav]]</f>
        <v>0</v>
      </c>
      <c r="Q151">
        <v>0</v>
      </c>
      <c r="R151">
        <f>(Table1[[#This Row],[Part Weight (gm)]]*Table1[[#This Row],[Finish Good]])/1000</f>
        <v>0</v>
      </c>
      <c r="S151">
        <v>0</v>
      </c>
      <c r="T151">
        <f>IF(Table1[[#This Row],[Qty Order]]="Sample","-",IF(Table1[[#This Row],[Qty Order]]="RTFN","-",Table1[[#This Row],[Qty Order]]-Table1[[#This Row],[Qty Accumulate]]))</f>
        <v>0</v>
      </c>
      <c r="U151">
        <f>((Table1[[#This Row],[Shift Output]]*Table1[[#This Row],[Part Weight (gm)]])/1000)+Table1[[#This Row],[Reject Startup (kg)]]+Table1[[#This Row],[Reject Purging (kg)]]+Table1[[#This Row],[Reject Preform (kg)]]</f>
        <v>0</v>
      </c>
      <c r="V151" s="37">
        <f>(Table1[[#This Row],[Gross Weight (gm)]]-Table1[[#This Row],[Part Weight (gm)]])*Table1[[#This Row],[Shift Output]]/1000</f>
        <v>0</v>
      </c>
      <c r="W151" s="3">
        <v>0</v>
      </c>
      <c r="X151" s="36" t="e">
        <f>Table1[[#This Row],[Reject Startup (kg)]]/Table1[[#This Row],[Material Used]]</f>
        <v>#DIV/0!</v>
      </c>
      <c r="Y151" s="3">
        <v>0</v>
      </c>
      <c r="Z151" s="36" t="e">
        <f>Table1[[#This Row],[Reject Prod (kg)]]/Table1[[#This Row],[Material Used]]</f>
        <v>#DIV/0!</v>
      </c>
      <c r="AA151" s="4">
        <v>0</v>
      </c>
      <c r="AB151" s="5">
        <v>12</v>
      </c>
      <c r="AC151" s="4" cm="1">
        <f t="array" ref="AC151">IFERROR(INDEX(ReferenceCard, MATCH(1, (INDEX(ReferenceCard,,1)=Table1[[#This Row],[SAP No]]) * (INDEX(ReferenceCard,,2)=Table1[[#This Row],[Mould No]]), 0), 9),)</f>
        <v>55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L151" s="2"/>
      <c r="AM151" s="2"/>
      <c r="AN151" s="3">
        <v>0</v>
      </c>
      <c r="AO151" s="3">
        <v>0</v>
      </c>
      <c r="AP15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2" spans="1:42" x14ac:dyDescent="0.35">
      <c r="A152" s="1">
        <v>46018</v>
      </c>
      <c r="B152">
        <v>2</v>
      </c>
      <c r="C152" t="s">
        <v>35</v>
      </c>
      <c r="D152" t="str" cm="1">
        <f t="array" ref="D152">IFERROR(INDEX(ReferenceCard, MATCH(1, (INDEX(ReferenceCard,,1)=Table1[[#This Row],[SAP No]]) * (INDEX(ReferenceCard,,2)=Table1[[#This Row],[Mould No]]), 0), 6),)</f>
        <v>PPSB520Y</v>
      </c>
      <c r="E152">
        <v>552181</v>
      </c>
      <c r="F152">
        <v>1</v>
      </c>
      <c r="G152" t="str" cm="1">
        <f t="array" ref="G152">IFERROR(INDEX(ReferenceCard, MATCH(1, (INDEX(ReferenceCard,,1)=Table1[[#This Row],[SAP No]]) * (INDEX(ReferenceCard,,2)=Table1[[#This Row],[Mould No]]), 0), 3),)</f>
        <v>BC28-0090-D-APH-5180-3538-PP-6 NOTCHES-MOLD1</v>
      </c>
      <c r="H152">
        <v>0</v>
      </c>
      <c r="I152" cm="1">
        <f t="array" ref="I152">IFERROR(INDEX(ReferenceCard, MATCH(1, (INDEX(ReferenceCard,,1)=Table1[[#This Row],[SAP No]]) * (INDEX(ReferenceCard,,2)=Table1[[#This Row],[Mould No]]), 0), 4),)</f>
        <v>6</v>
      </c>
      <c r="J152" s="4" cm="1">
        <f t="array" ref="J152">IFERROR(INDEX(ReferenceCard, MATCH(1, (INDEX(ReferenceCard,,1)=Table1[[#This Row],[SAP No]]) * (INDEX(ReferenceCard,,2)=Table1[[#This Row],[Mould No]]), 0), 9),)</f>
        <v>18.8</v>
      </c>
      <c r="K152" s="4" cm="1">
        <f t="array" ref="K152">IFERROR(INDEX(ReferenceCard, MATCH(1, (INDEX(ReferenceCard,,1)=Table1[[#This Row],[SAP No]]) * (INDEX(ReferenceCard,,2)=Table1[[#This Row],[Mould No]]), 0), 7),)</f>
        <v>18.8</v>
      </c>
      <c r="L152">
        <v>0</v>
      </c>
      <c r="M152">
        <v>0</v>
      </c>
      <c r="N152">
        <v>0</v>
      </c>
      <c r="O152">
        <v>0</v>
      </c>
      <c r="P152">
        <f>Table1[[#This Row],[Shot]]*Table1[[#This Row],[Cav]]</f>
        <v>0</v>
      </c>
      <c r="Q152">
        <v>0</v>
      </c>
      <c r="R152">
        <f>(Table1[[#This Row],[Part Weight (gm)]]*Table1[[#This Row],[Finish Good]])/1000</f>
        <v>0</v>
      </c>
      <c r="S152">
        <v>0</v>
      </c>
      <c r="T152">
        <f>IF(Table1[[#This Row],[Qty Order]]="Sample","-",IF(Table1[[#This Row],[Qty Order]]="RTFN","-",Table1[[#This Row],[Qty Order]]-Table1[[#This Row],[Qty Accumulate]]))</f>
        <v>0</v>
      </c>
      <c r="U152">
        <f>((Table1[[#This Row],[Shift Output]]*Table1[[#This Row],[Part Weight (gm)]])/1000)+Table1[[#This Row],[Reject Startup (kg)]]+Table1[[#This Row],[Reject Purging (kg)]]+Table1[[#This Row],[Reject Preform (kg)]]</f>
        <v>0</v>
      </c>
      <c r="V152" s="37">
        <f>(Table1[[#This Row],[Gross Weight (gm)]]-Table1[[#This Row],[Part Weight (gm)]])*Table1[[#This Row],[Shift Output]]/1000</f>
        <v>0</v>
      </c>
      <c r="W152" s="3">
        <v>0</v>
      </c>
      <c r="X152" s="36" t="e">
        <f>Table1[[#This Row],[Reject Startup (kg)]]/Table1[[#This Row],[Material Used]]</f>
        <v>#DIV/0!</v>
      </c>
      <c r="Y152" s="3">
        <v>0</v>
      </c>
      <c r="Z152" s="36" t="e">
        <f>Table1[[#This Row],[Reject Prod (kg)]]/Table1[[#This Row],[Material Used]]</f>
        <v>#DIV/0!</v>
      </c>
      <c r="AA152" s="4">
        <v>0</v>
      </c>
      <c r="AB152" s="5">
        <v>12</v>
      </c>
      <c r="AC152" s="4" cm="1">
        <f t="array" ref="AC152">IFERROR(INDEX(ReferenceCard, MATCH(1, (INDEX(ReferenceCard,,1)=Table1[[#This Row],[SAP No]]) * (INDEX(ReferenceCard,,2)=Table1[[#This Row],[Mould No]]), 0), 9),)</f>
        <v>18.8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L152" s="2"/>
      <c r="AM152" s="2"/>
      <c r="AN152" s="3">
        <v>0</v>
      </c>
      <c r="AO152" s="3">
        <v>0</v>
      </c>
      <c r="AP15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3" spans="1:42" x14ac:dyDescent="0.35">
      <c r="A153" s="1">
        <v>46018</v>
      </c>
      <c r="B153">
        <v>2</v>
      </c>
      <c r="C153" t="s">
        <v>18</v>
      </c>
      <c r="D153" t="str" cm="1">
        <f t="array" ref="D153">IFERROR(INDEX(ReferenceCard, MATCH(1, (INDEX(ReferenceCard,,1)=Table1[[#This Row],[SAP No]]) * (INDEX(ReferenceCard,,2)=Table1[[#This Row],[Mould No]]), 0), 6),)</f>
        <v>PPSB520Y</v>
      </c>
      <c r="E153">
        <v>555979</v>
      </c>
      <c r="F153">
        <v>4</v>
      </c>
      <c r="G153" t="str" cm="1">
        <f t="array" ref="G153">IFERROR(INDEX(ReferenceCard, MATCH(1, (INDEX(ReferenceCard,,1)=Table1[[#This Row],[SAP No]]) * (INDEX(ReferenceCard,,2)=Table1[[#This Row],[Mould No]]), 0), 3),)</f>
        <v>BC28-0170-D-APH-5180-3539-PP-6 NOTCHES-MOLD4</v>
      </c>
      <c r="H153">
        <v>0</v>
      </c>
      <c r="I153" cm="1">
        <f t="array" ref="I153">IFERROR(INDEX(ReferenceCard, MATCH(1, (INDEX(ReferenceCard,,1)=Table1[[#This Row],[SAP No]]) * (INDEX(ReferenceCard,,2)=Table1[[#This Row],[Mould No]]), 0), 4),)</f>
        <v>6</v>
      </c>
      <c r="J153" s="4" cm="1">
        <f t="array" ref="J153">IFERROR(INDEX(ReferenceCard, MATCH(1, (INDEX(ReferenceCard,,1)=Table1[[#This Row],[SAP No]]) * (INDEX(ReferenceCard,,2)=Table1[[#This Row],[Mould No]]), 0), 9),)</f>
        <v>28</v>
      </c>
      <c r="K153" s="4" cm="1">
        <f t="array" ref="K153">IFERROR(INDEX(ReferenceCard, MATCH(1, (INDEX(ReferenceCard,,1)=Table1[[#This Row],[SAP No]]) * (INDEX(ReferenceCard,,2)=Table1[[#This Row],[Mould No]]), 0), 7),)</f>
        <v>28</v>
      </c>
      <c r="L153">
        <v>0</v>
      </c>
      <c r="M153">
        <v>0</v>
      </c>
      <c r="N153">
        <v>0</v>
      </c>
      <c r="O153">
        <v>0</v>
      </c>
      <c r="P153">
        <f>Table1[[#This Row],[Shot]]*Table1[[#This Row],[Cav]]</f>
        <v>0</v>
      </c>
      <c r="Q153">
        <v>0</v>
      </c>
      <c r="R153">
        <f>(Table1[[#This Row],[Part Weight (gm)]]*Table1[[#This Row],[Finish Good]])/1000</f>
        <v>0</v>
      </c>
      <c r="S153">
        <v>0</v>
      </c>
      <c r="T153">
        <f>IF(Table1[[#This Row],[Qty Order]]="Sample","-",IF(Table1[[#This Row],[Qty Order]]="RTFN","-",Table1[[#This Row],[Qty Order]]-Table1[[#This Row],[Qty Accumulate]]))</f>
        <v>0</v>
      </c>
      <c r="U153">
        <f>((Table1[[#This Row],[Shift Output]]*Table1[[#This Row],[Part Weight (gm)]])/1000)+Table1[[#This Row],[Reject Startup (kg)]]+Table1[[#This Row],[Reject Purging (kg)]]+Table1[[#This Row],[Reject Preform (kg)]]</f>
        <v>0</v>
      </c>
      <c r="V153" s="37">
        <f>(Table1[[#This Row],[Gross Weight (gm)]]-Table1[[#This Row],[Part Weight (gm)]])*Table1[[#This Row],[Shift Output]]/1000</f>
        <v>0</v>
      </c>
      <c r="W153" s="3">
        <v>0</v>
      </c>
      <c r="X153" s="36" t="e">
        <f>Table1[[#This Row],[Reject Startup (kg)]]/Table1[[#This Row],[Material Used]]</f>
        <v>#DIV/0!</v>
      </c>
      <c r="Y153" s="3">
        <v>0</v>
      </c>
      <c r="Z153" s="36" t="e">
        <f>Table1[[#This Row],[Reject Prod (kg)]]/Table1[[#This Row],[Material Used]]</f>
        <v>#DIV/0!</v>
      </c>
      <c r="AA153" s="4">
        <v>0</v>
      </c>
      <c r="AB153" s="5">
        <v>0</v>
      </c>
      <c r="AC153" s="4" cm="1">
        <f t="array" ref="AC153">IFERROR(INDEX(ReferenceCard, MATCH(1, (INDEX(ReferenceCard,,1)=Table1[[#This Row],[SAP No]]) * (INDEX(ReferenceCard,,2)=Table1[[#This Row],[Mould No]]), 0), 9),)</f>
        <v>28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12</v>
      </c>
      <c r="AJ153" s="5">
        <v>0</v>
      </c>
      <c r="AL153" s="2"/>
      <c r="AM153" s="2"/>
      <c r="AN153" s="3">
        <v>0</v>
      </c>
      <c r="AO153" s="3">
        <v>0</v>
      </c>
      <c r="AP15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4" spans="1:42" x14ac:dyDescent="0.35">
      <c r="A154" s="1">
        <v>46018</v>
      </c>
      <c r="B154">
        <v>1</v>
      </c>
      <c r="C154" t="s">
        <v>0</v>
      </c>
      <c r="D154" t="str" cm="1">
        <f t="array" ref="D154">IFERROR(INDEX(ReferenceCard, MATCH(1, (INDEX(ReferenceCard,,1)=Table1[[#This Row],[SAP No]]) * (INDEX(ReferenceCard,,2)=Table1[[#This Row],[Mould No]]), 0), 6),)</f>
        <v>PET</v>
      </c>
      <c r="E154">
        <v>347623</v>
      </c>
      <c r="F154">
        <v>0</v>
      </c>
      <c r="G154" t="str" cm="1">
        <f t="array" ref="G154">IFERROR(INDEX(ReferenceCard, MATCH(1, (INDEX(ReferenceCard,,1)=Table1[[#This Row],[SAP No]]) * (INDEX(ReferenceCard,,2)=Table1[[#This Row],[Mould No]]), 0), 3),)</f>
        <v>BC28-0375-K-R-CL</v>
      </c>
      <c r="H154">
        <v>0</v>
      </c>
      <c r="I154" cm="1">
        <f t="array" ref="I154">IFERROR(INDEX(ReferenceCard, MATCH(1, (INDEX(ReferenceCard,,1)=Table1[[#This Row],[SAP No]]) * (INDEX(ReferenceCard,,2)=Table1[[#This Row],[Mould No]]), 0), 4),)</f>
        <v>4</v>
      </c>
      <c r="J154" s="4" cm="1">
        <f t="array" ref="J154">IFERROR(INDEX(ReferenceCard, MATCH(1, (INDEX(ReferenceCard,,1)=Table1[[#This Row],[SAP No]]) * (INDEX(ReferenceCard,,2)=Table1[[#This Row],[Mould No]]), 0), 9),)</f>
        <v>35.6</v>
      </c>
      <c r="K154" s="4" cm="1">
        <f t="array" ref="K154">IFERROR(INDEX(ReferenceCard, MATCH(1, (INDEX(ReferenceCard,,1)=Table1[[#This Row],[SAP No]]) * (INDEX(ReferenceCard,,2)=Table1[[#This Row],[Mould No]]), 0), 7),)</f>
        <v>35.6</v>
      </c>
      <c r="L154">
        <v>2668</v>
      </c>
      <c r="M154">
        <v>0</v>
      </c>
      <c r="N154">
        <v>0</v>
      </c>
      <c r="O154">
        <v>0</v>
      </c>
      <c r="P154">
        <f>Table1[[#This Row],[Shot]]*Table1[[#This Row],[Cav]]</f>
        <v>10672</v>
      </c>
      <c r="Q154">
        <v>0</v>
      </c>
      <c r="R154">
        <f>(Table1[[#This Row],[Part Weight (gm)]]*Table1[[#This Row],[Finish Good]])/1000</f>
        <v>0</v>
      </c>
      <c r="S154">
        <v>0</v>
      </c>
      <c r="T154">
        <f>IF(Table1[[#This Row],[Qty Order]]="Sample","-",IF(Table1[[#This Row],[Qty Order]]="RTFN","-",Table1[[#This Row],[Qty Order]]-Table1[[#This Row],[Qty Accumulate]]))</f>
        <v>0</v>
      </c>
      <c r="U154">
        <f>((Table1[[#This Row],[Shift Output]]*Table1[[#This Row],[Part Weight (gm)]])/1000)+Table1[[#This Row],[Reject Startup (kg)]]+Table1[[#This Row],[Reject Purging (kg)]]+Table1[[#This Row],[Reject Preform (kg)]]</f>
        <v>379.92320000000001</v>
      </c>
      <c r="V154" s="37">
        <f>(Table1[[#This Row],[Gross Weight (gm)]]-Table1[[#This Row],[Part Weight (gm)]])*Table1[[#This Row],[Shift Output]]/1000</f>
        <v>0</v>
      </c>
      <c r="W154" s="3">
        <v>0</v>
      </c>
      <c r="X154" s="36">
        <f>Table1[[#This Row],[Reject Startup (kg)]]/Table1[[#This Row],[Material Used]]</f>
        <v>0</v>
      </c>
      <c r="Y154" s="3">
        <v>0</v>
      </c>
      <c r="Z154" s="36">
        <f>Table1[[#This Row],[Reject Prod (kg)]]/Table1[[#This Row],[Material Used]]</f>
        <v>0</v>
      </c>
      <c r="AA154" s="4">
        <v>0</v>
      </c>
      <c r="AB154" s="5">
        <v>11.88</v>
      </c>
      <c r="AC154" s="4" cm="1">
        <f t="array" ref="AC154">IFERROR(INDEX(ReferenceCard, MATCH(1, (INDEX(ReferenceCard,,1)=Table1[[#This Row],[SAP No]]) * (INDEX(ReferenceCard,,2)=Table1[[#This Row],[Mould No]]), 0), 9),)</f>
        <v>35.6</v>
      </c>
      <c r="AD154" s="5">
        <v>0</v>
      </c>
      <c r="AE154" s="5">
        <v>0</v>
      </c>
      <c r="AF154" s="5">
        <v>0</v>
      </c>
      <c r="AG154" s="5">
        <v>0</v>
      </c>
      <c r="AH154" s="5">
        <v>0.12</v>
      </c>
      <c r="AI154" s="5">
        <v>0</v>
      </c>
      <c r="AJ154" s="5">
        <v>0</v>
      </c>
      <c r="AL154" s="2"/>
      <c r="AM154" s="2"/>
      <c r="AN154" s="3">
        <v>0</v>
      </c>
      <c r="AO154" s="3">
        <v>0</v>
      </c>
      <c r="AP15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5" spans="1:42" x14ac:dyDescent="0.35">
      <c r="A155" s="1">
        <v>46018</v>
      </c>
      <c r="B155">
        <v>1</v>
      </c>
      <c r="C155" t="s">
        <v>3</v>
      </c>
      <c r="D155" t="str" cm="1">
        <f t="array" ref="D155">IFERROR(INDEX(ReferenceCard, MATCH(1, (INDEX(ReferenceCard,,1)=Table1[[#This Row],[SAP No]]) * (INDEX(ReferenceCard,,2)=Table1[[#This Row],[Mould No]]), 0), 6),)</f>
        <v>PET</v>
      </c>
      <c r="E155">
        <v>423215</v>
      </c>
      <c r="F155">
        <v>0</v>
      </c>
      <c r="G155" t="str" cm="1">
        <f t="array" ref="G155">IFERROR(INDEX(ReferenceCard, MATCH(1, (INDEX(ReferenceCard,,1)=Table1[[#This Row],[SAP No]]) * (INDEX(ReferenceCard,,2)=Table1[[#This Row],[Mould No]]), 0), 3),)</f>
        <v>BC28-0355-SCC-A-Q-CL</v>
      </c>
      <c r="H155">
        <v>0</v>
      </c>
      <c r="I155" cm="1">
        <f t="array" ref="I155">IFERROR(INDEX(ReferenceCard, MATCH(1, (INDEX(ReferenceCard,,1)=Table1[[#This Row],[SAP No]]) * (INDEX(ReferenceCard,,2)=Table1[[#This Row],[Mould No]]), 0), 4),)</f>
        <v>4</v>
      </c>
      <c r="J155" s="4" cm="1">
        <f t="array" ref="J155">IFERROR(INDEX(ReferenceCard, MATCH(1, (INDEX(ReferenceCard,,1)=Table1[[#This Row],[SAP No]]) * (INDEX(ReferenceCard,,2)=Table1[[#This Row],[Mould No]]), 0), 9),)</f>
        <v>24</v>
      </c>
      <c r="K155" s="4" cm="1">
        <f t="array" ref="K155">IFERROR(INDEX(ReferenceCard, MATCH(1, (INDEX(ReferenceCard,,1)=Table1[[#This Row],[SAP No]]) * (INDEX(ReferenceCard,,2)=Table1[[#This Row],[Mould No]]), 0), 7),)</f>
        <v>24</v>
      </c>
      <c r="L155">
        <v>589</v>
      </c>
      <c r="M155">
        <v>0</v>
      </c>
      <c r="N155">
        <v>0</v>
      </c>
      <c r="O155">
        <v>0</v>
      </c>
      <c r="P155">
        <f>Table1[[#This Row],[Shot]]*Table1[[#This Row],[Cav]]</f>
        <v>2356</v>
      </c>
      <c r="Q155">
        <v>0</v>
      </c>
      <c r="R155">
        <f>(Table1[[#This Row],[Part Weight (gm)]]*Table1[[#This Row],[Finish Good]])/1000</f>
        <v>0</v>
      </c>
      <c r="S155">
        <v>0</v>
      </c>
      <c r="T155">
        <f>IF(Table1[[#This Row],[Qty Order]]="Sample","-",IF(Table1[[#This Row],[Qty Order]]="RTFN","-",Table1[[#This Row],[Qty Order]]-Table1[[#This Row],[Qty Accumulate]]))</f>
        <v>0</v>
      </c>
      <c r="U155">
        <f>((Table1[[#This Row],[Shift Output]]*Table1[[#This Row],[Part Weight (gm)]])/1000)+Table1[[#This Row],[Reject Startup (kg)]]+Table1[[#This Row],[Reject Purging (kg)]]+Table1[[#This Row],[Reject Preform (kg)]]</f>
        <v>56.543999999999997</v>
      </c>
      <c r="V155" s="37">
        <f>(Table1[[#This Row],[Gross Weight (gm)]]-Table1[[#This Row],[Part Weight (gm)]])*Table1[[#This Row],[Shift Output]]/1000</f>
        <v>0</v>
      </c>
      <c r="W155" s="3">
        <v>0</v>
      </c>
      <c r="X155" s="36">
        <f>Table1[[#This Row],[Reject Startup (kg)]]/Table1[[#This Row],[Material Used]]</f>
        <v>0</v>
      </c>
      <c r="Y155" s="3">
        <v>0</v>
      </c>
      <c r="Z155" s="36">
        <f>Table1[[#This Row],[Reject Prod (kg)]]/Table1[[#This Row],[Material Used]]</f>
        <v>0</v>
      </c>
      <c r="AA155" s="4">
        <v>0</v>
      </c>
      <c r="AB155" s="5">
        <v>4.0199999999999898</v>
      </c>
      <c r="AC155" s="4" cm="1">
        <f t="array" ref="AC155">IFERROR(INDEX(ReferenceCard, MATCH(1, (INDEX(ReferenceCard,,1)=Table1[[#This Row],[SAP No]]) * (INDEX(ReferenceCard,,2)=Table1[[#This Row],[Mould No]]), 0), 9),)</f>
        <v>24</v>
      </c>
      <c r="AD155" s="5">
        <v>0</v>
      </c>
      <c r="AE155" s="5">
        <v>0</v>
      </c>
      <c r="AF155" s="5">
        <v>0</v>
      </c>
      <c r="AG155" s="5">
        <v>0</v>
      </c>
      <c r="AH155" s="5">
        <v>7.98</v>
      </c>
      <c r="AI155" s="5">
        <v>0</v>
      </c>
      <c r="AJ155" s="5">
        <v>0</v>
      </c>
      <c r="AK155" t="s">
        <v>43</v>
      </c>
      <c r="AL155" s="2"/>
      <c r="AM155" s="2"/>
      <c r="AN155" s="3">
        <v>0</v>
      </c>
      <c r="AO155" s="3">
        <v>0</v>
      </c>
      <c r="AP15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6" spans="1:42" x14ac:dyDescent="0.35">
      <c r="A156" s="1">
        <v>46018</v>
      </c>
      <c r="B156">
        <v>1</v>
      </c>
      <c r="C156" t="s">
        <v>5</v>
      </c>
      <c r="D156" t="str" cm="1">
        <f t="array" ref="D156">IFERROR(INDEX(ReferenceCard, MATCH(1, (INDEX(ReferenceCard,,1)=Table1[[#This Row],[SAP No]]) * (INDEX(ReferenceCard,,2)=Table1[[#This Row],[Mould No]]), 0), 6),)</f>
        <v>PET</v>
      </c>
      <c r="E156">
        <v>543590</v>
      </c>
      <c r="F156">
        <v>0</v>
      </c>
      <c r="G156" t="str" cm="1">
        <f t="array" ref="G156">IFERROR(INDEX(ReferenceCard, MATCH(1, (INDEX(ReferenceCard,,1)=Table1[[#This Row],[SAP No]]) * (INDEX(ReferenceCard,,2)=Table1[[#This Row],[Mould No]]), 0), 3),)</f>
        <v>BC28-0130-R-R-AM</v>
      </c>
      <c r="H156">
        <v>0</v>
      </c>
      <c r="I156" cm="1">
        <f t="array" ref="I156">IFERROR(INDEX(ReferenceCard, MATCH(1, (INDEX(ReferenceCard,,1)=Table1[[#This Row],[SAP No]]) * (INDEX(ReferenceCard,,2)=Table1[[#This Row],[Mould No]]), 0), 4),)</f>
        <v>4</v>
      </c>
      <c r="J156" s="4" cm="1">
        <f t="array" ref="J156">IFERROR(INDEX(ReferenceCard, MATCH(1, (INDEX(ReferenceCard,,1)=Table1[[#This Row],[SAP No]]) * (INDEX(ReferenceCard,,2)=Table1[[#This Row],[Mould No]]), 0), 9),)</f>
        <v>19</v>
      </c>
      <c r="K156" s="4" cm="1">
        <f t="array" ref="K156">IFERROR(INDEX(ReferenceCard, MATCH(1, (INDEX(ReferenceCard,,1)=Table1[[#This Row],[SAP No]]) * (INDEX(ReferenceCard,,2)=Table1[[#This Row],[Mould No]]), 0), 7),)</f>
        <v>19</v>
      </c>
      <c r="L156">
        <v>1476</v>
      </c>
      <c r="M156">
        <v>0</v>
      </c>
      <c r="N156">
        <v>0</v>
      </c>
      <c r="O156">
        <v>0</v>
      </c>
      <c r="P156">
        <f>Table1[[#This Row],[Shot]]*Table1[[#This Row],[Cav]]</f>
        <v>5904</v>
      </c>
      <c r="Q156">
        <v>0</v>
      </c>
      <c r="R156">
        <f>(Table1[[#This Row],[Part Weight (gm)]]*Table1[[#This Row],[Finish Good]])/1000</f>
        <v>0</v>
      </c>
      <c r="S156">
        <v>0</v>
      </c>
      <c r="T156">
        <f>IF(Table1[[#This Row],[Qty Order]]="Sample","-",IF(Table1[[#This Row],[Qty Order]]="RTFN","-",Table1[[#This Row],[Qty Order]]-Table1[[#This Row],[Qty Accumulate]]))</f>
        <v>0</v>
      </c>
      <c r="U156">
        <f>((Table1[[#This Row],[Shift Output]]*Table1[[#This Row],[Part Weight (gm)]])/1000)+Table1[[#This Row],[Reject Startup (kg)]]+Table1[[#This Row],[Reject Purging (kg)]]+Table1[[#This Row],[Reject Preform (kg)]]</f>
        <v>112.176</v>
      </c>
      <c r="V156" s="37">
        <f>(Table1[[#This Row],[Gross Weight (gm)]]-Table1[[#This Row],[Part Weight (gm)]])*Table1[[#This Row],[Shift Output]]/1000</f>
        <v>0</v>
      </c>
      <c r="W156" s="3">
        <v>0</v>
      </c>
      <c r="X156" s="36">
        <f>Table1[[#This Row],[Reject Startup (kg)]]/Table1[[#This Row],[Material Used]]</f>
        <v>0</v>
      </c>
      <c r="Y156" s="3">
        <v>0</v>
      </c>
      <c r="Z156" s="36">
        <f>Table1[[#This Row],[Reject Prod (kg)]]/Table1[[#This Row],[Material Used]]</f>
        <v>0</v>
      </c>
      <c r="AA156" s="4">
        <v>0</v>
      </c>
      <c r="AB156" s="5">
        <v>12</v>
      </c>
      <c r="AC156" s="4" cm="1">
        <f t="array" ref="AC156">IFERROR(INDEX(ReferenceCard, MATCH(1, (INDEX(ReferenceCard,,1)=Table1[[#This Row],[SAP No]]) * (INDEX(ReferenceCard,,2)=Table1[[#This Row],[Mould No]]), 0), 9),)</f>
        <v>19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L156" s="2"/>
      <c r="AM156" s="2"/>
      <c r="AN156" s="3">
        <v>0</v>
      </c>
      <c r="AO156" s="3">
        <v>0</v>
      </c>
      <c r="AP15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7" spans="1:42" x14ac:dyDescent="0.35">
      <c r="A157" s="1">
        <v>46018</v>
      </c>
      <c r="B157">
        <v>1</v>
      </c>
      <c r="C157" t="s">
        <v>7</v>
      </c>
      <c r="D157" t="str" cm="1">
        <f t="array" ref="D157">IFERROR(INDEX(ReferenceCard, MATCH(1, (INDEX(ReferenceCard,,1)=Table1[[#This Row],[SAP No]]) * (INDEX(ReferenceCard,,2)=Table1[[#This Row],[Mould No]]), 0), 6),)</f>
        <v>PET</v>
      </c>
      <c r="E157">
        <v>451191</v>
      </c>
      <c r="F157">
        <v>0</v>
      </c>
      <c r="G157" t="str" cm="1">
        <f t="array" ref="G157">IFERROR(INDEX(ReferenceCard, MATCH(1, (INDEX(ReferenceCard,,1)=Table1[[#This Row],[SAP No]]) * (INDEX(ReferenceCard,,2)=Table1[[#This Row],[Mould No]]), 0), 3),)</f>
        <v>BX38-0350-Z-C-CL</v>
      </c>
      <c r="H157">
        <v>0</v>
      </c>
      <c r="I157" cm="1">
        <f t="array" ref="I157">IFERROR(INDEX(ReferenceCard, MATCH(1, (INDEX(ReferenceCard,,1)=Table1[[#This Row],[SAP No]]) * (INDEX(ReferenceCard,,2)=Table1[[#This Row],[Mould No]]), 0), 4),)</f>
        <v>4</v>
      </c>
      <c r="J157" s="4" cm="1">
        <f t="array" ref="J157">IFERROR(INDEX(ReferenceCard, MATCH(1, (INDEX(ReferenceCard,,1)=Table1[[#This Row],[SAP No]]) * (INDEX(ReferenceCard,,2)=Table1[[#This Row],[Mould No]]), 0), 9),)</f>
        <v>29</v>
      </c>
      <c r="K157" s="4" cm="1">
        <f t="array" ref="K157">IFERROR(INDEX(ReferenceCard, MATCH(1, (INDEX(ReferenceCard,,1)=Table1[[#This Row],[SAP No]]) * (INDEX(ReferenceCard,,2)=Table1[[#This Row],[Mould No]]), 0), 7),)</f>
        <v>29</v>
      </c>
      <c r="L157">
        <v>2449</v>
      </c>
      <c r="M157">
        <v>0</v>
      </c>
      <c r="N157">
        <v>0</v>
      </c>
      <c r="O157">
        <v>0</v>
      </c>
      <c r="P157">
        <f>Table1[[#This Row],[Shot]]*Table1[[#This Row],[Cav]]</f>
        <v>9796</v>
      </c>
      <c r="Q157">
        <v>0</v>
      </c>
      <c r="R157">
        <f>(Table1[[#This Row],[Part Weight (gm)]]*Table1[[#This Row],[Finish Good]])/1000</f>
        <v>0</v>
      </c>
      <c r="S157">
        <v>0</v>
      </c>
      <c r="T157">
        <f>IF(Table1[[#This Row],[Qty Order]]="Sample","-",IF(Table1[[#This Row],[Qty Order]]="RTFN","-",Table1[[#This Row],[Qty Order]]-Table1[[#This Row],[Qty Accumulate]]))</f>
        <v>0</v>
      </c>
      <c r="U157">
        <f>((Table1[[#This Row],[Shift Output]]*Table1[[#This Row],[Part Weight (gm)]])/1000)+Table1[[#This Row],[Reject Startup (kg)]]+Table1[[#This Row],[Reject Purging (kg)]]+Table1[[#This Row],[Reject Preform (kg)]]</f>
        <v>284.084</v>
      </c>
      <c r="V157" s="37">
        <f>(Table1[[#This Row],[Gross Weight (gm)]]-Table1[[#This Row],[Part Weight (gm)]])*Table1[[#This Row],[Shift Output]]/1000</f>
        <v>0</v>
      </c>
      <c r="W157" s="3">
        <v>0</v>
      </c>
      <c r="X157" s="36">
        <f>Table1[[#This Row],[Reject Startup (kg)]]/Table1[[#This Row],[Material Used]]</f>
        <v>0</v>
      </c>
      <c r="Y157" s="3">
        <v>0</v>
      </c>
      <c r="Z157" s="36">
        <f>Table1[[#This Row],[Reject Prod (kg)]]/Table1[[#This Row],[Material Used]]</f>
        <v>0</v>
      </c>
      <c r="AA157" s="4">
        <v>0</v>
      </c>
      <c r="AB157" s="5">
        <v>11.9499999999999</v>
      </c>
      <c r="AC157" s="4" cm="1">
        <f t="array" ref="AC157">IFERROR(INDEX(ReferenceCard, MATCH(1, (INDEX(ReferenceCard,,1)=Table1[[#This Row],[SAP No]]) * (INDEX(ReferenceCard,,2)=Table1[[#This Row],[Mould No]]), 0), 9),)</f>
        <v>29</v>
      </c>
      <c r="AD157" s="5">
        <v>0</v>
      </c>
      <c r="AE157" s="5">
        <v>0</v>
      </c>
      <c r="AF157" s="5">
        <v>0</v>
      </c>
      <c r="AG157" s="5">
        <v>0</v>
      </c>
      <c r="AH157" s="5">
        <v>0.05</v>
      </c>
      <c r="AI157" s="5">
        <v>0</v>
      </c>
      <c r="AJ157" s="5">
        <v>0</v>
      </c>
      <c r="AL157" s="2"/>
      <c r="AM157" s="2"/>
      <c r="AN157" s="3">
        <v>0</v>
      </c>
      <c r="AO157" s="3">
        <v>0</v>
      </c>
      <c r="AP15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8" spans="1:42" x14ac:dyDescent="0.35">
      <c r="A158" s="1">
        <v>46018</v>
      </c>
      <c r="B158">
        <v>1</v>
      </c>
      <c r="C158" t="s">
        <v>9</v>
      </c>
      <c r="D158" t="str" cm="1">
        <f t="array" ref="D158">IFERROR(INDEX(ReferenceCard, MATCH(1, (INDEX(ReferenceCard,,1)=Table1[[#This Row],[SAP No]]) * (INDEX(ReferenceCard,,2)=Table1[[#This Row],[Mould No]]), 0), 6),)</f>
        <v>PET</v>
      </c>
      <c r="E158">
        <v>322451</v>
      </c>
      <c r="F158">
        <v>0</v>
      </c>
      <c r="G158" t="str" cm="1">
        <f t="array" ref="G158">IFERROR(INDEX(ReferenceCard, MATCH(1, (INDEX(ReferenceCard,,1)=Table1[[#This Row],[SAP No]]) * (INDEX(ReferenceCard,,2)=Table1[[#This Row],[Mould No]]), 0), 3),)</f>
        <v>BC28-0500-WNHP-R-BR</v>
      </c>
      <c r="H158">
        <v>0</v>
      </c>
      <c r="I158" cm="1">
        <f t="array" ref="I158">IFERROR(INDEX(ReferenceCard, MATCH(1, (INDEX(ReferenceCard,,1)=Table1[[#This Row],[SAP No]]) * (INDEX(ReferenceCard,,2)=Table1[[#This Row],[Mould No]]), 0), 4),)</f>
        <v>4</v>
      </c>
      <c r="J158" s="4" cm="1">
        <f t="array" ref="J158">IFERROR(INDEX(ReferenceCard, MATCH(1, (INDEX(ReferenceCard,,1)=Table1[[#This Row],[SAP No]]) * (INDEX(ReferenceCard,,2)=Table1[[#This Row],[Mould No]]), 0), 9),)</f>
        <v>45.6</v>
      </c>
      <c r="K158" s="4" cm="1">
        <f t="array" ref="K158">IFERROR(INDEX(ReferenceCard, MATCH(1, (INDEX(ReferenceCard,,1)=Table1[[#This Row],[SAP No]]) * (INDEX(ReferenceCard,,2)=Table1[[#This Row],[Mould No]]), 0), 7),)</f>
        <v>45.6</v>
      </c>
      <c r="L158">
        <v>1650</v>
      </c>
      <c r="M158">
        <v>0</v>
      </c>
      <c r="N158">
        <v>0</v>
      </c>
      <c r="O158">
        <v>0</v>
      </c>
      <c r="P158">
        <f>Table1[[#This Row],[Shot]]*Table1[[#This Row],[Cav]]</f>
        <v>6600</v>
      </c>
      <c r="Q158">
        <v>0</v>
      </c>
      <c r="R158">
        <f>(Table1[[#This Row],[Part Weight (gm)]]*Table1[[#This Row],[Finish Good]])/1000</f>
        <v>0</v>
      </c>
      <c r="S158">
        <v>0</v>
      </c>
      <c r="T158">
        <f>IF(Table1[[#This Row],[Qty Order]]="Sample","-",IF(Table1[[#This Row],[Qty Order]]="RTFN","-",Table1[[#This Row],[Qty Order]]-Table1[[#This Row],[Qty Accumulate]]))</f>
        <v>0</v>
      </c>
      <c r="U158">
        <f>((Table1[[#This Row],[Shift Output]]*Table1[[#This Row],[Part Weight (gm)]])/1000)+Table1[[#This Row],[Reject Startup (kg)]]+Table1[[#This Row],[Reject Purging (kg)]]+Table1[[#This Row],[Reject Preform (kg)]]</f>
        <v>300.95999999999998</v>
      </c>
      <c r="V158" s="37">
        <f>(Table1[[#This Row],[Gross Weight (gm)]]-Table1[[#This Row],[Part Weight (gm)]])*Table1[[#This Row],[Shift Output]]/1000</f>
        <v>0</v>
      </c>
      <c r="W158" s="3">
        <v>0</v>
      </c>
      <c r="X158" s="36">
        <f>Table1[[#This Row],[Reject Startup (kg)]]/Table1[[#This Row],[Material Used]]</f>
        <v>0</v>
      </c>
      <c r="Y158" s="3">
        <v>0</v>
      </c>
      <c r="Z158" s="36">
        <f>Table1[[#This Row],[Reject Prod (kg)]]/Table1[[#This Row],[Material Used]]</f>
        <v>0</v>
      </c>
      <c r="AA158" s="4">
        <v>0</v>
      </c>
      <c r="AB158" s="5">
        <v>12</v>
      </c>
      <c r="AC158" s="4" cm="1">
        <f t="array" ref="AC158">IFERROR(INDEX(ReferenceCard, MATCH(1, (INDEX(ReferenceCard,,1)=Table1[[#This Row],[SAP No]]) * (INDEX(ReferenceCard,,2)=Table1[[#This Row],[Mould No]]), 0), 9),)</f>
        <v>45.6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L158" s="2"/>
      <c r="AM158" s="2"/>
      <c r="AN158" s="3">
        <v>0</v>
      </c>
      <c r="AO158" s="3">
        <v>0</v>
      </c>
      <c r="AP15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59" spans="1:42" x14ac:dyDescent="0.35">
      <c r="A159" s="1">
        <v>46018</v>
      </c>
      <c r="B159">
        <v>1</v>
      </c>
      <c r="C159" t="s">
        <v>11</v>
      </c>
      <c r="D159" t="str" cm="1">
        <f t="array" ref="D159">IFERROR(INDEX(ReferenceCard, MATCH(1, (INDEX(ReferenceCard,,1)=Table1[[#This Row],[SAP No]]) * (INDEX(ReferenceCard,,2)=Table1[[#This Row],[Mould No]]), 0), 6),)</f>
        <v>rPET</v>
      </c>
      <c r="E159">
        <v>620994</v>
      </c>
      <c r="F159">
        <v>0</v>
      </c>
      <c r="G159" t="str" cm="1">
        <f t="array" ref="G159">IFERROR(INDEX(ReferenceCard, MATCH(1, (INDEX(ReferenceCard,,1)=Table1[[#This Row],[SAP No]]) * (INDEX(ReferenceCard,,2)=Table1[[#This Row],[Mould No]]), 0), 3),)</f>
        <v>JJ63-0400-SH-S-CL-rPET</v>
      </c>
      <c r="H159">
        <v>0</v>
      </c>
      <c r="I159" cm="1">
        <f t="array" ref="I159">IFERROR(INDEX(ReferenceCard, MATCH(1, (INDEX(ReferenceCard,,1)=Table1[[#This Row],[SAP No]]) * (INDEX(ReferenceCard,,2)=Table1[[#This Row],[Mould No]]), 0), 4),)</f>
        <v>4</v>
      </c>
      <c r="J159" s="4" cm="1">
        <f t="array" ref="J159">IFERROR(INDEX(ReferenceCard, MATCH(1, (INDEX(ReferenceCard,,1)=Table1[[#This Row],[SAP No]]) * (INDEX(ReferenceCard,,2)=Table1[[#This Row],[Mould No]]), 0), 9),)</f>
        <v>32.74</v>
      </c>
      <c r="K159" s="4" cm="1">
        <f t="array" ref="K159">IFERROR(INDEX(ReferenceCard, MATCH(1, (INDEX(ReferenceCard,,1)=Table1[[#This Row],[SAP No]]) * (INDEX(ReferenceCard,,2)=Table1[[#This Row],[Mould No]]), 0), 7),)</f>
        <v>33</v>
      </c>
      <c r="L159">
        <v>1580</v>
      </c>
      <c r="M159">
        <v>0</v>
      </c>
      <c r="N159">
        <v>0</v>
      </c>
      <c r="O159">
        <v>0</v>
      </c>
      <c r="P159">
        <f>Table1[[#This Row],[Shot]]*Table1[[#This Row],[Cav]]</f>
        <v>6320</v>
      </c>
      <c r="Q159">
        <v>0</v>
      </c>
      <c r="R159">
        <f>(Table1[[#This Row],[Part Weight (gm)]]*Table1[[#This Row],[Finish Good]])/1000</f>
        <v>0</v>
      </c>
      <c r="S159">
        <v>0</v>
      </c>
      <c r="T159">
        <f>IF(Table1[[#This Row],[Qty Order]]="Sample","-",IF(Table1[[#This Row],[Qty Order]]="RTFN","-",Table1[[#This Row],[Qty Order]]-Table1[[#This Row],[Qty Accumulate]]))</f>
        <v>0</v>
      </c>
      <c r="U159">
        <f>((Table1[[#This Row],[Shift Output]]*Table1[[#This Row],[Part Weight (gm)]])/1000)+Table1[[#This Row],[Reject Startup (kg)]]+Table1[[#This Row],[Reject Purging (kg)]]+Table1[[#This Row],[Reject Preform (kg)]]</f>
        <v>208.56</v>
      </c>
      <c r="V159" s="37">
        <f>(Table1[[#This Row],[Gross Weight (gm)]]-Table1[[#This Row],[Part Weight (gm)]])*Table1[[#This Row],[Shift Output]]/1000</f>
        <v>-1.6431999999999876</v>
      </c>
      <c r="W159" s="3">
        <v>0</v>
      </c>
      <c r="X159" s="36">
        <f>Table1[[#This Row],[Reject Startup (kg)]]/Table1[[#This Row],[Material Used]]</f>
        <v>0</v>
      </c>
      <c r="Y159" s="3">
        <v>0</v>
      </c>
      <c r="Z159" s="36">
        <f>Table1[[#This Row],[Reject Prod (kg)]]/Table1[[#This Row],[Material Used]]</f>
        <v>0</v>
      </c>
      <c r="AA159" s="4">
        <v>0</v>
      </c>
      <c r="AB159" s="5">
        <v>12</v>
      </c>
      <c r="AC159" s="4" cm="1">
        <f t="array" ref="AC159">IFERROR(INDEX(ReferenceCard, MATCH(1, (INDEX(ReferenceCard,,1)=Table1[[#This Row],[SAP No]]) * (INDEX(ReferenceCard,,2)=Table1[[#This Row],[Mould No]]), 0), 9),)</f>
        <v>32.74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L159" s="2"/>
      <c r="AM159" s="2"/>
      <c r="AN159" s="3">
        <v>0</v>
      </c>
      <c r="AO159" s="3">
        <v>0</v>
      </c>
      <c r="AP15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0" spans="1:42" x14ac:dyDescent="0.35">
      <c r="A160" s="1">
        <v>46018</v>
      </c>
      <c r="B160">
        <v>1</v>
      </c>
      <c r="C160" t="s">
        <v>14</v>
      </c>
      <c r="D160" t="str" cm="1">
        <f t="array" ref="D160">IFERROR(INDEX(ReferenceCard, MATCH(1, (INDEX(ReferenceCard,,1)=Table1[[#This Row],[SAP No]]) * (INDEX(ReferenceCard,,2)=Table1[[#This Row],[Mould No]]), 0), 6),)</f>
        <v>PET</v>
      </c>
      <c r="E160">
        <v>322444</v>
      </c>
      <c r="F160">
        <v>0</v>
      </c>
      <c r="G160" t="str" cm="1">
        <f t="array" ref="G160">IFERROR(INDEX(ReferenceCard, MATCH(1, (INDEX(ReferenceCard,,1)=Table1[[#This Row],[SAP No]]) * (INDEX(ReferenceCard,,2)=Table1[[#This Row],[Mould No]]), 0), 3),)</f>
        <v>JJ63-0400-RH-R-CL</v>
      </c>
      <c r="H160">
        <v>0</v>
      </c>
      <c r="I160" cm="1">
        <f t="array" ref="I160">IFERROR(INDEX(ReferenceCard, MATCH(1, (INDEX(ReferenceCard,,1)=Table1[[#This Row],[SAP No]]) * (INDEX(ReferenceCard,,2)=Table1[[#This Row],[Mould No]]), 0), 4),)</f>
        <v>4</v>
      </c>
      <c r="J160" s="4" cm="1">
        <f t="array" ref="J160">IFERROR(INDEX(ReferenceCard, MATCH(1, (INDEX(ReferenceCard,,1)=Table1[[#This Row],[SAP No]]) * (INDEX(ReferenceCard,,2)=Table1[[#This Row],[Mould No]]), 0), 9),)</f>
        <v>32.74</v>
      </c>
      <c r="K160" s="4" cm="1">
        <f t="array" ref="K160">IFERROR(INDEX(ReferenceCard, MATCH(1, (INDEX(ReferenceCard,,1)=Table1[[#This Row],[SAP No]]) * (INDEX(ReferenceCard,,2)=Table1[[#This Row],[Mould No]]), 0), 7),)</f>
        <v>34.5</v>
      </c>
      <c r="L160">
        <v>1613</v>
      </c>
      <c r="M160">
        <v>0</v>
      </c>
      <c r="N160">
        <v>0</v>
      </c>
      <c r="O160">
        <v>0</v>
      </c>
      <c r="P160">
        <f>Table1[[#This Row],[Shot]]*Table1[[#This Row],[Cav]]</f>
        <v>6452</v>
      </c>
      <c r="Q160">
        <v>0</v>
      </c>
      <c r="R160">
        <f>(Table1[[#This Row],[Part Weight (gm)]]*Table1[[#This Row],[Finish Good]])/1000</f>
        <v>0</v>
      </c>
      <c r="S160">
        <v>0</v>
      </c>
      <c r="T160">
        <f>IF(Table1[[#This Row],[Qty Order]]="Sample","-",IF(Table1[[#This Row],[Qty Order]]="RTFN","-",Table1[[#This Row],[Qty Order]]-Table1[[#This Row],[Qty Accumulate]]))</f>
        <v>0</v>
      </c>
      <c r="U160">
        <f>((Table1[[#This Row],[Shift Output]]*Table1[[#This Row],[Part Weight (gm)]])/1000)+Table1[[#This Row],[Reject Startup (kg)]]+Table1[[#This Row],[Reject Purging (kg)]]+Table1[[#This Row],[Reject Preform (kg)]]</f>
        <v>222.59399999999999</v>
      </c>
      <c r="V160" s="37">
        <f>(Table1[[#This Row],[Gross Weight (gm)]]-Table1[[#This Row],[Part Weight (gm)]])*Table1[[#This Row],[Shift Output]]/1000</f>
        <v>-11.355519999999988</v>
      </c>
      <c r="W160" s="3">
        <v>0</v>
      </c>
      <c r="X160" s="36">
        <f>Table1[[#This Row],[Reject Startup (kg)]]/Table1[[#This Row],[Material Used]]</f>
        <v>0</v>
      </c>
      <c r="Y160" s="3">
        <v>0</v>
      </c>
      <c r="Z160" s="36">
        <f>Table1[[#This Row],[Reject Prod (kg)]]/Table1[[#This Row],[Material Used]]</f>
        <v>0</v>
      </c>
      <c r="AA160" s="4">
        <v>0</v>
      </c>
      <c r="AB160" s="5">
        <v>10.1099999999999</v>
      </c>
      <c r="AC160" s="4" cm="1">
        <f t="array" ref="AC160">IFERROR(INDEX(ReferenceCard, MATCH(1, (INDEX(ReferenceCard,,1)=Table1[[#This Row],[SAP No]]) * (INDEX(ReferenceCard,,2)=Table1[[#This Row],[Mould No]]), 0), 9),)</f>
        <v>32.74</v>
      </c>
      <c r="AD160" s="5">
        <v>0</v>
      </c>
      <c r="AE160" s="5">
        <v>0</v>
      </c>
      <c r="AF160" s="5">
        <v>0</v>
      </c>
      <c r="AG160" s="5">
        <v>0</v>
      </c>
      <c r="AH160" s="5">
        <v>1.8999999999999899</v>
      </c>
      <c r="AI160" s="5">
        <v>0</v>
      </c>
      <c r="AJ160" s="5">
        <v>0</v>
      </c>
      <c r="AL160" s="2"/>
      <c r="AM160" s="2"/>
      <c r="AN160" s="3">
        <v>0</v>
      </c>
      <c r="AO160" s="3">
        <v>0</v>
      </c>
      <c r="AP16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1" spans="1:42" x14ac:dyDescent="0.35">
      <c r="A161" s="1">
        <v>46018</v>
      </c>
      <c r="B161">
        <v>1</v>
      </c>
      <c r="C161" t="s">
        <v>16</v>
      </c>
      <c r="D161" t="str" cm="1">
        <f t="array" ref="D161">IFERROR(INDEX(ReferenceCard, MATCH(1, (INDEX(ReferenceCard,,1)=Table1[[#This Row],[SAP No]]) * (INDEX(ReferenceCard,,2)=Table1[[#This Row],[Mould No]]), 0), 6),)</f>
        <v>PET</v>
      </c>
      <c r="E161">
        <v>324206</v>
      </c>
      <c r="F161">
        <v>0</v>
      </c>
      <c r="G161" t="str" cm="1">
        <f t="array" ref="G161">IFERROR(INDEX(ReferenceCard, MATCH(1, (INDEX(ReferenceCard,,1)=Table1[[#This Row],[SAP No]]) * (INDEX(ReferenceCard,,2)=Table1[[#This Row],[Mould No]]), 0), 3),)</f>
        <v>BX38-1000-HC-S-CL</v>
      </c>
      <c r="H161">
        <v>0</v>
      </c>
      <c r="I161" cm="1">
        <f t="array" ref="I161">IFERROR(INDEX(ReferenceCard, MATCH(1, (INDEX(ReferenceCard,,1)=Table1[[#This Row],[SAP No]]) * (INDEX(ReferenceCard,,2)=Table1[[#This Row],[Mould No]]), 0), 4),)</f>
        <v>4</v>
      </c>
      <c r="J161" s="4" cm="1">
        <f t="array" ref="J161">IFERROR(INDEX(ReferenceCard, MATCH(1, (INDEX(ReferenceCard,,1)=Table1[[#This Row],[SAP No]]) * (INDEX(ReferenceCard,,2)=Table1[[#This Row],[Mould No]]), 0), 9),)</f>
        <v>49</v>
      </c>
      <c r="K161" s="4" cm="1">
        <f t="array" ref="K161">IFERROR(INDEX(ReferenceCard, MATCH(1, (INDEX(ReferenceCard,,1)=Table1[[#This Row],[SAP No]]) * (INDEX(ReferenceCard,,2)=Table1[[#This Row],[Mould No]]), 0), 7),)</f>
        <v>48</v>
      </c>
      <c r="L161">
        <v>1209</v>
      </c>
      <c r="M161">
        <v>0</v>
      </c>
      <c r="N161">
        <v>0</v>
      </c>
      <c r="O161">
        <v>0</v>
      </c>
      <c r="P161">
        <f>Table1[[#This Row],[Shot]]*Table1[[#This Row],[Cav]]</f>
        <v>4836</v>
      </c>
      <c r="Q161">
        <v>0</v>
      </c>
      <c r="R161">
        <f>(Table1[[#This Row],[Part Weight (gm)]]*Table1[[#This Row],[Finish Good]])/1000</f>
        <v>0</v>
      </c>
      <c r="S161">
        <v>0</v>
      </c>
      <c r="T161">
        <f>IF(Table1[[#This Row],[Qty Order]]="Sample","-",IF(Table1[[#This Row],[Qty Order]]="RTFN","-",Table1[[#This Row],[Qty Order]]-Table1[[#This Row],[Qty Accumulate]]))</f>
        <v>0</v>
      </c>
      <c r="U161">
        <f>((Table1[[#This Row],[Shift Output]]*Table1[[#This Row],[Part Weight (gm)]])/1000)+Table1[[#This Row],[Reject Startup (kg)]]+Table1[[#This Row],[Reject Purging (kg)]]+Table1[[#This Row],[Reject Preform (kg)]]</f>
        <v>232.12799999999999</v>
      </c>
      <c r="V161" s="37">
        <f>(Table1[[#This Row],[Gross Weight (gm)]]-Table1[[#This Row],[Part Weight (gm)]])*Table1[[#This Row],[Shift Output]]/1000</f>
        <v>4.8360000000000003</v>
      </c>
      <c r="W161" s="3">
        <v>0</v>
      </c>
      <c r="X161" s="36">
        <f>Table1[[#This Row],[Reject Startup (kg)]]/Table1[[#This Row],[Material Used]]</f>
        <v>0</v>
      </c>
      <c r="Y161" s="3">
        <v>0</v>
      </c>
      <c r="Z161" s="36">
        <f>Table1[[#This Row],[Reject Prod (kg)]]/Table1[[#This Row],[Material Used]]</f>
        <v>0</v>
      </c>
      <c r="AA161" s="4">
        <v>0</v>
      </c>
      <c r="AB161" s="5">
        <v>10.17</v>
      </c>
      <c r="AC161" s="4" cm="1">
        <f t="array" ref="AC161">IFERROR(INDEX(ReferenceCard, MATCH(1, (INDEX(ReferenceCard,,1)=Table1[[#This Row],[SAP No]]) * (INDEX(ReferenceCard,,2)=Table1[[#This Row],[Mould No]]), 0), 9),)</f>
        <v>49</v>
      </c>
      <c r="AD161" s="5">
        <v>0</v>
      </c>
      <c r="AE161" s="5">
        <v>0</v>
      </c>
      <c r="AF161" s="5">
        <v>0</v>
      </c>
      <c r="AG161" s="5">
        <v>0</v>
      </c>
      <c r="AH161" s="5">
        <v>1.83</v>
      </c>
      <c r="AI161" s="5">
        <v>0</v>
      </c>
      <c r="AJ161" s="5">
        <v>0</v>
      </c>
      <c r="AL161" s="2"/>
      <c r="AM161" s="2"/>
      <c r="AN161" s="3">
        <v>0</v>
      </c>
      <c r="AO161" s="3">
        <v>0</v>
      </c>
      <c r="AP16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2" spans="1:42" x14ac:dyDescent="0.35">
      <c r="A162" s="1">
        <v>46018</v>
      </c>
      <c r="B162">
        <v>1</v>
      </c>
      <c r="C162" t="s">
        <v>23</v>
      </c>
      <c r="D162" t="str" cm="1">
        <f t="array" ref="D162">IFERROR(INDEX(ReferenceCard, MATCH(1, (INDEX(ReferenceCard,,1)=Table1[[#This Row],[SAP No]]) * (INDEX(ReferenceCard,,2)=Table1[[#This Row],[Mould No]]), 0), 6),)</f>
        <v>PPSB520Y</v>
      </c>
      <c r="E162">
        <v>586276</v>
      </c>
      <c r="F162">
        <v>2</v>
      </c>
      <c r="G162" t="str" cm="1">
        <f t="array" ref="G162">IFERROR(INDEX(ReferenceCard, MATCH(1, (INDEX(ReferenceCard,,1)=Table1[[#This Row],[SAP No]]) * (INDEX(ReferenceCard,,2)=Table1[[#This Row],[Mould No]]), 0), 3),)</f>
        <v>BC28-0056-D-APH-LEB-604001-MOLD2</v>
      </c>
      <c r="H162">
        <v>0</v>
      </c>
      <c r="I162" cm="1">
        <f t="array" ref="I162">IFERROR(INDEX(ReferenceCard, MATCH(1, (INDEX(ReferenceCard,,1)=Table1[[#This Row],[SAP No]]) * (INDEX(ReferenceCard,,2)=Table1[[#This Row],[Mould No]]), 0), 4),)</f>
        <v>6</v>
      </c>
      <c r="J162" s="4" cm="1">
        <f t="array" ref="J162">IFERROR(INDEX(ReferenceCard, MATCH(1, (INDEX(ReferenceCard,,1)=Table1[[#This Row],[SAP No]]) * (INDEX(ReferenceCard,,2)=Table1[[#This Row],[Mould No]]), 0), 9),)</f>
        <v>12.3</v>
      </c>
      <c r="K162" s="4" cm="1">
        <f t="array" ref="K162">IFERROR(INDEX(ReferenceCard, MATCH(1, (INDEX(ReferenceCard,,1)=Table1[[#This Row],[SAP No]]) * (INDEX(ReferenceCard,,2)=Table1[[#This Row],[Mould No]]), 0), 7),)</f>
        <v>12.3</v>
      </c>
      <c r="L162">
        <v>1443</v>
      </c>
      <c r="M162">
        <v>0</v>
      </c>
      <c r="N162">
        <v>0</v>
      </c>
      <c r="O162">
        <v>0</v>
      </c>
      <c r="P162">
        <f>Table1[[#This Row],[Shot]]*Table1[[#This Row],[Cav]]</f>
        <v>8658</v>
      </c>
      <c r="Q162">
        <v>0</v>
      </c>
      <c r="R162">
        <f>(Table1[[#This Row],[Part Weight (gm)]]*Table1[[#This Row],[Finish Good]])/1000</f>
        <v>0</v>
      </c>
      <c r="S162">
        <v>0</v>
      </c>
      <c r="T162">
        <f>IF(Table1[[#This Row],[Qty Order]]="Sample","-",IF(Table1[[#This Row],[Qty Order]]="RTFN","-",Table1[[#This Row],[Qty Order]]-Table1[[#This Row],[Qty Accumulate]]))</f>
        <v>0</v>
      </c>
      <c r="U162">
        <f>((Table1[[#This Row],[Shift Output]]*Table1[[#This Row],[Part Weight (gm)]])/1000)+Table1[[#This Row],[Reject Startup (kg)]]+Table1[[#This Row],[Reject Purging (kg)]]+Table1[[#This Row],[Reject Preform (kg)]]</f>
        <v>106.49340000000001</v>
      </c>
      <c r="V162" s="37">
        <f>(Table1[[#This Row],[Gross Weight (gm)]]-Table1[[#This Row],[Part Weight (gm)]])*Table1[[#This Row],[Shift Output]]/1000</f>
        <v>0</v>
      </c>
      <c r="W162" s="3">
        <v>0</v>
      </c>
      <c r="X162" s="36">
        <f>Table1[[#This Row],[Reject Startup (kg)]]/Table1[[#This Row],[Material Used]]</f>
        <v>0</v>
      </c>
      <c r="Y162" s="3">
        <v>0</v>
      </c>
      <c r="Z162" s="36">
        <f>Table1[[#This Row],[Reject Prod (kg)]]/Table1[[#This Row],[Material Used]]</f>
        <v>0</v>
      </c>
      <c r="AA162" s="4">
        <v>0</v>
      </c>
      <c r="AB162" s="5">
        <v>12</v>
      </c>
      <c r="AC162" s="4" cm="1">
        <f t="array" ref="AC162">IFERROR(INDEX(ReferenceCard, MATCH(1, (INDEX(ReferenceCard,,1)=Table1[[#This Row],[SAP No]]) * (INDEX(ReferenceCard,,2)=Table1[[#This Row],[Mould No]]), 0), 9),)</f>
        <v>12.3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L162" s="2"/>
      <c r="AM162" s="2"/>
      <c r="AN162" s="3">
        <v>0</v>
      </c>
      <c r="AO162" s="3">
        <v>0</v>
      </c>
      <c r="AP16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3" spans="1:42" x14ac:dyDescent="0.35">
      <c r="A163" s="1">
        <v>46018</v>
      </c>
      <c r="B163">
        <v>1</v>
      </c>
      <c r="C163" t="s">
        <v>25</v>
      </c>
      <c r="D163" t="str" cm="1">
        <f t="array" ref="D163">IFERROR(INDEX(ReferenceCard, MATCH(1, (INDEX(ReferenceCard,,1)=Table1[[#This Row],[SAP No]]) * (INDEX(ReferenceCard,,2)=Table1[[#This Row],[Mould No]]), 0), 6),)</f>
        <v>PET</v>
      </c>
      <c r="E163">
        <v>323133</v>
      </c>
      <c r="F163">
        <v>0</v>
      </c>
      <c r="G163" t="str" cm="1">
        <f t="array" ref="G163">IFERROR(INDEX(ReferenceCard, MATCH(1, (INDEX(ReferenceCard,,1)=Table1[[#This Row],[SAP No]]) * (INDEX(ReferenceCard,,2)=Table1[[#This Row],[Mould No]]), 0), 3),)</f>
        <v>BX38-2000-RH-R-CL(GREEN) (ASEM)</v>
      </c>
      <c r="H163">
        <v>0</v>
      </c>
      <c r="I163" cm="1">
        <f t="array" ref="I163">IFERROR(INDEX(ReferenceCard, MATCH(1, (INDEX(ReferenceCard,,1)=Table1[[#This Row],[SAP No]]) * (INDEX(ReferenceCard,,2)=Table1[[#This Row],[Mould No]]), 0), 4),)</f>
        <v>4</v>
      </c>
      <c r="J163" s="4" cm="1">
        <f t="array" ref="J163">IFERROR(INDEX(ReferenceCard, MATCH(1, (INDEX(ReferenceCard,,1)=Table1[[#This Row],[SAP No]]) * (INDEX(ReferenceCard,,2)=Table1[[#This Row],[Mould No]]), 0), 9),)</f>
        <v>77</v>
      </c>
      <c r="K163" s="4" cm="1">
        <f t="array" ref="K163">IFERROR(INDEX(ReferenceCard, MATCH(1, (INDEX(ReferenceCard,,1)=Table1[[#This Row],[SAP No]]) * (INDEX(ReferenceCard,,2)=Table1[[#This Row],[Mould No]]), 0), 7),)</f>
        <v>77</v>
      </c>
      <c r="L163">
        <v>0</v>
      </c>
      <c r="M163">
        <v>0</v>
      </c>
      <c r="N163">
        <v>0</v>
      </c>
      <c r="O163">
        <v>0</v>
      </c>
      <c r="P163">
        <f>Table1[[#This Row],[Shot]]*Table1[[#This Row],[Cav]]</f>
        <v>0</v>
      </c>
      <c r="Q163">
        <v>0</v>
      </c>
      <c r="R163">
        <f>(Table1[[#This Row],[Part Weight (gm)]]*Table1[[#This Row],[Finish Good]])/1000</f>
        <v>0</v>
      </c>
      <c r="S163">
        <v>0</v>
      </c>
      <c r="T163">
        <f>IF(Table1[[#This Row],[Qty Order]]="Sample","-",IF(Table1[[#This Row],[Qty Order]]="RTFN","-",Table1[[#This Row],[Qty Order]]-Table1[[#This Row],[Qty Accumulate]]))</f>
        <v>0</v>
      </c>
      <c r="U163">
        <f>((Table1[[#This Row],[Shift Output]]*Table1[[#This Row],[Part Weight (gm)]])/1000)+Table1[[#This Row],[Reject Startup (kg)]]+Table1[[#This Row],[Reject Purging (kg)]]+Table1[[#This Row],[Reject Preform (kg)]]</f>
        <v>0</v>
      </c>
      <c r="V163" s="37">
        <f>(Table1[[#This Row],[Gross Weight (gm)]]-Table1[[#This Row],[Part Weight (gm)]])*Table1[[#This Row],[Shift Output]]/1000</f>
        <v>0</v>
      </c>
      <c r="W163" s="3">
        <v>0</v>
      </c>
      <c r="X163" s="36" t="e">
        <f>Table1[[#This Row],[Reject Startup (kg)]]/Table1[[#This Row],[Material Used]]</f>
        <v>#DIV/0!</v>
      </c>
      <c r="Y163" s="3">
        <v>0</v>
      </c>
      <c r="Z163" s="36" t="e">
        <f>Table1[[#This Row],[Reject Prod (kg)]]/Table1[[#This Row],[Material Used]]</f>
        <v>#DIV/0!</v>
      </c>
      <c r="AA163" s="4">
        <v>0</v>
      </c>
      <c r="AB163" s="5">
        <v>0</v>
      </c>
      <c r="AC163" s="4" cm="1">
        <f t="array" ref="AC163">IFERROR(INDEX(ReferenceCard, MATCH(1, (INDEX(ReferenceCard,,1)=Table1[[#This Row],[SAP No]]) * (INDEX(ReferenceCard,,2)=Table1[[#This Row],[Mould No]]), 0), 9),)</f>
        <v>77</v>
      </c>
      <c r="AD163" s="5">
        <v>0</v>
      </c>
      <c r="AE163" s="5">
        <v>0</v>
      </c>
      <c r="AF163" s="5">
        <v>0</v>
      </c>
      <c r="AG163" s="5">
        <v>12</v>
      </c>
      <c r="AH163" s="5">
        <v>0</v>
      </c>
      <c r="AI163" s="5">
        <v>0</v>
      </c>
      <c r="AJ163" s="5">
        <v>0</v>
      </c>
      <c r="AK163" t="s">
        <v>44</v>
      </c>
      <c r="AL163" s="2"/>
      <c r="AM163" s="2"/>
      <c r="AN163" s="3">
        <v>0</v>
      </c>
      <c r="AO163" s="3">
        <v>0</v>
      </c>
      <c r="AP16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4" spans="1:42" x14ac:dyDescent="0.35">
      <c r="A164" s="1">
        <v>46018</v>
      </c>
      <c r="B164">
        <v>1</v>
      </c>
      <c r="C164" t="s">
        <v>27</v>
      </c>
      <c r="D164" t="str" cm="1">
        <f t="array" ref="D164">IFERROR(INDEX(ReferenceCard, MATCH(1, (INDEX(ReferenceCard,,1)=Table1[[#This Row],[SAP No]]) * (INDEX(ReferenceCard,,2)=Table1[[#This Row],[Mould No]]), 0), 6),)</f>
        <v>PPSB520Y</v>
      </c>
      <c r="E164">
        <v>552181</v>
      </c>
      <c r="F164">
        <v>4</v>
      </c>
      <c r="G164" t="str" cm="1">
        <f t="array" ref="G164">IFERROR(INDEX(ReferenceCard, MATCH(1, (INDEX(ReferenceCard,,1)=Table1[[#This Row],[SAP No]]) * (INDEX(ReferenceCard,,2)=Table1[[#This Row],[Mould No]]), 0), 3),)</f>
        <v>BC28-0090-D-APH-5180-3538-PP-6 NOTCHES-MOLD4</v>
      </c>
      <c r="H164">
        <v>0</v>
      </c>
      <c r="I164" cm="1">
        <f t="array" ref="I164">IFERROR(INDEX(ReferenceCard, MATCH(1, (INDEX(ReferenceCard,,1)=Table1[[#This Row],[SAP No]]) * (INDEX(ReferenceCard,,2)=Table1[[#This Row],[Mould No]]), 0), 4),)</f>
        <v>6</v>
      </c>
      <c r="J164" s="4" cm="1">
        <f t="array" ref="J164">IFERROR(INDEX(ReferenceCard, MATCH(1, (INDEX(ReferenceCard,,1)=Table1[[#This Row],[SAP No]]) * (INDEX(ReferenceCard,,2)=Table1[[#This Row],[Mould No]]), 0), 9),)</f>
        <v>18.8</v>
      </c>
      <c r="K164" s="4" cm="1">
        <f t="array" ref="K164">IFERROR(INDEX(ReferenceCard, MATCH(1, (INDEX(ReferenceCard,,1)=Table1[[#This Row],[SAP No]]) * (INDEX(ReferenceCard,,2)=Table1[[#This Row],[Mould No]]), 0), 7),)</f>
        <v>18.8</v>
      </c>
      <c r="L164">
        <v>3669</v>
      </c>
      <c r="M164">
        <v>0</v>
      </c>
      <c r="N164">
        <v>0</v>
      </c>
      <c r="O164">
        <v>0</v>
      </c>
      <c r="P164">
        <f>Table1[[#This Row],[Shot]]*Table1[[#This Row],[Cav]]</f>
        <v>22014</v>
      </c>
      <c r="Q164">
        <v>0</v>
      </c>
      <c r="R164">
        <f>(Table1[[#This Row],[Part Weight (gm)]]*Table1[[#This Row],[Finish Good]])/1000</f>
        <v>0</v>
      </c>
      <c r="S164">
        <v>0</v>
      </c>
      <c r="T164">
        <f>IF(Table1[[#This Row],[Qty Order]]="Sample","-",IF(Table1[[#This Row],[Qty Order]]="RTFN","-",Table1[[#This Row],[Qty Order]]-Table1[[#This Row],[Qty Accumulate]]))</f>
        <v>0</v>
      </c>
      <c r="U164">
        <f>((Table1[[#This Row],[Shift Output]]*Table1[[#This Row],[Part Weight (gm)]])/1000)+Table1[[#This Row],[Reject Startup (kg)]]+Table1[[#This Row],[Reject Purging (kg)]]+Table1[[#This Row],[Reject Preform (kg)]]</f>
        <v>413.86320000000001</v>
      </c>
      <c r="V164" s="37">
        <f>(Table1[[#This Row],[Gross Weight (gm)]]-Table1[[#This Row],[Part Weight (gm)]])*Table1[[#This Row],[Shift Output]]/1000</f>
        <v>0</v>
      </c>
      <c r="W164" s="3">
        <v>0</v>
      </c>
      <c r="X164" s="36">
        <f>Table1[[#This Row],[Reject Startup (kg)]]/Table1[[#This Row],[Material Used]]</f>
        <v>0</v>
      </c>
      <c r="Y164" s="3">
        <v>0</v>
      </c>
      <c r="Z164" s="36">
        <f>Table1[[#This Row],[Reject Prod (kg)]]/Table1[[#This Row],[Material Used]]</f>
        <v>0</v>
      </c>
      <c r="AA164" s="4">
        <v>0</v>
      </c>
      <c r="AB164" s="5">
        <v>11.94</v>
      </c>
      <c r="AC164" s="4" cm="1">
        <f t="array" ref="AC164">IFERROR(INDEX(ReferenceCard, MATCH(1, (INDEX(ReferenceCard,,1)=Table1[[#This Row],[SAP No]]) * (INDEX(ReferenceCard,,2)=Table1[[#This Row],[Mould No]]), 0), 9),)</f>
        <v>18.8</v>
      </c>
      <c r="AD164" s="5">
        <v>0</v>
      </c>
      <c r="AE164" s="5">
        <v>0</v>
      </c>
      <c r="AF164" s="5">
        <v>0</v>
      </c>
      <c r="AG164" s="5">
        <v>0</v>
      </c>
      <c r="AH164" s="5">
        <v>5.9999999999999901E-2</v>
      </c>
      <c r="AI164" s="5">
        <v>0</v>
      </c>
      <c r="AJ164" s="5">
        <v>0</v>
      </c>
      <c r="AL164" s="2"/>
      <c r="AM164" s="2"/>
      <c r="AN164" s="3">
        <v>0</v>
      </c>
      <c r="AO164" s="3">
        <v>0</v>
      </c>
      <c r="AP16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5" spans="1:42" x14ac:dyDescent="0.35">
      <c r="A165" s="1">
        <v>46018</v>
      </c>
      <c r="B165">
        <v>1</v>
      </c>
      <c r="C165" t="s">
        <v>29</v>
      </c>
      <c r="D165" t="str" cm="1">
        <f t="array" ref="D165">IFERROR(INDEX(ReferenceCard, MATCH(1, (INDEX(ReferenceCard,,1)=Table1[[#This Row],[SAP No]]) * (INDEX(ReferenceCard,,2)=Table1[[#This Row],[Mould No]]), 0), 6),)</f>
        <v>PET</v>
      </c>
      <c r="E165">
        <v>620599</v>
      </c>
      <c r="F165">
        <v>0</v>
      </c>
      <c r="G165" t="str" cm="1">
        <f t="array" ref="G165">IFERROR(INDEX(ReferenceCard, MATCH(1, (INDEX(ReferenceCard,,1)=Table1[[#This Row],[SAP No]]) * (INDEX(ReferenceCard,,2)=Table1[[#This Row],[Mould No]]), 0), 3),)</f>
        <v>BC28-0750-K4-R-CL (55g)</v>
      </c>
      <c r="H165">
        <v>0</v>
      </c>
      <c r="I165" cm="1">
        <f t="array" ref="I165">IFERROR(INDEX(ReferenceCard, MATCH(1, (INDEX(ReferenceCard,,1)=Table1[[#This Row],[SAP No]]) * (INDEX(ReferenceCard,,2)=Table1[[#This Row],[Mould No]]), 0), 4),)</f>
        <v>4</v>
      </c>
      <c r="J165" s="4" cm="1">
        <f t="array" ref="J165">IFERROR(INDEX(ReferenceCard, MATCH(1, (INDEX(ReferenceCard,,1)=Table1[[#This Row],[SAP No]]) * (INDEX(ReferenceCard,,2)=Table1[[#This Row],[Mould No]]), 0), 9),)</f>
        <v>55</v>
      </c>
      <c r="K165" s="4" cm="1">
        <f t="array" ref="K165">IFERROR(INDEX(ReferenceCard, MATCH(1, (INDEX(ReferenceCard,,1)=Table1[[#This Row],[SAP No]]) * (INDEX(ReferenceCard,,2)=Table1[[#This Row],[Mould No]]), 0), 7),)</f>
        <v>55</v>
      </c>
      <c r="L165">
        <v>1304</v>
      </c>
      <c r="M165">
        <v>0</v>
      </c>
      <c r="N165">
        <v>0</v>
      </c>
      <c r="O165">
        <v>0</v>
      </c>
      <c r="P165">
        <f>Table1[[#This Row],[Shot]]*Table1[[#This Row],[Cav]]</f>
        <v>5216</v>
      </c>
      <c r="Q165">
        <v>0</v>
      </c>
      <c r="R165">
        <f>(Table1[[#This Row],[Part Weight (gm)]]*Table1[[#This Row],[Finish Good]])/1000</f>
        <v>0</v>
      </c>
      <c r="S165">
        <v>0</v>
      </c>
      <c r="T165">
        <f>IF(Table1[[#This Row],[Qty Order]]="Sample","-",IF(Table1[[#This Row],[Qty Order]]="RTFN","-",Table1[[#This Row],[Qty Order]]-Table1[[#This Row],[Qty Accumulate]]))</f>
        <v>0</v>
      </c>
      <c r="U165">
        <f>((Table1[[#This Row],[Shift Output]]*Table1[[#This Row],[Part Weight (gm)]])/1000)+Table1[[#This Row],[Reject Startup (kg)]]+Table1[[#This Row],[Reject Purging (kg)]]+Table1[[#This Row],[Reject Preform (kg)]]</f>
        <v>286.88</v>
      </c>
      <c r="V165" s="37">
        <f>(Table1[[#This Row],[Gross Weight (gm)]]-Table1[[#This Row],[Part Weight (gm)]])*Table1[[#This Row],[Shift Output]]/1000</f>
        <v>0</v>
      </c>
      <c r="W165" s="3">
        <v>0</v>
      </c>
      <c r="X165" s="36">
        <f>Table1[[#This Row],[Reject Startup (kg)]]/Table1[[#This Row],[Material Used]]</f>
        <v>0</v>
      </c>
      <c r="Y165" s="3">
        <v>0</v>
      </c>
      <c r="Z165" s="36">
        <f>Table1[[#This Row],[Reject Prod (kg)]]/Table1[[#This Row],[Material Used]]</f>
        <v>0</v>
      </c>
      <c r="AA165" s="4">
        <v>0</v>
      </c>
      <c r="AB165" s="5">
        <v>12</v>
      </c>
      <c r="AC165" s="4" cm="1">
        <f t="array" ref="AC165">IFERROR(INDEX(ReferenceCard, MATCH(1, (INDEX(ReferenceCard,,1)=Table1[[#This Row],[SAP No]]) * (INDEX(ReferenceCard,,2)=Table1[[#This Row],[Mould No]]), 0), 9),)</f>
        <v>55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L165" s="2"/>
      <c r="AM165" s="2"/>
      <c r="AN165" s="3">
        <v>0</v>
      </c>
      <c r="AO165" s="3">
        <v>0</v>
      </c>
      <c r="AP16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6" spans="1:42" x14ac:dyDescent="0.35">
      <c r="A166" s="1">
        <v>46018</v>
      </c>
      <c r="B166">
        <v>1</v>
      </c>
      <c r="C166" t="s">
        <v>31</v>
      </c>
      <c r="D166" t="str" cm="1">
        <f t="array" ref="D166">IFERROR(INDEX(ReferenceCard, MATCH(1, (INDEX(ReferenceCard,,1)=Table1[[#This Row],[SAP No]]) * (INDEX(ReferenceCard,,2)=Table1[[#This Row],[Mould No]]), 0), 6),)</f>
        <v>PPSB520Y</v>
      </c>
      <c r="E166">
        <v>586276</v>
      </c>
      <c r="F166">
        <v>4</v>
      </c>
      <c r="G166" t="str" cm="1">
        <f t="array" ref="G166">IFERROR(INDEX(ReferenceCard, MATCH(1, (INDEX(ReferenceCard,,1)=Table1[[#This Row],[SAP No]]) * (INDEX(ReferenceCard,,2)=Table1[[#This Row],[Mould No]]), 0), 3),)</f>
        <v>BC28-0056-D-APH-LEB-604001-MOLD4</v>
      </c>
      <c r="H166">
        <v>0</v>
      </c>
      <c r="I166" cm="1">
        <f t="array" ref="I166">IFERROR(INDEX(ReferenceCard, MATCH(1, (INDEX(ReferenceCard,,1)=Table1[[#This Row],[SAP No]]) * (INDEX(ReferenceCard,,2)=Table1[[#This Row],[Mould No]]), 0), 4),)</f>
        <v>6</v>
      </c>
      <c r="J166" s="4" cm="1">
        <f t="array" ref="J166">IFERROR(INDEX(ReferenceCard, MATCH(1, (INDEX(ReferenceCard,,1)=Table1[[#This Row],[SAP No]]) * (INDEX(ReferenceCard,,2)=Table1[[#This Row],[Mould No]]), 0), 9),)</f>
        <v>12.3</v>
      </c>
      <c r="K166" s="4" cm="1">
        <f t="array" ref="K166">IFERROR(INDEX(ReferenceCard, MATCH(1, (INDEX(ReferenceCard,,1)=Table1[[#This Row],[SAP No]]) * (INDEX(ReferenceCard,,2)=Table1[[#This Row],[Mould No]]), 0), 7),)</f>
        <v>12.3</v>
      </c>
      <c r="L166">
        <v>0</v>
      </c>
      <c r="M166">
        <v>0</v>
      </c>
      <c r="N166">
        <v>0</v>
      </c>
      <c r="O166">
        <v>0</v>
      </c>
      <c r="P166">
        <f>Table1[[#This Row],[Shot]]*Table1[[#This Row],[Cav]]</f>
        <v>0</v>
      </c>
      <c r="Q166">
        <v>0</v>
      </c>
      <c r="R166">
        <f>(Table1[[#This Row],[Part Weight (gm)]]*Table1[[#This Row],[Finish Good]])/1000</f>
        <v>0</v>
      </c>
      <c r="S166">
        <v>0</v>
      </c>
      <c r="T166">
        <f>IF(Table1[[#This Row],[Qty Order]]="Sample","-",IF(Table1[[#This Row],[Qty Order]]="RTFN","-",Table1[[#This Row],[Qty Order]]-Table1[[#This Row],[Qty Accumulate]]))</f>
        <v>0</v>
      </c>
      <c r="U166">
        <f>((Table1[[#This Row],[Shift Output]]*Table1[[#This Row],[Part Weight (gm)]])/1000)+Table1[[#This Row],[Reject Startup (kg)]]+Table1[[#This Row],[Reject Purging (kg)]]+Table1[[#This Row],[Reject Preform (kg)]]</f>
        <v>0</v>
      </c>
      <c r="V166" s="37">
        <f>(Table1[[#This Row],[Gross Weight (gm)]]-Table1[[#This Row],[Part Weight (gm)]])*Table1[[#This Row],[Shift Output]]/1000</f>
        <v>0</v>
      </c>
      <c r="W166" s="3">
        <v>0</v>
      </c>
      <c r="X166" s="36" t="e">
        <f>Table1[[#This Row],[Reject Startup (kg)]]/Table1[[#This Row],[Material Used]]</f>
        <v>#DIV/0!</v>
      </c>
      <c r="Y166" s="3">
        <v>0</v>
      </c>
      <c r="Z166" s="36" t="e">
        <f>Table1[[#This Row],[Reject Prod (kg)]]/Table1[[#This Row],[Material Used]]</f>
        <v>#DIV/0!</v>
      </c>
      <c r="AA166" s="4">
        <v>0</v>
      </c>
      <c r="AB166" s="5">
        <v>12</v>
      </c>
      <c r="AC166" s="4" cm="1">
        <f t="array" ref="AC166">IFERROR(INDEX(ReferenceCard, MATCH(1, (INDEX(ReferenceCard,,1)=Table1[[#This Row],[SAP No]]) * (INDEX(ReferenceCard,,2)=Table1[[#This Row],[Mould No]]), 0), 9),)</f>
        <v>12.3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L166" s="2"/>
      <c r="AM166" s="2"/>
      <c r="AN166" s="3">
        <v>0</v>
      </c>
      <c r="AO166" s="3">
        <v>0</v>
      </c>
      <c r="AP16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7" spans="1:42" x14ac:dyDescent="0.35">
      <c r="A167" s="1">
        <v>46018</v>
      </c>
      <c r="B167">
        <v>1</v>
      </c>
      <c r="C167" t="s">
        <v>33</v>
      </c>
      <c r="D167" t="str" cm="1">
        <f t="array" ref="D167">IFERROR(INDEX(ReferenceCard, MATCH(1, (INDEX(ReferenceCard,,1)=Table1[[#This Row],[SAP No]]) * (INDEX(ReferenceCard,,2)=Table1[[#This Row],[Mould No]]), 0), 6),)</f>
        <v>PET</v>
      </c>
      <c r="E167">
        <v>541381</v>
      </c>
      <c r="F167">
        <v>0</v>
      </c>
      <c r="G167" t="str" cm="1">
        <f t="array" ref="G167">IFERROR(INDEX(ReferenceCard, MATCH(1, (INDEX(ReferenceCard,,1)=Table1[[#This Row],[SAP No]]) * (INDEX(ReferenceCard,,2)=Table1[[#This Row],[Mould No]]), 0), 3),)</f>
        <v>BC28-1200-K-R-CL</v>
      </c>
      <c r="H167">
        <v>0</v>
      </c>
      <c r="I167" cm="1">
        <f t="array" ref="I167">IFERROR(INDEX(ReferenceCard, MATCH(1, (INDEX(ReferenceCard,,1)=Table1[[#This Row],[SAP No]]) * (INDEX(ReferenceCard,,2)=Table1[[#This Row],[Mould No]]), 0), 4),)</f>
        <v>4</v>
      </c>
      <c r="J167" s="4" cm="1">
        <f t="array" ref="J167">IFERROR(INDEX(ReferenceCard, MATCH(1, (INDEX(ReferenceCard,,1)=Table1[[#This Row],[SAP No]]) * (INDEX(ReferenceCard,,2)=Table1[[#This Row],[Mould No]]), 0), 9),)</f>
        <v>55</v>
      </c>
      <c r="K167" s="4" cm="1">
        <f t="array" ref="K167">IFERROR(INDEX(ReferenceCard, MATCH(1, (INDEX(ReferenceCard,,1)=Table1[[#This Row],[SAP No]]) * (INDEX(ReferenceCard,,2)=Table1[[#This Row],[Mould No]]), 0), 7),)</f>
        <v>55</v>
      </c>
      <c r="L167">
        <v>1652</v>
      </c>
      <c r="M167">
        <v>0</v>
      </c>
      <c r="N167">
        <v>0</v>
      </c>
      <c r="O167">
        <v>0</v>
      </c>
      <c r="P167">
        <f>Table1[[#This Row],[Shot]]*Table1[[#This Row],[Cav]]</f>
        <v>6608</v>
      </c>
      <c r="Q167">
        <v>0</v>
      </c>
      <c r="R167">
        <f>(Table1[[#This Row],[Part Weight (gm)]]*Table1[[#This Row],[Finish Good]])/1000</f>
        <v>0</v>
      </c>
      <c r="S167">
        <v>0</v>
      </c>
      <c r="T167">
        <f>IF(Table1[[#This Row],[Qty Order]]="Sample","-",IF(Table1[[#This Row],[Qty Order]]="RTFN","-",Table1[[#This Row],[Qty Order]]-Table1[[#This Row],[Qty Accumulate]]))</f>
        <v>0</v>
      </c>
      <c r="U167">
        <f>((Table1[[#This Row],[Shift Output]]*Table1[[#This Row],[Part Weight (gm)]])/1000)+Table1[[#This Row],[Reject Startup (kg)]]+Table1[[#This Row],[Reject Purging (kg)]]+Table1[[#This Row],[Reject Preform (kg)]]</f>
        <v>363.44</v>
      </c>
      <c r="V167" s="37">
        <f>(Table1[[#This Row],[Gross Weight (gm)]]-Table1[[#This Row],[Part Weight (gm)]])*Table1[[#This Row],[Shift Output]]/1000</f>
        <v>0</v>
      </c>
      <c r="W167" s="3">
        <v>0</v>
      </c>
      <c r="X167" s="36">
        <f>Table1[[#This Row],[Reject Startup (kg)]]/Table1[[#This Row],[Material Used]]</f>
        <v>0</v>
      </c>
      <c r="Y167" s="3">
        <v>0</v>
      </c>
      <c r="Z167" s="36">
        <f>Table1[[#This Row],[Reject Prod (kg)]]/Table1[[#This Row],[Material Used]]</f>
        <v>0</v>
      </c>
      <c r="AA167" s="4">
        <v>0</v>
      </c>
      <c r="AB167" s="5">
        <v>11.7799999999999</v>
      </c>
      <c r="AC167" s="4" cm="1">
        <f t="array" ref="AC167">IFERROR(INDEX(ReferenceCard, MATCH(1, (INDEX(ReferenceCard,,1)=Table1[[#This Row],[SAP No]]) * (INDEX(ReferenceCard,,2)=Table1[[#This Row],[Mould No]]), 0), 9),)</f>
        <v>55</v>
      </c>
      <c r="AD167" s="5">
        <v>0</v>
      </c>
      <c r="AE167" s="5">
        <v>0</v>
      </c>
      <c r="AF167" s="5">
        <v>0</v>
      </c>
      <c r="AG167" s="5">
        <v>0</v>
      </c>
      <c r="AH167" s="5">
        <v>0.22</v>
      </c>
      <c r="AI167" s="5">
        <v>0</v>
      </c>
      <c r="AJ167" s="5">
        <v>0</v>
      </c>
      <c r="AL167" s="2"/>
      <c r="AM167" s="2"/>
      <c r="AN167" s="3">
        <v>0</v>
      </c>
      <c r="AO167" s="3">
        <v>0</v>
      </c>
      <c r="AP16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8" spans="1:42" x14ac:dyDescent="0.35">
      <c r="A168" s="1">
        <v>46018</v>
      </c>
      <c r="B168">
        <v>1</v>
      </c>
      <c r="C168" t="s">
        <v>35</v>
      </c>
      <c r="D168" t="str" cm="1">
        <f t="array" ref="D168">IFERROR(INDEX(ReferenceCard, MATCH(1, (INDEX(ReferenceCard,,1)=Table1[[#This Row],[SAP No]]) * (INDEX(ReferenceCard,,2)=Table1[[#This Row],[Mould No]]), 0), 6),)</f>
        <v>PPSB520Y</v>
      </c>
      <c r="E168">
        <v>552181</v>
      </c>
      <c r="F168">
        <v>1</v>
      </c>
      <c r="G168" t="str" cm="1">
        <f t="array" ref="G168">IFERROR(INDEX(ReferenceCard, MATCH(1, (INDEX(ReferenceCard,,1)=Table1[[#This Row],[SAP No]]) * (INDEX(ReferenceCard,,2)=Table1[[#This Row],[Mould No]]), 0), 3),)</f>
        <v>BC28-0090-D-APH-5180-3538-PP-6 NOTCHES-MOLD1</v>
      </c>
      <c r="H168">
        <v>0</v>
      </c>
      <c r="I168" cm="1">
        <f t="array" ref="I168">IFERROR(INDEX(ReferenceCard, MATCH(1, (INDEX(ReferenceCard,,1)=Table1[[#This Row],[SAP No]]) * (INDEX(ReferenceCard,,2)=Table1[[#This Row],[Mould No]]), 0), 4),)</f>
        <v>6</v>
      </c>
      <c r="J168" s="4" cm="1">
        <f t="array" ref="J168">IFERROR(INDEX(ReferenceCard, MATCH(1, (INDEX(ReferenceCard,,1)=Table1[[#This Row],[SAP No]]) * (INDEX(ReferenceCard,,2)=Table1[[#This Row],[Mould No]]), 0), 9),)</f>
        <v>18.8</v>
      </c>
      <c r="K168" s="4" cm="1">
        <f t="array" ref="K168">IFERROR(INDEX(ReferenceCard, MATCH(1, (INDEX(ReferenceCard,,1)=Table1[[#This Row],[SAP No]]) * (INDEX(ReferenceCard,,2)=Table1[[#This Row],[Mould No]]), 0), 7),)</f>
        <v>18.8</v>
      </c>
      <c r="L168">
        <v>1214</v>
      </c>
      <c r="M168">
        <v>0</v>
      </c>
      <c r="N168">
        <v>0</v>
      </c>
      <c r="O168">
        <v>0</v>
      </c>
      <c r="P168">
        <f>Table1[[#This Row],[Shot]]*Table1[[#This Row],[Cav]]</f>
        <v>7284</v>
      </c>
      <c r="Q168">
        <v>0</v>
      </c>
      <c r="R168">
        <f>(Table1[[#This Row],[Part Weight (gm)]]*Table1[[#This Row],[Finish Good]])/1000</f>
        <v>0</v>
      </c>
      <c r="S168">
        <v>0</v>
      </c>
      <c r="T168">
        <f>IF(Table1[[#This Row],[Qty Order]]="Sample","-",IF(Table1[[#This Row],[Qty Order]]="RTFN","-",Table1[[#This Row],[Qty Order]]-Table1[[#This Row],[Qty Accumulate]]))</f>
        <v>0</v>
      </c>
      <c r="U168">
        <f>((Table1[[#This Row],[Shift Output]]*Table1[[#This Row],[Part Weight (gm)]])/1000)+Table1[[#This Row],[Reject Startup (kg)]]+Table1[[#This Row],[Reject Purging (kg)]]+Table1[[#This Row],[Reject Preform (kg)]]</f>
        <v>136.9392</v>
      </c>
      <c r="V168" s="37">
        <f>(Table1[[#This Row],[Gross Weight (gm)]]-Table1[[#This Row],[Part Weight (gm)]])*Table1[[#This Row],[Shift Output]]/1000</f>
        <v>0</v>
      </c>
      <c r="W168" s="3">
        <v>0</v>
      </c>
      <c r="X168" s="36">
        <f>Table1[[#This Row],[Reject Startup (kg)]]/Table1[[#This Row],[Material Used]]</f>
        <v>0</v>
      </c>
      <c r="Y168" s="3">
        <v>0</v>
      </c>
      <c r="Z168" s="36">
        <f>Table1[[#This Row],[Reject Prod (kg)]]/Table1[[#This Row],[Material Used]]</f>
        <v>0</v>
      </c>
      <c r="AA168" s="4">
        <v>0</v>
      </c>
      <c r="AB168" s="5">
        <v>12</v>
      </c>
      <c r="AC168" s="4" cm="1">
        <f t="array" ref="AC168">IFERROR(INDEX(ReferenceCard, MATCH(1, (INDEX(ReferenceCard,,1)=Table1[[#This Row],[SAP No]]) * (INDEX(ReferenceCard,,2)=Table1[[#This Row],[Mould No]]), 0), 9),)</f>
        <v>18.8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L168" s="2"/>
      <c r="AM168" s="2"/>
      <c r="AN168" s="3">
        <v>0</v>
      </c>
      <c r="AO168" s="3">
        <v>0</v>
      </c>
      <c r="AP16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69" spans="1:42" x14ac:dyDescent="0.35">
      <c r="A169" s="1">
        <v>46018</v>
      </c>
      <c r="B169">
        <v>1</v>
      </c>
      <c r="C169" t="s">
        <v>18</v>
      </c>
      <c r="D169" t="str" cm="1">
        <f t="array" ref="D169">IFERROR(INDEX(ReferenceCard, MATCH(1, (INDEX(ReferenceCard,,1)=Table1[[#This Row],[SAP No]]) * (INDEX(ReferenceCard,,2)=Table1[[#This Row],[Mould No]]), 0), 6),)</f>
        <v>PPSB520Y</v>
      </c>
      <c r="E169">
        <v>555979</v>
      </c>
      <c r="F169">
        <v>4</v>
      </c>
      <c r="G169" t="str" cm="1">
        <f t="array" ref="G169">IFERROR(INDEX(ReferenceCard, MATCH(1, (INDEX(ReferenceCard,,1)=Table1[[#This Row],[SAP No]]) * (INDEX(ReferenceCard,,2)=Table1[[#This Row],[Mould No]]), 0), 3),)</f>
        <v>BC28-0170-D-APH-5180-3539-PP-6 NOTCHES-MOLD4</v>
      </c>
      <c r="H169">
        <v>0</v>
      </c>
      <c r="I169" cm="1">
        <f t="array" ref="I169">IFERROR(INDEX(ReferenceCard, MATCH(1, (INDEX(ReferenceCard,,1)=Table1[[#This Row],[SAP No]]) * (INDEX(ReferenceCard,,2)=Table1[[#This Row],[Mould No]]), 0), 4),)</f>
        <v>6</v>
      </c>
      <c r="J169" s="4" cm="1">
        <f t="array" ref="J169">IFERROR(INDEX(ReferenceCard, MATCH(1, (INDEX(ReferenceCard,,1)=Table1[[#This Row],[SAP No]]) * (INDEX(ReferenceCard,,2)=Table1[[#This Row],[Mould No]]), 0), 9),)</f>
        <v>28</v>
      </c>
      <c r="K169" s="4" cm="1">
        <f t="array" ref="K169">IFERROR(INDEX(ReferenceCard, MATCH(1, (INDEX(ReferenceCard,,1)=Table1[[#This Row],[SAP No]]) * (INDEX(ReferenceCard,,2)=Table1[[#This Row],[Mould No]]), 0), 7),)</f>
        <v>28</v>
      </c>
      <c r="L169">
        <v>845</v>
      </c>
      <c r="M169">
        <v>0</v>
      </c>
      <c r="N169">
        <v>0</v>
      </c>
      <c r="O169">
        <v>0</v>
      </c>
      <c r="P169">
        <f>Table1[[#This Row],[Shot]]*Table1[[#This Row],[Cav]]</f>
        <v>5070</v>
      </c>
      <c r="Q169">
        <v>0</v>
      </c>
      <c r="R169">
        <f>(Table1[[#This Row],[Part Weight (gm)]]*Table1[[#This Row],[Finish Good]])/1000</f>
        <v>0</v>
      </c>
      <c r="S169">
        <v>0</v>
      </c>
      <c r="T169">
        <f>IF(Table1[[#This Row],[Qty Order]]="Sample","-",IF(Table1[[#This Row],[Qty Order]]="RTFN","-",Table1[[#This Row],[Qty Order]]-Table1[[#This Row],[Qty Accumulate]]))</f>
        <v>0</v>
      </c>
      <c r="U169">
        <f>((Table1[[#This Row],[Shift Output]]*Table1[[#This Row],[Part Weight (gm)]])/1000)+Table1[[#This Row],[Reject Startup (kg)]]+Table1[[#This Row],[Reject Purging (kg)]]+Table1[[#This Row],[Reject Preform (kg)]]</f>
        <v>141.96</v>
      </c>
      <c r="V169" s="37">
        <f>(Table1[[#This Row],[Gross Weight (gm)]]-Table1[[#This Row],[Part Weight (gm)]])*Table1[[#This Row],[Shift Output]]/1000</f>
        <v>0</v>
      </c>
      <c r="W169" s="3">
        <v>0</v>
      </c>
      <c r="X169" s="36">
        <f>Table1[[#This Row],[Reject Startup (kg)]]/Table1[[#This Row],[Material Used]]</f>
        <v>0</v>
      </c>
      <c r="Y169" s="3">
        <v>0</v>
      </c>
      <c r="Z169" s="36">
        <f>Table1[[#This Row],[Reject Prod (kg)]]/Table1[[#This Row],[Material Used]]</f>
        <v>0</v>
      </c>
      <c r="AA169" s="4">
        <v>43.5</v>
      </c>
      <c r="AB169" s="5">
        <v>10</v>
      </c>
      <c r="AC169" s="4" cm="1">
        <f t="array" ref="AC169">IFERROR(INDEX(ReferenceCard, MATCH(1, (INDEX(ReferenceCard,,1)=Table1[[#This Row],[SAP No]]) * (INDEX(ReferenceCard,,2)=Table1[[#This Row],[Mould No]]), 0), 9),)</f>
        <v>28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2</v>
      </c>
      <c r="AJ169" s="5">
        <v>0</v>
      </c>
      <c r="AL169" s="2"/>
      <c r="AM169" s="2"/>
      <c r="AN169" s="3">
        <v>0</v>
      </c>
      <c r="AO169" s="3">
        <v>0</v>
      </c>
      <c r="AP16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0" spans="1:42" x14ac:dyDescent="0.35">
      <c r="A170" s="1">
        <v>46017</v>
      </c>
      <c r="B170">
        <v>2</v>
      </c>
      <c r="C170" t="s">
        <v>0</v>
      </c>
      <c r="D170" t="str" cm="1">
        <f t="array" ref="D170">IFERROR(INDEX(ReferenceCard, MATCH(1, (INDEX(ReferenceCard,,1)=Table1[[#This Row],[SAP No]]) * (INDEX(ReferenceCard,,2)=Table1[[#This Row],[Mould No]]), 0), 6),)</f>
        <v>PET</v>
      </c>
      <c r="E170">
        <v>347623</v>
      </c>
      <c r="F170">
        <v>0</v>
      </c>
      <c r="G170" t="str" cm="1">
        <f t="array" ref="G170">IFERROR(INDEX(ReferenceCard, MATCH(1, (INDEX(ReferenceCard,,1)=Table1[[#This Row],[SAP No]]) * (INDEX(ReferenceCard,,2)=Table1[[#This Row],[Mould No]]), 0), 3),)</f>
        <v>BC28-0375-K-R-CL</v>
      </c>
      <c r="H170">
        <v>0</v>
      </c>
      <c r="I170" cm="1">
        <f t="array" ref="I170">IFERROR(INDEX(ReferenceCard, MATCH(1, (INDEX(ReferenceCard,,1)=Table1[[#This Row],[SAP No]]) * (INDEX(ReferenceCard,,2)=Table1[[#This Row],[Mould No]]), 0), 4),)</f>
        <v>4</v>
      </c>
      <c r="J170" s="4" cm="1">
        <f t="array" ref="J170">IFERROR(INDEX(ReferenceCard, MATCH(1, (INDEX(ReferenceCard,,1)=Table1[[#This Row],[SAP No]]) * (INDEX(ReferenceCard,,2)=Table1[[#This Row],[Mould No]]), 0), 9),)</f>
        <v>35.6</v>
      </c>
      <c r="K170" s="4" cm="1">
        <f t="array" ref="K170">IFERROR(INDEX(ReferenceCard, MATCH(1, (INDEX(ReferenceCard,,1)=Table1[[#This Row],[SAP No]]) * (INDEX(ReferenceCard,,2)=Table1[[#This Row],[Mould No]]), 0), 7),)</f>
        <v>35.6</v>
      </c>
      <c r="L170">
        <v>1616</v>
      </c>
      <c r="M170">
        <v>0</v>
      </c>
      <c r="N170">
        <v>0</v>
      </c>
      <c r="O170">
        <v>0</v>
      </c>
      <c r="P170">
        <f>Table1[[#This Row],[Shot]]*Table1[[#This Row],[Cav]]</f>
        <v>6464</v>
      </c>
      <c r="Q170">
        <v>0</v>
      </c>
      <c r="R170">
        <f>(Table1[[#This Row],[Part Weight (gm)]]*Table1[[#This Row],[Finish Good]])/1000</f>
        <v>0</v>
      </c>
      <c r="S170">
        <v>0</v>
      </c>
      <c r="T170">
        <f>IF(Table1[[#This Row],[Qty Order]]="Sample","-",IF(Table1[[#This Row],[Qty Order]]="RTFN","-",Table1[[#This Row],[Qty Order]]-Table1[[#This Row],[Qty Accumulate]]))</f>
        <v>0</v>
      </c>
      <c r="U170">
        <f>((Table1[[#This Row],[Shift Output]]*Table1[[#This Row],[Part Weight (gm)]])/1000)+Table1[[#This Row],[Reject Startup (kg)]]+Table1[[#This Row],[Reject Purging (kg)]]+Table1[[#This Row],[Reject Preform (kg)]]</f>
        <v>230.11840000000004</v>
      </c>
      <c r="V170" s="37">
        <f>(Table1[[#This Row],[Gross Weight (gm)]]-Table1[[#This Row],[Part Weight (gm)]])*Table1[[#This Row],[Shift Output]]/1000</f>
        <v>0</v>
      </c>
      <c r="W170" s="3">
        <v>0</v>
      </c>
      <c r="X170" s="36">
        <f>Table1[[#This Row],[Reject Startup (kg)]]/Table1[[#This Row],[Material Used]]</f>
        <v>0</v>
      </c>
      <c r="Y170" s="3">
        <v>0</v>
      </c>
      <c r="Z170" s="36">
        <f>Table1[[#This Row],[Reject Prod (kg)]]/Table1[[#This Row],[Material Used]]</f>
        <v>0</v>
      </c>
      <c r="AA170" s="4">
        <v>26.734046936035099</v>
      </c>
      <c r="AB170" s="5">
        <v>12</v>
      </c>
      <c r="AC170" s="4" cm="1">
        <f t="array" ref="AC170">IFERROR(INDEX(ReferenceCard, MATCH(1, (INDEX(ReferenceCard,,1)=Table1[[#This Row],[SAP No]]) * (INDEX(ReferenceCard,,2)=Table1[[#This Row],[Mould No]]), 0), 9),)</f>
        <v>35.6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L170" s="2"/>
      <c r="AM170" s="2"/>
      <c r="AN170" s="3">
        <v>0</v>
      </c>
      <c r="AO170" s="3">
        <v>0</v>
      </c>
      <c r="AP17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1" spans="1:42" x14ac:dyDescent="0.35">
      <c r="A171" s="1">
        <v>46017</v>
      </c>
      <c r="B171">
        <v>2</v>
      </c>
      <c r="C171" t="s">
        <v>3</v>
      </c>
      <c r="D171" t="str" cm="1">
        <f t="array" ref="D171">IFERROR(INDEX(ReferenceCard, MATCH(1, (INDEX(ReferenceCard,,1)=Table1[[#This Row],[SAP No]]) * (INDEX(ReferenceCard,,2)=Table1[[#This Row],[Mould No]]), 0), 6),)</f>
        <v>PET</v>
      </c>
      <c r="E171">
        <v>423215</v>
      </c>
      <c r="F171">
        <v>0</v>
      </c>
      <c r="G171" t="str" cm="1">
        <f t="array" ref="G171">IFERROR(INDEX(ReferenceCard, MATCH(1, (INDEX(ReferenceCard,,1)=Table1[[#This Row],[SAP No]]) * (INDEX(ReferenceCard,,2)=Table1[[#This Row],[Mould No]]), 0), 3),)</f>
        <v>BC28-0355-SCC-A-Q-CL</v>
      </c>
      <c r="H171">
        <v>0</v>
      </c>
      <c r="I171" cm="1">
        <f t="array" ref="I171">IFERROR(INDEX(ReferenceCard, MATCH(1, (INDEX(ReferenceCard,,1)=Table1[[#This Row],[SAP No]]) * (INDEX(ReferenceCard,,2)=Table1[[#This Row],[Mould No]]), 0), 4),)</f>
        <v>4</v>
      </c>
      <c r="J171" s="4" cm="1">
        <f t="array" ref="J171">IFERROR(INDEX(ReferenceCard, MATCH(1, (INDEX(ReferenceCard,,1)=Table1[[#This Row],[SAP No]]) * (INDEX(ReferenceCard,,2)=Table1[[#This Row],[Mould No]]), 0), 9),)</f>
        <v>24</v>
      </c>
      <c r="K171" s="4" cm="1">
        <f t="array" ref="K171">IFERROR(INDEX(ReferenceCard, MATCH(1, (INDEX(ReferenceCard,,1)=Table1[[#This Row],[SAP No]]) * (INDEX(ReferenceCard,,2)=Table1[[#This Row],[Mould No]]), 0), 7),)</f>
        <v>24</v>
      </c>
      <c r="L171">
        <v>1739</v>
      </c>
      <c r="M171">
        <v>0</v>
      </c>
      <c r="N171">
        <v>0</v>
      </c>
      <c r="O171">
        <v>0</v>
      </c>
      <c r="P171">
        <f>Table1[[#This Row],[Shot]]*Table1[[#This Row],[Cav]]</f>
        <v>6956</v>
      </c>
      <c r="Q171">
        <v>0</v>
      </c>
      <c r="R171">
        <f>(Table1[[#This Row],[Part Weight (gm)]]*Table1[[#This Row],[Finish Good]])/1000</f>
        <v>0</v>
      </c>
      <c r="S171">
        <v>0</v>
      </c>
      <c r="T171">
        <f>IF(Table1[[#This Row],[Qty Order]]="Sample","-",IF(Table1[[#This Row],[Qty Order]]="RTFN","-",Table1[[#This Row],[Qty Order]]-Table1[[#This Row],[Qty Accumulate]]))</f>
        <v>0</v>
      </c>
      <c r="U171">
        <f>((Table1[[#This Row],[Shift Output]]*Table1[[#This Row],[Part Weight (gm)]])/1000)+Table1[[#This Row],[Reject Startup (kg)]]+Table1[[#This Row],[Reject Purging (kg)]]+Table1[[#This Row],[Reject Preform (kg)]]</f>
        <v>166.94399999999999</v>
      </c>
      <c r="V171" s="37">
        <f>(Table1[[#This Row],[Gross Weight (gm)]]-Table1[[#This Row],[Part Weight (gm)]])*Table1[[#This Row],[Shift Output]]/1000</f>
        <v>0</v>
      </c>
      <c r="W171" s="3">
        <v>0</v>
      </c>
      <c r="X171" s="36">
        <f>Table1[[#This Row],[Reject Startup (kg)]]/Table1[[#This Row],[Material Used]]</f>
        <v>0</v>
      </c>
      <c r="Y171" s="3">
        <v>0</v>
      </c>
      <c r="Z171" s="36">
        <f>Table1[[#This Row],[Reject Prod (kg)]]/Table1[[#This Row],[Material Used]]</f>
        <v>0</v>
      </c>
      <c r="AA171" s="4">
        <v>24.836206436157202</v>
      </c>
      <c r="AB171" s="5">
        <v>12</v>
      </c>
      <c r="AC171" s="4" cm="1">
        <f t="array" ref="AC171">IFERROR(INDEX(ReferenceCard, MATCH(1, (INDEX(ReferenceCard,,1)=Table1[[#This Row],[SAP No]]) * (INDEX(ReferenceCard,,2)=Table1[[#This Row],[Mould No]]), 0), 9),)</f>
        <v>24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L171" s="2"/>
      <c r="AM171" s="2"/>
      <c r="AN171" s="3">
        <v>0</v>
      </c>
      <c r="AO171" s="3">
        <v>0</v>
      </c>
      <c r="AP17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2" spans="1:42" x14ac:dyDescent="0.35">
      <c r="A172" s="1">
        <v>46017</v>
      </c>
      <c r="B172">
        <v>2</v>
      </c>
      <c r="C172" t="s">
        <v>11</v>
      </c>
      <c r="D172" t="str" cm="1">
        <f t="array" ref="D172">IFERROR(INDEX(ReferenceCard, MATCH(1, (INDEX(ReferenceCard,,1)=Table1[[#This Row],[SAP No]]) * (INDEX(ReferenceCard,,2)=Table1[[#This Row],[Mould No]]), 0), 6),)</f>
        <v>rPET</v>
      </c>
      <c r="E172">
        <v>620994</v>
      </c>
      <c r="F172">
        <v>0</v>
      </c>
      <c r="G172" t="str" cm="1">
        <f t="array" ref="G172">IFERROR(INDEX(ReferenceCard, MATCH(1, (INDEX(ReferenceCard,,1)=Table1[[#This Row],[SAP No]]) * (INDEX(ReferenceCard,,2)=Table1[[#This Row],[Mould No]]), 0), 3),)</f>
        <v>JJ63-0400-SH-S-CL-rPET</v>
      </c>
      <c r="H172">
        <v>0</v>
      </c>
      <c r="I172" cm="1">
        <f t="array" ref="I172">IFERROR(INDEX(ReferenceCard, MATCH(1, (INDEX(ReferenceCard,,1)=Table1[[#This Row],[SAP No]]) * (INDEX(ReferenceCard,,2)=Table1[[#This Row],[Mould No]]), 0), 4),)</f>
        <v>4</v>
      </c>
      <c r="J172" s="4" cm="1">
        <f t="array" ref="J172">IFERROR(INDEX(ReferenceCard, MATCH(1, (INDEX(ReferenceCard,,1)=Table1[[#This Row],[SAP No]]) * (INDEX(ReferenceCard,,2)=Table1[[#This Row],[Mould No]]), 0), 9),)</f>
        <v>32.74</v>
      </c>
      <c r="K172" s="4" cm="1">
        <f t="array" ref="K172">IFERROR(INDEX(ReferenceCard, MATCH(1, (INDEX(ReferenceCard,,1)=Table1[[#This Row],[SAP No]]) * (INDEX(ReferenceCard,,2)=Table1[[#This Row],[Mould No]]), 0), 7),)</f>
        <v>33</v>
      </c>
      <c r="L172">
        <v>6076</v>
      </c>
      <c r="M172">
        <v>0</v>
      </c>
      <c r="N172">
        <v>0</v>
      </c>
      <c r="O172">
        <v>0</v>
      </c>
      <c r="P172">
        <f>Table1[[#This Row],[Shot]]*Table1[[#This Row],[Cav]]</f>
        <v>24304</v>
      </c>
      <c r="Q172">
        <v>0</v>
      </c>
      <c r="R172">
        <f>(Table1[[#This Row],[Part Weight (gm)]]*Table1[[#This Row],[Finish Good]])/1000</f>
        <v>0</v>
      </c>
      <c r="S172">
        <v>0</v>
      </c>
      <c r="T172">
        <f>IF(Table1[[#This Row],[Qty Order]]="Sample","-",IF(Table1[[#This Row],[Qty Order]]="RTFN","-",Table1[[#This Row],[Qty Order]]-Table1[[#This Row],[Qty Accumulate]]))</f>
        <v>0</v>
      </c>
      <c r="U172">
        <f>((Table1[[#This Row],[Shift Output]]*Table1[[#This Row],[Part Weight (gm)]])/1000)+Table1[[#This Row],[Reject Startup (kg)]]+Table1[[#This Row],[Reject Purging (kg)]]+Table1[[#This Row],[Reject Preform (kg)]]</f>
        <v>802.03200000000004</v>
      </c>
      <c r="V172" s="37">
        <f>(Table1[[#This Row],[Gross Weight (gm)]]-Table1[[#This Row],[Part Weight (gm)]])*Table1[[#This Row],[Shift Output]]/1000</f>
        <v>-6.3190399999999514</v>
      </c>
      <c r="W172" s="3">
        <v>0</v>
      </c>
      <c r="X172" s="36">
        <f>Table1[[#This Row],[Reject Startup (kg)]]/Table1[[#This Row],[Material Used]]</f>
        <v>0</v>
      </c>
      <c r="Y172" s="3">
        <v>0</v>
      </c>
      <c r="Z172" s="36">
        <f>Table1[[#This Row],[Reject Prod (kg)]]/Table1[[#This Row],[Material Used]]</f>
        <v>0</v>
      </c>
      <c r="AA172" s="4">
        <v>24.083478927612301</v>
      </c>
      <c r="AB172" s="5">
        <v>11.59</v>
      </c>
      <c r="AC172" s="4" cm="1">
        <f t="array" ref="AC172">IFERROR(INDEX(ReferenceCard, MATCH(1, (INDEX(ReferenceCard,,1)=Table1[[#This Row],[SAP No]]) * (INDEX(ReferenceCard,,2)=Table1[[#This Row],[Mould No]]), 0), 9),)</f>
        <v>32.74</v>
      </c>
      <c r="AD172" s="5">
        <v>0</v>
      </c>
      <c r="AE172" s="5">
        <v>0</v>
      </c>
      <c r="AF172" s="5">
        <v>0</v>
      </c>
      <c r="AG172" s="5">
        <v>0</v>
      </c>
      <c r="AH172" s="5">
        <v>0.40999999999999898</v>
      </c>
      <c r="AI172" s="5">
        <v>0</v>
      </c>
      <c r="AJ172" s="5">
        <v>0</v>
      </c>
      <c r="AL172" s="2"/>
      <c r="AM172" s="2"/>
      <c r="AN172" s="3">
        <v>0</v>
      </c>
      <c r="AO172" s="3">
        <v>0</v>
      </c>
      <c r="AP17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3" spans="1:42" x14ac:dyDescent="0.35">
      <c r="A173" s="1">
        <v>46017</v>
      </c>
      <c r="B173">
        <v>2</v>
      </c>
      <c r="C173" t="s">
        <v>14</v>
      </c>
      <c r="D173" t="str" cm="1">
        <f t="array" ref="D173">IFERROR(INDEX(ReferenceCard, MATCH(1, (INDEX(ReferenceCard,,1)=Table1[[#This Row],[SAP No]]) * (INDEX(ReferenceCard,,2)=Table1[[#This Row],[Mould No]]), 0), 6),)</f>
        <v>PET</v>
      </c>
      <c r="E173">
        <v>322444</v>
      </c>
      <c r="F173">
        <v>0</v>
      </c>
      <c r="G173" t="str" cm="1">
        <f t="array" ref="G173">IFERROR(INDEX(ReferenceCard, MATCH(1, (INDEX(ReferenceCard,,1)=Table1[[#This Row],[SAP No]]) * (INDEX(ReferenceCard,,2)=Table1[[#This Row],[Mould No]]), 0), 3),)</f>
        <v>JJ63-0400-RH-R-CL</v>
      </c>
      <c r="H173">
        <v>0</v>
      </c>
      <c r="I173" cm="1">
        <f t="array" ref="I173">IFERROR(INDEX(ReferenceCard, MATCH(1, (INDEX(ReferenceCard,,1)=Table1[[#This Row],[SAP No]]) * (INDEX(ReferenceCard,,2)=Table1[[#This Row],[Mould No]]), 0), 4),)</f>
        <v>4</v>
      </c>
      <c r="J173" s="4" cm="1">
        <f t="array" ref="J173">IFERROR(INDEX(ReferenceCard, MATCH(1, (INDEX(ReferenceCard,,1)=Table1[[#This Row],[SAP No]]) * (INDEX(ReferenceCard,,2)=Table1[[#This Row],[Mould No]]), 0), 9),)</f>
        <v>32.74</v>
      </c>
      <c r="K173" s="4" cm="1">
        <f t="array" ref="K173">IFERROR(INDEX(ReferenceCard, MATCH(1, (INDEX(ReferenceCard,,1)=Table1[[#This Row],[SAP No]]) * (INDEX(ReferenceCard,,2)=Table1[[#This Row],[Mould No]]), 0), 7),)</f>
        <v>34.5</v>
      </c>
      <c r="L173">
        <v>1916</v>
      </c>
      <c r="M173">
        <v>0</v>
      </c>
      <c r="N173">
        <v>0</v>
      </c>
      <c r="O173">
        <v>0</v>
      </c>
      <c r="P173">
        <f>Table1[[#This Row],[Shot]]*Table1[[#This Row],[Cav]]</f>
        <v>7664</v>
      </c>
      <c r="Q173">
        <v>0</v>
      </c>
      <c r="R173">
        <f>(Table1[[#This Row],[Part Weight (gm)]]*Table1[[#This Row],[Finish Good]])/1000</f>
        <v>0</v>
      </c>
      <c r="S173">
        <v>0</v>
      </c>
      <c r="T173">
        <f>IF(Table1[[#This Row],[Qty Order]]="Sample","-",IF(Table1[[#This Row],[Qty Order]]="RTFN","-",Table1[[#This Row],[Qty Order]]-Table1[[#This Row],[Qty Accumulate]]))</f>
        <v>0</v>
      </c>
      <c r="U173">
        <f>((Table1[[#This Row],[Shift Output]]*Table1[[#This Row],[Part Weight (gm)]])/1000)+Table1[[#This Row],[Reject Startup (kg)]]+Table1[[#This Row],[Reject Purging (kg)]]+Table1[[#This Row],[Reject Preform (kg)]]</f>
        <v>264.40800000000002</v>
      </c>
      <c r="V173" s="37">
        <f>(Table1[[#This Row],[Gross Weight (gm)]]-Table1[[#This Row],[Part Weight (gm)]])*Table1[[#This Row],[Shift Output]]/1000</f>
        <v>-13.488639999999984</v>
      </c>
      <c r="W173" s="3">
        <v>0</v>
      </c>
      <c r="X173" s="36">
        <f>Table1[[#This Row],[Reject Startup (kg)]]/Table1[[#This Row],[Material Used]]</f>
        <v>0</v>
      </c>
      <c r="Y173" s="3">
        <v>0</v>
      </c>
      <c r="Z173" s="36">
        <f>Table1[[#This Row],[Reject Prod (kg)]]/Table1[[#This Row],[Material Used]]</f>
        <v>0</v>
      </c>
      <c r="AA173" s="4">
        <v>22.5374355316162</v>
      </c>
      <c r="AB173" s="5">
        <v>12</v>
      </c>
      <c r="AC173" s="4" cm="1">
        <f t="array" ref="AC173">IFERROR(INDEX(ReferenceCard, MATCH(1, (INDEX(ReferenceCard,,1)=Table1[[#This Row],[SAP No]]) * (INDEX(ReferenceCard,,2)=Table1[[#This Row],[Mould No]]), 0), 9),)</f>
        <v>32.74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L173" s="2"/>
      <c r="AM173" s="2"/>
      <c r="AN173" s="3">
        <v>0</v>
      </c>
      <c r="AO173" s="3">
        <v>0</v>
      </c>
      <c r="AP17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4" spans="1:42" x14ac:dyDescent="0.35">
      <c r="A174" s="1">
        <v>46017</v>
      </c>
      <c r="B174">
        <v>2</v>
      </c>
      <c r="C174" t="s">
        <v>16</v>
      </c>
      <c r="D174" t="str" cm="1">
        <f t="array" ref="D174">IFERROR(INDEX(ReferenceCard, MATCH(1, (INDEX(ReferenceCard,,1)=Table1[[#This Row],[SAP No]]) * (INDEX(ReferenceCard,,2)=Table1[[#This Row],[Mould No]]), 0), 6),)</f>
        <v>PET</v>
      </c>
      <c r="E174">
        <v>324206</v>
      </c>
      <c r="F174">
        <v>0</v>
      </c>
      <c r="G174" t="str" cm="1">
        <f t="array" ref="G174">IFERROR(INDEX(ReferenceCard, MATCH(1, (INDEX(ReferenceCard,,1)=Table1[[#This Row],[SAP No]]) * (INDEX(ReferenceCard,,2)=Table1[[#This Row],[Mould No]]), 0), 3),)</f>
        <v>BX38-1000-HC-S-CL</v>
      </c>
      <c r="H174">
        <v>0</v>
      </c>
      <c r="I174" cm="1">
        <f t="array" ref="I174">IFERROR(INDEX(ReferenceCard, MATCH(1, (INDEX(ReferenceCard,,1)=Table1[[#This Row],[SAP No]]) * (INDEX(ReferenceCard,,2)=Table1[[#This Row],[Mould No]]), 0), 4),)</f>
        <v>4</v>
      </c>
      <c r="J174" s="4" cm="1">
        <f t="array" ref="J174">IFERROR(INDEX(ReferenceCard, MATCH(1, (INDEX(ReferenceCard,,1)=Table1[[#This Row],[SAP No]]) * (INDEX(ReferenceCard,,2)=Table1[[#This Row],[Mould No]]), 0), 9),)</f>
        <v>49</v>
      </c>
      <c r="K174" s="4" cm="1">
        <f t="array" ref="K174">IFERROR(INDEX(ReferenceCard, MATCH(1, (INDEX(ReferenceCard,,1)=Table1[[#This Row],[SAP No]]) * (INDEX(ReferenceCard,,2)=Table1[[#This Row],[Mould No]]), 0), 7),)</f>
        <v>48</v>
      </c>
      <c r="L174">
        <v>15753</v>
      </c>
      <c r="M174">
        <v>0</v>
      </c>
      <c r="N174">
        <v>0</v>
      </c>
      <c r="O174">
        <v>0</v>
      </c>
      <c r="P174">
        <f>Table1[[#This Row],[Shot]]*Table1[[#This Row],[Cav]]</f>
        <v>63012</v>
      </c>
      <c r="Q174">
        <v>0</v>
      </c>
      <c r="R174">
        <f>(Table1[[#This Row],[Part Weight (gm)]]*Table1[[#This Row],[Finish Good]])/1000</f>
        <v>0</v>
      </c>
      <c r="S174">
        <v>0</v>
      </c>
      <c r="T174">
        <f>IF(Table1[[#This Row],[Qty Order]]="Sample","-",IF(Table1[[#This Row],[Qty Order]]="RTFN","-",Table1[[#This Row],[Qty Order]]-Table1[[#This Row],[Qty Accumulate]]))</f>
        <v>0</v>
      </c>
      <c r="U174">
        <f>((Table1[[#This Row],[Shift Output]]*Table1[[#This Row],[Part Weight (gm)]])/1000)+Table1[[#This Row],[Reject Startup (kg)]]+Table1[[#This Row],[Reject Purging (kg)]]+Table1[[#This Row],[Reject Preform (kg)]]</f>
        <v>3024.576</v>
      </c>
      <c r="V174" s="37">
        <f>(Table1[[#This Row],[Gross Weight (gm)]]-Table1[[#This Row],[Part Weight (gm)]])*Table1[[#This Row],[Shift Output]]/1000</f>
        <v>63.012</v>
      </c>
      <c r="W174" s="3">
        <v>0</v>
      </c>
      <c r="X174" s="36">
        <f>Table1[[#This Row],[Reject Startup (kg)]]/Table1[[#This Row],[Material Used]]</f>
        <v>0</v>
      </c>
      <c r="Y174" s="3">
        <v>0</v>
      </c>
      <c r="Z174" s="36">
        <f>Table1[[#This Row],[Reject Prod (kg)]]/Table1[[#This Row],[Material Used]]</f>
        <v>0</v>
      </c>
      <c r="AA174" s="4">
        <v>0</v>
      </c>
      <c r="AB174" s="5">
        <v>9.5099999999999891</v>
      </c>
      <c r="AC174" s="4" cm="1">
        <f t="array" ref="AC174">IFERROR(INDEX(ReferenceCard, MATCH(1, (INDEX(ReferenceCard,,1)=Table1[[#This Row],[SAP No]]) * (INDEX(ReferenceCard,,2)=Table1[[#This Row],[Mould No]]), 0), 9),)</f>
        <v>49</v>
      </c>
      <c r="AD174" s="5">
        <v>0</v>
      </c>
      <c r="AE174" s="5">
        <v>0</v>
      </c>
      <c r="AF174" s="5">
        <v>0</v>
      </c>
      <c r="AG174" s="5">
        <v>0</v>
      </c>
      <c r="AH174" s="5">
        <v>2.4900000000000002</v>
      </c>
      <c r="AI174" s="5">
        <v>0</v>
      </c>
      <c r="AJ174" s="5">
        <v>0</v>
      </c>
      <c r="AL174" s="2"/>
      <c r="AM174" s="2"/>
      <c r="AN174" s="3">
        <v>0</v>
      </c>
      <c r="AO174" s="3">
        <v>0</v>
      </c>
      <c r="AP17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5" spans="1:42" x14ac:dyDescent="0.35">
      <c r="A175" s="1">
        <v>46017</v>
      </c>
      <c r="B175">
        <v>2</v>
      </c>
      <c r="C175" t="s">
        <v>23</v>
      </c>
      <c r="D175" t="str" cm="1">
        <f t="array" ref="D175">IFERROR(INDEX(ReferenceCard, MATCH(1, (INDEX(ReferenceCard,,1)=Table1[[#This Row],[SAP No]]) * (INDEX(ReferenceCard,,2)=Table1[[#This Row],[Mould No]]), 0), 6),)</f>
        <v>PPSB520Y</v>
      </c>
      <c r="E175">
        <v>586276</v>
      </c>
      <c r="F175">
        <v>2</v>
      </c>
      <c r="G175" t="str" cm="1">
        <f t="array" ref="G175">IFERROR(INDEX(ReferenceCard, MATCH(1, (INDEX(ReferenceCard,,1)=Table1[[#This Row],[SAP No]]) * (INDEX(ReferenceCard,,2)=Table1[[#This Row],[Mould No]]), 0), 3),)</f>
        <v>BC28-0056-D-APH-LEB-604001-MOLD2</v>
      </c>
      <c r="H175">
        <v>0</v>
      </c>
      <c r="I175" cm="1">
        <f t="array" ref="I175">IFERROR(INDEX(ReferenceCard, MATCH(1, (INDEX(ReferenceCard,,1)=Table1[[#This Row],[SAP No]]) * (INDEX(ReferenceCard,,2)=Table1[[#This Row],[Mould No]]), 0), 4),)</f>
        <v>6</v>
      </c>
      <c r="J175" s="4" cm="1">
        <f t="array" ref="J175">IFERROR(INDEX(ReferenceCard, MATCH(1, (INDEX(ReferenceCard,,1)=Table1[[#This Row],[SAP No]]) * (INDEX(ReferenceCard,,2)=Table1[[#This Row],[Mould No]]), 0), 9),)</f>
        <v>12.3</v>
      </c>
      <c r="K175" s="4" cm="1">
        <f t="array" ref="K175">IFERROR(INDEX(ReferenceCard, MATCH(1, (INDEX(ReferenceCard,,1)=Table1[[#This Row],[SAP No]]) * (INDEX(ReferenceCard,,2)=Table1[[#This Row],[Mould No]]), 0), 7),)</f>
        <v>12.3</v>
      </c>
      <c r="L175">
        <v>4936</v>
      </c>
      <c r="M175">
        <v>0</v>
      </c>
      <c r="N175">
        <v>0</v>
      </c>
      <c r="O175">
        <v>0</v>
      </c>
      <c r="P175">
        <f>Table1[[#This Row],[Shot]]*Table1[[#This Row],[Cav]]</f>
        <v>29616</v>
      </c>
      <c r="Q175">
        <v>0</v>
      </c>
      <c r="R175">
        <f>(Table1[[#This Row],[Part Weight (gm)]]*Table1[[#This Row],[Finish Good]])/1000</f>
        <v>0</v>
      </c>
      <c r="S175">
        <v>0</v>
      </c>
      <c r="T175">
        <f>IF(Table1[[#This Row],[Qty Order]]="Sample","-",IF(Table1[[#This Row],[Qty Order]]="RTFN","-",Table1[[#This Row],[Qty Order]]-Table1[[#This Row],[Qty Accumulate]]))</f>
        <v>0</v>
      </c>
      <c r="U175">
        <f>((Table1[[#This Row],[Shift Output]]*Table1[[#This Row],[Part Weight (gm)]])/1000)+Table1[[#This Row],[Reject Startup (kg)]]+Table1[[#This Row],[Reject Purging (kg)]]+Table1[[#This Row],[Reject Preform (kg)]]</f>
        <v>364.27680000000004</v>
      </c>
      <c r="V175" s="37">
        <f>(Table1[[#This Row],[Gross Weight (gm)]]-Table1[[#This Row],[Part Weight (gm)]])*Table1[[#This Row],[Shift Output]]/1000</f>
        <v>0</v>
      </c>
      <c r="W175" s="3">
        <v>0</v>
      </c>
      <c r="X175" s="36">
        <f>Table1[[#This Row],[Reject Startup (kg)]]/Table1[[#This Row],[Material Used]]</f>
        <v>0</v>
      </c>
      <c r="Y175" s="3">
        <v>0</v>
      </c>
      <c r="Z175" s="36">
        <f>Table1[[#This Row],[Reject Prod (kg)]]/Table1[[#This Row],[Material Used]]</f>
        <v>0</v>
      </c>
      <c r="AA175" s="4">
        <v>25.758071899413999</v>
      </c>
      <c r="AB175" s="5">
        <v>11.72</v>
      </c>
      <c r="AC175" s="4" cm="1">
        <f t="array" ref="AC175">IFERROR(INDEX(ReferenceCard, MATCH(1, (INDEX(ReferenceCard,,1)=Table1[[#This Row],[SAP No]]) * (INDEX(ReferenceCard,,2)=Table1[[#This Row],[Mould No]]), 0), 9),)</f>
        <v>12.3</v>
      </c>
      <c r="AD175" s="5">
        <v>0</v>
      </c>
      <c r="AE175" s="5">
        <v>0</v>
      </c>
      <c r="AF175" s="5">
        <v>0</v>
      </c>
      <c r="AG175" s="5">
        <v>0</v>
      </c>
      <c r="AH175" s="5">
        <v>0.28000000000000003</v>
      </c>
      <c r="AI175" s="5">
        <v>0</v>
      </c>
      <c r="AJ175" s="5">
        <v>0</v>
      </c>
      <c r="AL175" s="2"/>
      <c r="AM175" s="2"/>
      <c r="AN175" s="3">
        <v>0</v>
      </c>
      <c r="AO175" s="3">
        <v>0</v>
      </c>
      <c r="AP17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6" spans="1:42" x14ac:dyDescent="0.35">
      <c r="A176" s="1">
        <v>46017</v>
      </c>
      <c r="B176">
        <v>2</v>
      </c>
      <c r="C176" t="s">
        <v>25</v>
      </c>
      <c r="D176" t="str" cm="1">
        <f t="array" ref="D176">IFERROR(INDEX(ReferenceCard, MATCH(1, (INDEX(ReferenceCard,,1)=Table1[[#This Row],[SAP No]]) * (INDEX(ReferenceCard,,2)=Table1[[#This Row],[Mould No]]), 0), 6),)</f>
        <v>PET</v>
      </c>
      <c r="E176">
        <v>323133</v>
      </c>
      <c r="F176">
        <v>0</v>
      </c>
      <c r="G176" t="str" cm="1">
        <f t="array" ref="G176">IFERROR(INDEX(ReferenceCard, MATCH(1, (INDEX(ReferenceCard,,1)=Table1[[#This Row],[SAP No]]) * (INDEX(ReferenceCard,,2)=Table1[[#This Row],[Mould No]]), 0), 3),)</f>
        <v>BX38-2000-RH-R-CL(GREEN) (ASEM)</v>
      </c>
      <c r="H176">
        <v>0</v>
      </c>
      <c r="I176" cm="1">
        <f t="array" ref="I176">IFERROR(INDEX(ReferenceCard, MATCH(1, (INDEX(ReferenceCard,,1)=Table1[[#This Row],[SAP No]]) * (INDEX(ReferenceCard,,2)=Table1[[#This Row],[Mould No]]), 0), 4),)</f>
        <v>4</v>
      </c>
      <c r="J176" s="4" cm="1">
        <f t="array" ref="J176">IFERROR(INDEX(ReferenceCard, MATCH(1, (INDEX(ReferenceCard,,1)=Table1[[#This Row],[SAP No]]) * (INDEX(ReferenceCard,,2)=Table1[[#This Row],[Mould No]]), 0), 9),)</f>
        <v>77</v>
      </c>
      <c r="K176" s="4" cm="1">
        <f t="array" ref="K176">IFERROR(INDEX(ReferenceCard, MATCH(1, (INDEX(ReferenceCard,,1)=Table1[[#This Row],[SAP No]]) * (INDEX(ReferenceCard,,2)=Table1[[#This Row],[Mould No]]), 0), 7),)</f>
        <v>77</v>
      </c>
      <c r="L176">
        <v>37</v>
      </c>
      <c r="M176">
        <v>0</v>
      </c>
      <c r="N176">
        <v>0</v>
      </c>
      <c r="O176">
        <v>0</v>
      </c>
      <c r="P176">
        <f>Table1[[#This Row],[Shot]]*Table1[[#This Row],[Cav]]</f>
        <v>148</v>
      </c>
      <c r="Q176">
        <v>0</v>
      </c>
      <c r="R176">
        <f>(Table1[[#This Row],[Part Weight (gm)]]*Table1[[#This Row],[Finish Good]])/1000</f>
        <v>0</v>
      </c>
      <c r="S176">
        <v>0</v>
      </c>
      <c r="T176">
        <f>IF(Table1[[#This Row],[Qty Order]]="Sample","-",IF(Table1[[#This Row],[Qty Order]]="RTFN","-",Table1[[#This Row],[Qty Order]]-Table1[[#This Row],[Qty Accumulate]]))</f>
        <v>0</v>
      </c>
      <c r="U176">
        <f>((Table1[[#This Row],[Shift Output]]*Table1[[#This Row],[Part Weight (gm)]])/1000)+Table1[[#This Row],[Reject Startup (kg)]]+Table1[[#This Row],[Reject Purging (kg)]]+Table1[[#This Row],[Reject Preform (kg)]]</f>
        <v>11.396000000000001</v>
      </c>
      <c r="V176" s="37">
        <f>(Table1[[#This Row],[Gross Weight (gm)]]-Table1[[#This Row],[Part Weight (gm)]])*Table1[[#This Row],[Shift Output]]/1000</f>
        <v>0</v>
      </c>
      <c r="W176" s="3">
        <v>0</v>
      </c>
      <c r="X176" s="36">
        <f>Table1[[#This Row],[Reject Startup (kg)]]/Table1[[#This Row],[Material Used]]</f>
        <v>0</v>
      </c>
      <c r="Y176" s="3">
        <v>0</v>
      </c>
      <c r="Z176" s="36">
        <f>Table1[[#This Row],[Reject Prod (kg)]]/Table1[[#This Row],[Material Used]]</f>
        <v>0</v>
      </c>
      <c r="AA176" s="4">
        <v>0</v>
      </c>
      <c r="AB176" s="5">
        <v>0</v>
      </c>
      <c r="AC176" s="4" cm="1">
        <f t="array" ref="AC176">IFERROR(INDEX(ReferenceCard, MATCH(1, (INDEX(ReferenceCard,,1)=Table1[[#This Row],[SAP No]]) * (INDEX(ReferenceCard,,2)=Table1[[#This Row],[Mould No]]), 0), 9),)</f>
        <v>77</v>
      </c>
      <c r="AD176" s="5">
        <v>0</v>
      </c>
      <c r="AE176" s="5">
        <v>0</v>
      </c>
      <c r="AF176" s="5">
        <v>0</v>
      </c>
      <c r="AG176" s="5">
        <v>12</v>
      </c>
      <c r="AH176" s="5">
        <v>0</v>
      </c>
      <c r="AI176" s="5">
        <v>0</v>
      </c>
      <c r="AJ176" s="5">
        <v>0</v>
      </c>
      <c r="AK176" t="s">
        <v>45</v>
      </c>
      <c r="AL176" s="2"/>
      <c r="AM176" s="2"/>
      <c r="AN176" s="3">
        <v>0</v>
      </c>
      <c r="AO176" s="3">
        <v>0</v>
      </c>
      <c r="AP17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7" spans="1:42" x14ac:dyDescent="0.35">
      <c r="A177" s="1">
        <v>46017</v>
      </c>
      <c r="B177">
        <v>2</v>
      </c>
      <c r="C177" t="s">
        <v>27</v>
      </c>
      <c r="D177" t="str" cm="1">
        <f t="array" ref="D177">IFERROR(INDEX(ReferenceCard, MATCH(1, (INDEX(ReferenceCard,,1)=Table1[[#This Row],[SAP No]]) * (INDEX(ReferenceCard,,2)=Table1[[#This Row],[Mould No]]), 0), 6),)</f>
        <v>PPSB520Y</v>
      </c>
      <c r="E177">
        <v>552181</v>
      </c>
      <c r="F177">
        <v>4</v>
      </c>
      <c r="G177" t="str" cm="1">
        <f t="array" ref="G177">IFERROR(INDEX(ReferenceCard, MATCH(1, (INDEX(ReferenceCard,,1)=Table1[[#This Row],[SAP No]]) * (INDEX(ReferenceCard,,2)=Table1[[#This Row],[Mould No]]), 0), 3),)</f>
        <v>BC28-0090-D-APH-5180-3538-PP-6 NOTCHES-MOLD4</v>
      </c>
      <c r="H177">
        <v>0</v>
      </c>
      <c r="I177" cm="1">
        <f t="array" ref="I177">IFERROR(INDEX(ReferenceCard, MATCH(1, (INDEX(ReferenceCard,,1)=Table1[[#This Row],[SAP No]]) * (INDEX(ReferenceCard,,2)=Table1[[#This Row],[Mould No]]), 0), 4),)</f>
        <v>6</v>
      </c>
      <c r="J177" s="4" cm="1">
        <f t="array" ref="J177">IFERROR(INDEX(ReferenceCard, MATCH(1, (INDEX(ReferenceCard,,1)=Table1[[#This Row],[SAP No]]) * (INDEX(ReferenceCard,,2)=Table1[[#This Row],[Mould No]]), 0), 9),)</f>
        <v>18.8</v>
      </c>
      <c r="K177" s="4" cm="1">
        <f t="array" ref="K177">IFERROR(INDEX(ReferenceCard, MATCH(1, (INDEX(ReferenceCard,,1)=Table1[[#This Row],[SAP No]]) * (INDEX(ReferenceCard,,2)=Table1[[#This Row],[Mould No]]), 0), 7),)</f>
        <v>18.8</v>
      </c>
      <c r="L177">
        <v>1559</v>
      </c>
      <c r="M177">
        <v>0</v>
      </c>
      <c r="N177">
        <v>0</v>
      </c>
      <c r="O177">
        <v>0</v>
      </c>
      <c r="P177">
        <f>Table1[[#This Row],[Shot]]*Table1[[#This Row],[Cav]]</f>
        <v>9354</v>
      </c>
      <c r="Q177">
        <v>0</v>
      </c>
      <c r="R177">
        <f>(Table1[[#This Row],[Part Weight (gm)]]*Table1[[#This Row],[Finish Good]])/1000</f>
        <v>0</v>
      </c>
      <c r="S177">
        <v>0</v>
      </c>
      <c r="T177">
        <f>IF(Table1[[#This Row],[Qty Order]]="Sample","-",IF(Table1[[#This Row],[Qty Order]]="RTFN","-",Table1[[#This Row],[Qty Order]]-Table1[[#This Row],[Qty Accumulate]]))</f>
        <v>0</v>
      </c>
      <c r="U177">
        <f>((Table1[[#This Row],[Shift Output]]*Table1[[#This Row],[Part Weight (gm)]])/1000)+Table1[[#This Row],[Reject Startup (kg)]]+Table1[[#This Row],[Reject Purging (kg)]]+Table1[[#This Row],[Reject Preform (kg)]]</f>
        <v>175.85520000000002</v>
      </c>
      <c r="V177" s="37">
        <f>(Table1[[#This Row],[Gross Weight (gm)]]-Table1[[#This Row],[Part Weight (gm)]])*Table1[[#This Row],[Shift Output]]/1000</f>
        <v>0</v>
      </c>
      <c r="W177" s="3">
        <v>0</v>
      </c>
      <c r="X177" s="36">
        <f>Table1[[#This Row],[Reject Startup (kg)]]/Table1[[#This Row],[Material Used]]</f>
        <v>0</v>
      </c>
      <c r="Y177" s="3">
        <v>0</v>
      </c>
      <c r="Z177" s="36">
        <f>Table1[[#This Row],[Reject Prod (kg)]]/Table1[[#This Row],[Material Used]]</f>
        <v>0</v>
      </c>
      <c r="AA177" s="4">
        <v>27.710084915161101</v>
      </c>
      <c r="AB177" s="5">
        <v>12</v>
      </c>
      <c r="AC177" s="4" cm="1">
        <f t="array" ref="AC177">IFERROR(INDEX(ReferenceCard, MATCH(1, (INDEX(ReferenceCard,,1)=Table1[[#This Row],[SAP No]]) * (INDEX(ReferenceCard,,2)=Table1[[#This Row],[Mould No]]), 0), 9),)</f>
        <v>18.8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L177" s="2"/>
      <c r="AM177" s="2"/>
      <c r="AN177" s="3">
        <v>0</v>
      </c>
      <c r="AO177" s="3">
        <v>0</v>
      </c>
      <c r="AP17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8" spans="1:42" x14ac:dyDescent="0.35">
      <c r="A178" s="1">
        <v>46017</v>
      </c>
      <c r="B178">
        <v>2</v>
      </c>
      <c r="C178" t="s">
        <v>29</v>
      </c>
      <c r="D178" t="str" cm="1">
        <f t="array" ref="D178">IFERROR(INDEX(ReferenceCard, MATCH(1, (INDEX(ReferenceCard,,1)=Table1[[#This Row],[SAP No]]) * (INDEX(ReferenceCard,,2)=Table1[[#This Row],[Mould No]]), 0), 6),)</f>
        <v>PET</v>
      </c>
      <c r="E178">
        <v>620599</v>
      </c>
      <c r="F178">
        <v>0</v>
      </c>
      <c r="G178" t="str" cm="1">
        <f t="array" ref="G178">IFERROR(INDEX(ReferenceCard, MATCH(1, (INDEX(ReferenceCard,,1)=Table1[[#This Row],[SAP No]]) * (INDEX(ReferenceCard,,2)=Table1[[#This Row],[Mould No]]), 0), 3),)</f>
        <v>BC28-0750-K4-R-CL (55g)</v>
      </c>
      <c r="H178">
        <v>0</v>
      </c>
      <c r="I178" cm="1">
        <f t="array" ref="I178">IFERROR(INDEX(ReferenceCard, MATCH(1, (INDEX(ReferenceCard,,1)=Table1[[#This Row],[SAP No]]) * (INDEX(ReferenceCard,,2)=Table1[[#This Row],[Mould No]]), 0), 4),)</f>
        <v>4</v>
      </c>
      <c r="J178" s="4" cm="1">
        <f t="array" ref="J178">IFERROR(INDEX(ReferenceCard, MATCH(1, (INDEX(ReferenceCard,,1)=Table1[[#This Row],[SAP No]]) * (INDEX(ReferenceCard,,2)=Table1[[#This Row],[Mould No]]), 0), 9),)</f>
        <v>55</v>
      </c>
      <c r="K178" s="4" cm="1">
        <f t="array" ref="K178">IFERROR(INDEX(ReferenceCard, MATCH(1, (INDEX(ReferenceCard,,1)=Table1[[#This Row],[SAP No]]) * (INDEX(ReferenceCard,,2)=Table1[[#This Row],[Mould No]]), 0), 7),)</f>
        <v>55</v>
      </c>
      <c r="L178">
        <v>10589</v>
      </c>
      <c r="M178">
        <v>0</v>
      </c>
      <c r="N178">
        <v>0</v>
      </c>
      <c r="O178">
        <v>0</v>
      </c>
      <c r="P178">
        <f>Table1[[#This Row],[Shot]]*Table1[[#This Row],[Cav]]</f>
        <v>42356</v>
      </c>
      <c r="Q178">
        <v>0</v>
      </c>
      <c r="R178">
        <f>(Table1[[#This Row],[Part Weight (gm)]]*Table1[[#This Row],[Finish Good]])/1000</f>
        <v>0</v>
      </c>
      <c r="S178">
        <v>0</v>
      </c>
      <c r="T178">
        <f>IF(Table1[[#This Row],[Qty Order]]="Sample","-",IF(Table1[[#This Row],[Qty Order]]="RTFN","-",Table1[[#This Row],[Qty Order]]-Table1[[#This Row],[Qty Accumulate]]))</f>
        <v>0</v>
      </c>
      <c r="U178">
        <f>((Table1[[#This Row],[Shift Output]]*Table1[[#This Row],[Part Weight (gm)]])/1000)+Table1[[#This Row],[Reject Startup (kg)]]+Table1[[#This Row],[Reject Purging (kg)]]+Table1[[#This Row],[Reject Preform (kg)]]</f>
        <v>2329.58</v>
      </c>
      <c r="V178" s="37">
        <f>(Table1[[#This Row],[Gross Weight (gm)]]-Table1[[#This Row],[Part Weight (gm)]])*Table1[[#This Row],[Shift Output]]/1000</f>
        <v>0</v>
      </c>
      <c r="W178" s="3">
        <v>0</v>
      </c>
      <c r="X178" s="36">
        <f>Table1[[#This Row],[Reject Startup (kg)]]/Table1[[#This Row],[Material Used]]</f>
        <v>0</v>
      </c>
      <c r="Y178" s="3">
        <v>0</v>
      </c>
      <c r="Z178" s="36">
        <f>Table1[[#This Row],[Reject Prod (kg)]]/Table1[[#This Row],[Material Used]]</f>
        <v>0</v>
      </c>
      <c r="AA178" s="4">
        <v>28.272748947143501</v>
      </c>
      <c r="AB178" s="5">
        <v>11.65</v>
      </c>
      <c r="AC178" s="4" cm="1">
        <f t="array" ref="AC178">IFERROR(INDEX(ReferenceCard, MATCH(1, (INDEX(ReferenceCard,,1)=Table1[[#This Row],[SAP No]]) * (INDEX(ReferenceCard,,2)=Table1[[#This Row],[Mould No]]), 0), 9),)</f>
        <v>55</v>
      </c>
      <c r="AD178" s="5">
        <v>0</v>
      </c>
      <c r="AE178" s="5">
        <v>0</v>
      </c>
      <c r="AF178" s="5">
        <v>0</v>
      </c>
      <c r="AG178" s="5">
        <v>0</v>
      </c>
      <c r="AH178" s="5">
        <v>0.34999999999999898</v>
      </c>
      <c r="AI178" s="5">
        <v>0</v>
      </c>
      <c r="AJ178" s="5">
        <v>0</v>
      </c>
      <c r="AL178" s="2"/>
      <c r="AM178" s="2"/>
      <c r="AN178" s="3">
        <v>0</v>
      </c>
      <c r="AO178" s="3">
        <v>0</v>
      </c>
      <c r="AP17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79" spans="1:42" x14ac:dyDescent="0.35">
      <c r="A179" s="1">
        <v>46017</v>
      </c>
      <c r="B179">
        <v>2</v>
      </c>
      <c r="C179" t="s">
        <v>31</v>
      </c>
      <c r="D179" t="str" cm="1">
        <f t="array" ref="D179">IFERROR(INDEX(ReferenceCard, MATCH(1, (INDEX(ReferenceCard,,1)=Table1[[#This Row],[SAP No]]) * (INDEX(ReferenceCard,,2)=Table1[[#This Row],[Mould No]]), 0), 6),)</f>
        <v>PPSB520Y</v>
      </c>
      <c r="E179">
        <v>586276</v>
      </c>
      <c r="F179">
        <v>4</v>
      </c>
      <c r="G179" t="str" cm="1">
        <f t="array" ref="G179">IFERROR(INDEX(ReferenceCard, MATCH(1, (INDEX(ReferenceCard,,1)=Table1[[#This Row],[SAP No]]) * (INDEX(ReferenceCard,,2)=Table1[[#This Row],[Mould No]]), 0), 3),)</f>
        <v>BC28-0056-D-APH-LEB-604001-MOLD4</v>
      </c>
      <c r="H179">
        <v>0</v>
      </c>
      <c r="I179" cm="1">
        <f t="array" ref="I179">IFERROR(INDEX(ReferenceCard, MATCH(1, (INDEX(ReferenceCard,,1)=Table1[[#This Row],[SAP No]]) * (INDEX(ReferenceCard,,2)=Table1[[#This Row],[Mould No]]), 0), 4),)</f>
        <v>6</v>
      </c>
      <c r="J179" s="4" cm="1">
        <f t="array" ref="J179">IFERROR(INDEX(ReferenceCard, MATCH(1, (INDEX(ReferenceCard,,1)=Table1[[#This Row],[SAP No]]) * (INDEX(ReferenceCard,,2)=Table1[[#This Row],[Mould No]]), 0), 9),)</f>
        <v>12.3</v>
      </c>
      <c r="K179" s="4" cm="1">
        <f t="array" ref="K179">IFERROR(INDEX(ReferenceCard, MATCH(1, (INDEX(ReferenceCard,,1)=Table1[[#This Row],[SAP No]]) * (INDEX(ReferenceCard,,2)=Table1[[#This Row],[Mould No]]), 0), 7),)</f>
        <v>12.3</v>
      </c>
      <c r="L179">
        <v>1479</v>
      </c>
      <c r="M179">
        <v>0</v>
      </c>
      <c r="N179">
        <v>0</v>
      </c>
      <c r="O179">
        <v>0</v>
      </c>
      <c r="P179">
        <f>Table1[[#This Row],[Shot]]*Table1[[#This Row],[Cav]]</f>
        <v>8874</v>
      </c>
      <c r="Q179">
        <v>0</v>
      </c>
      <c r="R179">
        <f>(Table1[[#This Row],[Part Weight (gm)]]*Table1[[#This Row],[Finish Good]])/1000</f>
        <v>0</v>
      </c>
      <c r="S179">
        <v>0</v>
      </c>
      <c r="T179">
        <f>IF(Table1[[#This Row],[Qty Order]]="Sample","-",IF(Table1[[#This Row],[Qty Order]]="RTFN","-",Table1[[#This Row],[Qty Order]]-Table1[[#This Row],[Qty Accumulate]]))</f>
        <v>0</v>
      </c>
      <c r="U179">
        <f>((Table1[[#This Row],[Shift Output]]*Table1[[#This Row],[Part Weight (gm)]])/1000)+Table1[[#This Row],[Reject Startup (kg)]]+Table1[[#This Row],[Reject Purging (kg)]]+Table1[[#This Row],[Reject Preform (kg)]]</f>
        <v>109.15020000000001</v>
      </c>
      <c r="V179" s="37">
        <f>(Table1[[#This Row],[Gross Weight (gm)]]-Table1[[#This Row],[Part Weight (gm)]])*Table1[[#This Row],[Shift Output]]/1000</f>
        <v>0</v>
      </c>
      <c r="W179" s="3">
        <v>0</v>
      </c>
      <c r="X179" s="36">
        <f>Table1[[#This Row],[Reject Startup (kg)]]/Table1[[#This Row],[Material Used]]</f>
        <v>0</v>
      </c>
      <c r="Y179" s="3">
        <v>0</v>
      </c>
      <c r="Z179" s="36">
        <f>Table1[[#This Row],[Reject Prod (kg)]]/Table1[[#This Row],[Material Used]]</f>
        <v>0</v>
      </c>
      <c r="AA179" s="4">
        <v>26.3311672210693</v>
      </c>
      <c r="AB179" s="5">
        <v>11.97</v>
      </c>
      <c r="AC179" s="4" cm="1">
        <f t="array" ref="AC179">IFERROR(INDEX(ReferenceCard, MATCH(1, (INDEX(ReferenceCard,,1)=Table1[[#This Row],[SAP No]]) * (INDEX(ReferenceCard,,2)=Table1[[#This Row],[Mould No]]), 0), 9),)</f>
        <v>12.3</v>
      </c>
      <c r="AD179" s="5">
        <v>0</v>
      </c>
      <c r="AE179" s="5">
        <v>0</v>
      </c>
      <c r="AF179" s="5">
        <v>0</v>
      </c>
      <c r="AG179" s="5">
        <v>0</v>
      </c>
      <c r="AH179" s="5">
        <v>2.9999999999999898E-2</v>
      </c>
      <c r="AI179" s="5">
        <v>0</v>
      </c>
      <c r="AJ179" s="5">
        <v>0</v>
      </c>
      <c r="AL179" s="2"/>
      <c r="AM179" s="2"/>
      <c r="AN179" s="3">
        <v>0</v>
      </c>
      <c r="AO179" s="3">
        <v>0</v>
      </c>
      <c r="AP17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0" spans="1:42" x14ac:dyDescent="0.35">
      <c r="A180" s="1">
        <v>46017</v>
      </c>
      <c r="B180">
        <v>2</v>
      </c>
      <c r="C180" t="s">
        <v>33</v>
      </c>
      <c r="D180" t="str" cm="1">
        <f t="array" ref="D180">IFERROR(INDEX(ReferenceCard, MATCH(1, (INDEX(ReferenceCard,,1)=Table1[[#This Row],[SAP No]]) * (INDEX(ReferenceCard,,2)=Table1[[#This Row],[Mould No]]), 0), 6),)</f>
        <v>PET</v>
      </c>
      <c r="E180">
        <v>541381</v>
      </c>
      <c r="F180">
        <v>0</v>
      </c>
      <c r="G180" t="str" cm="1">
        <f t="array" ref="G180">IFERROR(INDEX(ReferenceCard, MATCH(1, (INDEX(ReferenceCard,,1)=Table1[[#This Row],[SAP No]]) * (INDEX(ReferenceCard,,2)=Table1[[#This Row],[Mould No]]), 0), 3),)</f>
        <v>BC28-1200-K-R-CL</v>
      </c>
      <c r="H180">
        <v>0</v>
      </c>
      <c r="I180" cm="1">
        <f t="array" ref="I180">IFERROR(INDEX(ReferenceCard, MATCH(1, (INDEX(ReferenceCard,,1)=Table1[[#This Row],[SAP No]]) * (INDEX(ReferenceCard,,2)=Table1[[#This Row],[Mould No]]), 0), 4),)</f>
        <v>4</v>
      </c>
      <c r="J180" s="4" cm="1">
        <f t="array" ref="J180">IFERROR(INDEX(ReferenceCard, MATCH(1, (INDEX(ReferenceCard,,1)=Table1[[#This Row],[SAP No]]) * (INDEX(ReferenceCard,,2)=Table1[[#This Row],[Mould No]]), 0), 9),)</f>
        <v>55</v>
      </c>
      <c r="K180" s="4" cm="1">
        <f t="array" ref="K180">IFERROR(INDEX(ReferenceCard, MATCH(1, (INDEX(ReferenceCard,,1)=Table1[[#This Row],[SAP No]]) * (INDEX(ReferenceCard,,2)=Table1[[#This Row],[Mould No]]), 0), 7),)</f>
        <v>55</v>
      </c>
      <c r="L180">
        <v>1947</v>
      </c>
      <c r="M180">
        <v>0</v>
      </c>
      <c r="N180">
        <v>0</v>
      </c>
      <c r="O180">
        <v>0</v>
      </c>
      <c r="P180">
        <f>Table1[[#This Row],[Shot]]*Table1[[#This Row],[Cav]]</f>
        <v>7788</v>
      </c>
      <c r="Q180">
        <v>0</v>
      </c>
      <c r="R180">
        <f>(Table1[[#This Row],[Part Weight (gm)]]*Table1[[#This Row],[Finish Good]])/1000</f>
        <v>0</v>
      </c>
      <c r="S180">
        <v>0</v>
      </c>
      <c r="T180">
        <f>IF(Table1[[#This Row],[Qty Order]]="Sample","-",IF(Table1[[#This Row],[Qty Order]]="RTFN","-",Table1[[#This Row],[Qty Order]]-Table1[[#This Row],[Qty Accumulate]]))</f>
        <v>0</v>
      </c>
      <c r="U180">
        <f>((Table1[[#This Row],[Shift Output]]*Table1[[#This Row],[Part Weight (gm)]])/1000)+Table1[[#This Row],[Reject Startup (kg)]]+Table1[[#This Row],[Reject Purging (kg)]]+Table1[[#This Row],[Reject Preform (kg)]]</f>
        <v>428.34</v>
      </c>
      <c r="V180" s="37">
        <f>(Table1[[#This Row],[Gross Weight (gm)]]-Table1[[#This Row],[Part Weight (gm)]])*Table1[[#This Row],[Shift Output]]/1000</f>
        <v>0</v>
      </c>
      <c r="W180" s="3">
        <v>0</v>
      </c>
      <c r="X180" s="36">
        <f>Table1[[#This Row],[Reject Startup (kg)]]/Table1[[#This Row],[Material Used]]</f>
        <v>0</v>
      </c>
      <c r="Y180" s="3">
        <v>0</v>
      </c>
      <c r="Z180" s="36">
        <f>Table1[[#This Row],[Reject Prod (kg)]]/Table1[[#This Row],[Material Used]]</f>
        <v>0</v>
      </c>
      <c r="AA180" s="4">
        <v>43.450454711913999</v>
      </c>
      <c r="AB180" s="5">
        <v>11.31</v>
      </c>
      <c r="AC180" s="4" cm="1">
        <f t="array" ref="AC180">IFERROR(INDEX(ReferenceCard, MATCH(1, (INDEX(ReferenceCard,,1)=Table1[[#This Row],[SAP No]]) * (INDEX(ReferenceCard,,2)=Table1[[#This Row],[Mould No]]), 0), 9),)</f>
        <v>55</v>
      </c>
      <c r="AD180" s="5">
        <v>0</v>
      </c>
      <c r="AE180" s="5">
        <v>0</v>
      </c>
      <c r="AF180" s="5">
        <v>0</v>
      </c>
      <c r="AG180" s="5">
        <v>0</v>
      </c>
      <c r="AH180" s="5">
        <v>0.68999999999999895</v>
      </c>
      <c r="AI180" s="5">
        <v>0</v>
      </c>
      <c r="AJ180" s="5">
        <v>0</v>
      </c>
      <c r="AL180" s="2"/>
      <c r="AM180" s="2"/>
      <c r="AN180" s="3">
        <v>0</v>
      </c>
      <c r="AO180" s="3">
        <v>0</v>
      </c>
      <c r="AP18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1" spans="1:42" x14ac:dyDescent="0.35">
      <c r="A181" s="1">
        <v>46017</v>
      </c>
      <c r="B181">
        <v>2</v>
      </c>
      <c r="C181" t="s">
        <v>35</v>
      </c>
      <c r="D181" t="str" cm="1">
        <f t="array" ref="D181">IFERROR(INDEX(ReferenceCard, MATCH(1, (INDEX(ReferenceCard,,1)=Table1[[#This Row],[SAP No]]) * (INDEX(ReferenceCard,,2)=Table1[[#This Row],[Mould No]]), 0), 6),)</f>
        <v>PPSB520Y</v>
      </c>
      <c r="E181">
        <v>552181</v>
      </c>
      <c r="F181">
        <v>1</v>
      </c>
      <c r="G181" t="str" cm="1">
        <f t="array" ref="G181">IFERROR(INDEX(ReferenceCard, MATCH(1, (INDEX(ReferenceCard,,1)=Table1[[#This Row],[SAP No]]) * (INDEX(ReferenceCard,,2)=Table1[[#This Row],[Mould No]]), 0), 3),)</f>
        <v>BC28-0090-D-APH-5180-3538-PP-6 NOTCHES-MOLD1</v>
      </c>
      <c r="H181">
        <v>0</v>
      </c>
      <c r="I181" cm="1">
        <f t="array" ref="I181">IFERROR(INDEX(ReferenceCard, MATCH(1, (INDEX(ReferenceCard,,1)=Table1[[#This Row],[SAP No]]) * (INDEX(ReferenceCard,,2)=Table1[[#This Row],[Mould No]]), 0), 4),)</f>
        <v>6</v>
      </c>
      <c r="J181" s="4" cm="1">
        <f t="array" ref="J181">IFERROR(INDEX(ReferenceCard, MATCH(1, (INDEX(ReferenceCard,,1)=Table1[[#This Row],[SAP No]]) * (INDEX(ReferenceCard,,2)=Table1[[#This Row],[Mould No]]), 0), 9),)</f>
        <v>18.8</v>
      </c>
      <c r="K181" s="4" cm="1">
        <f t="array" ref="K181">IFERROR(INDEX(ReferenceCard, MATCH(1, (INDEX(ReferenceCard,,1)=Table1[[#This Row],[SAP No]]) * (INDEX(ReferenceCard,,2)=Table1[[#This Row],[Mould No]]), 0), 7),)</f>
        <v>18.8</v>
      </c>
      <c r="L181">
        <v>1379</v>
      </c>
      <c r="M181">
        <v>0</v>
      </c>
      <c r="N181">
        <v>0</v>
      </c>
      <c r="O181">
        <v>0</v>
      </c>
      <c r="P181">
        <f>Table1[[#This Row],[Shot]]*Table1[[#This Row],[Cav]]</f>
        <v>8274</v>
      </c>
      <c r="Q181">
        <v>0</v>
      </c>
      <c r="R181">
        <f>(Table1[[#This Row],[Part Weight (gm)]]*Table1[[#This Row],[Finish Good]])/1000</f>
        <v>0</v>
      </c>
      <c r="S181">
        <v>0</v>
      </c>
      <c r="T181">
        <f>IF(Table1[[#This Row],[Qty Order]]="Sample","-",IF(Table1[[#This Row],[Qty Order]]="RTFN","-",Table1[[#This Row],[Qty Order]]-Table1[[#This Row],[Qty Accumulate]]))</f>
        <v>0</v>
      </c>
      <c r="U181">
        <f>((Table1[[#This Row],[Shift Output]]*Table1[[#This Row],[Part Weight (gm)]])/1000)+Table1[[#This Row],[Reject Startup (kg)]]+Table1[[#This Row],[Reject Purging (kg)]]+Table1[[#This Row],[Reject Preform (kg)]]</f>
        <v>155.55120000000002</v>
      </c>
      <c r="V181" s="37">
        <f>(Table1[[#This Row],[Gross Weight (gm)]]-Table1[[#This Row],[Part Weight (gm)]])*Table1[[#This Row],[Shift Output]]/1000</f>
        <v>0</v>
      </c>
      <c r="W181" s="3">
        <v>0</v>
      </c>
      <c r="X181" s="36">
        <f>Table1[[#This Row],[Reject Startup (kg)]]/Table1[[#This Row],[Material Used]]</f>
        <v>0</v>
      </c>
      <c r="Y181" s="3">
        <v>0</v>
      </c>
      <c r="Z181" s="36">
        <f>Table1[[#This Row],[Reject Prod (kg)]]/Table1[[#This Row],[Material Used]]</f>
        <v>0</v>
      </c>
      <c r="AA181" s="4">
        <v>31.305223464965799</v>
      </c>
      <c r="AB181" s="5">
        <v>12</v>
      </c>
      <c r="AC181" s="4" cm="1">
        <f t="array" ref="AC181">IFERROR(INDEX(ReferenceCard, MATCH(1, (INDEX(ReferenceCard,,1)=Table1[[#This Row],[SAP No]]) * (INDEX(ReferenceCard,,2)=Table1[[#This Row],[Mould No]]), 0), 9),)</f>
        <v>18.8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L181" s="2"/>
      <c r="AM181" s="2"/>
      <c r="AN181" s="3">
        <v>0</v>
      </c>
      <c r="AO181" s="3">
        <v>0</v>
      </c>
      <c r="AP18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2" spans="1:42" x14ac:dyDescent="0.35">
      <c r="A182" s="1">
        <v>46017</v>
      </c>
      <c r="B182">
        <v>2</v>
      </c>
      <c r="C182" t="s">
        <v>18</v>
      </c>
      <c r="D182" t="str" cm="1">
        <f t="array" ref="D182">IFERROR(INDEX(ReferenceCard, MATCH(1, (INDEX(ReferenceCard,,1)=Table1[[#This Row],[SAP No]]) * (INDEX(ReferenceCard,,2)=Table1[[#This Row],[Mould No]]), 0), 6),)</f>
        <v>PPSB520Y</v>
      </c>
      <c r="E182">
        <v>555979</v>
      </c>
      <c r="F182">
        <v>4</v>
      </c>
      <c r="G182" t="str" cm="1">
        <f t="array" ref="G182">IFERROR(INDEX(ReferenceCard, MATCH(1, (INDEX(ReferenceCard,,1)=Table1[[#This Row],[SAP No]]) * (INDEX(ReferenceCard,,2)=Table1[[#This Row],[Mould No]]), 0), 3),)</f>
        <v>BC28-0170-D-APH-5180-3539-PP-6 NOTCHES-MOLD4</v>
      </c>
      <c r="H182">
        <v>0</v>
      </c>
      <c r="I182" cm="1">
        <f t="array" ref="I182">IFERROR(INDEX(ReferenceCard, MATCH(1, (INDEX(ReferenceCard,,1)=Table1[[#This Row],[SAP No]]) * (INDEX(ReferenceCard,,2)=Table1[[#This Row],[Mould No]]), 0), 4),)</f>
        <v>6</v>
      </c>
      <c r="J182" s="4" cm="1">
        <f t="array" ref="J182">IFERROR(INDEX(ReferenceCard, MATCH(1, (INDEX(ReferenceCard,,1)=Table1[[#This Row],[SAP No]]) * (INDEX(ReferenceCard,,2)=Table1[[#This Row],[Mould No]]), 0), 9),)</f>
        <v>28</v>
      </c>
      <c r="K182" s="4" cm="1">
        <f t="array" ref="K182">IFERROR(INDEX(ReferenceCard, MATCH(1, (INDEX(ReferenceCard,,1)=Table1[[#This Row],[SAP No]]) * (INDEX(ReferenceCard,,2)=Table1[[#This Row],[Mould No]]), 0), 7),)</f>
        <v>28</v>
      </c>
      <c r="L182">
        <v>970</v>
      </c>
      <c r="M182">
        <v>0</v>
      </c>
      <c r="N182">
        <v>0</v>
      </c>
      <c r="O182">
        <v>0</v>
      </c>
      <c r="P182">
        <f>Table1[[#This Row],[Shot]]*Table1[[#This Row],[Cav]]</f>
        <v>5820</v>
      </c>
      <c r="Q182">
        <v>0</v>
      </c>
      <c r="R182">
        <f>(Table1[[#This Row],[Part Weight (gm)]]*Table1[[#This Row],[Finish Good]])/1000</f>
        <v>0</v>
      </c>
      <c r="S182">
        <v>0</v>
      </c>
      <c r="T182">
        <f>IF(Table1[[#This Row],[Qty Order]]="Sample","-",IF(Table1[[#This Row],[Qty Order]]="RTFN","-",Table1[[#This Row],[Qty Order]]-Table1[[#This Row],[Qty Accumulate]]))</f>
        <v>0</v>
      </c>
      <c r="U182">
        <f>((Table1[[#This Row],[Shift Output]]*Table1[[#This Row],[Part Weight (gm)]])/1000)+Table1[[#This Row],[Reject Startup (kg)]]+Table1[[#This Row],[Reject Purging (kg)]]+Table1[[#This Row],[Reject Preform (kg)]]</f>
        <v>162.96</v>
      </c>
      <c r="V182" s="37">
        <f>(Table1[[#This Row],[Gross Weight (gm)]]-Table1[[#This Row],[Part Weight (gm)]])*Table1[[#This Row],[Shift Output]]/1000</f>
        <v>0</v>
      </c>
      <c r="W182" s="3">
        <v>0</v>
      </c>
      <c r="X182" s="36">
        <f>Table1[[#This Row],[Reject Startup (kg)]]/Table1[[#This Row],[Material Used]]</f>
        <v>0</v>
      </c>
      <c r="Y182" s="3">
        <v>0</v>
      </c>
      <c r="Z182" s="36">
        <f>Table1[[#This Row],[Reject Prod (kg)]]/Table1[[#This Row],[Material Used]]</f>
        <v>0</v>
      </c>
      <c r="AA182" s="4">
        <v>43.5</v>
      </c>
      <c r="AB182" s="5">
        <v>12</v>
      </c>
      <c r="AC182" s="4" cm="1">
        <f t="array" ref="AC182">IFERROR(INDEX(ReferenceCard, MATCH(1, (INDEX(ReferenceCard,,1)=Table1[[#This Row],[SAP No]]) * (INDEX(ReferenceCard,,2)=Table1[[#This Row],[Mould No]]), 0), 9),)</f>
        <v>28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L182" s="2"/>
      <c r="AM182" s="2"/>
      <c r="AN182" s="3">
        <v>0</v>
      </c>
      <c r="AO182" s="3">
        <v>0</v>
      </c>
      <c r="AP18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3" spans="1:42" x14ac:dyDescent="0.35">
      <c r="A183" s="1">
        <v>46017</v>
      </c>
      <c r="B183">
        <v>2</v>
      </c>
      <c r="C183" t="s">
        <v>5</v>
      </c>
      <c r="D183" t="str" cm="1">
        <f t="array" ref="D183">IFERROR(INDEX(ReferenceCard, MATCH(1, (INDEX(ReferenceCard,,1)=Table1[[#This Row],[SAP No]]) * (INDEX(ReferenceCard,,2)=Table1[[#This Row],[Mould No]]), 0), 6),)</f>
        <v>PET</v>
      </c>
      <c r="E183">
        <v>543590</v>
      </c>
      <c r="F183">
        <v>0</v>
      </c>
      <c r="G183" t="str" cm="1">
        <f t="array" ref="G183">IFERROR(INDEX(ReferenceCard, MATCH(1, (INDEX(ReferenceCard,,1)=Table1[[#This Row],[SAP No]]) * (INDEX(ReferenceCard,,2)=Table1[[#This Row],[Mould No]]), 0), 3),)</f>
        <v>BC28-0130-R-R-AM</v>
      </c>
      <c r="H183">
        <v>0</v>
      </c>
      <c r="I183" cm="1">
        <f t="array" ref="I183">IFERROR(INDEX(ReferenceCard, MATCH(1, (INDEX(ReferenceCard,,1)=Table1[[#This Row],[SAP No]]) * (INDEX(ReferenceCard,,2)=Table1[[#This Row],[Mould No]]), 0), 4),)</f>
        <v>4</v>
      </c>
      <c r="J183" s="4" cm="1">
        <f t="array" ref="J183">IFERROR(INDEX(ReferenceCard, MATCH(1, (INDEX(ReferenceCard,,1)=Table1[[#This Row],[SAP No]]) * (INDEX(ReferenceCard,,2)=Table1[[#This Row],[Mould No]]), 0), 9),)</f>
        <v>19</v>
      </c>
      <c r="K183" s="4" cm="1">
        <f t="array" ref="K183">IFERROR(INDEX(ReferenceCard, MATCH(1, (INDEX(ReferenceCard,,1)=Table1[[#This Row],[SAP No]]) * (INDEX(ReferenceCard,,2)=Table1[[#This Row],[Mould No]]), 0), 7),)</f>
        <v>19</v>
      </c>
      <c r="L183">
        <v>1676</v>
      </c>
      <c r="M183">
        <v>0</v>
      </c>
      <c r="N183">
        <v>0</v>
      </c>
      <c r="O183">
        <v>0</v>
      </c>
      <c r="P183">
        <f>Table1[[#This Row],[Shot]]*Table1[[#This Row],[Cav]]</f>
        <v>6704</v>
      </c>
      <c r="Q183">
        <v>0</v>
      </c>
      <c r="R183">
        <f>(Table1[[#This Row],[Part Weight (gm)]]*Table1[[#This Row],[Finish Good]])/1000</f>
        <v>0</v>
      </c>
      <c r="S183">
        <v>0</v>
      </c>
      <c r="T183">
        <f>IF(Table1[[#This Row],[Qty Order]]="Sample","-",IF(Table1[[#This Row],[Qty Order]]="RTFN","-",Table1[[#This Row],[Qty Order]]-Table1[[#This Row],[Qty Accumulate]]))</f>
        <v>0</v>
      </c>
      <c r="U183">
        <f>((Table1[[#This Row],[Shift Output]]*Table1[[#This Row],[Part Weight (gm)]])/1000)+Table1[[#This Row],[Reject Startup (kg)]]+Table1[[#This Row],[Reject Purging (kg)]]+Table1[[#This Row],[Reject Preform (kg)]]</f>
        <v>127.376</v>
      </c>
      <c r="V183" s="37">
        <f>(Table1[[#This Row],[Gross Weight (gm)]]-Table1[[#This Row],[Part Weight (gm)]])*Table1[[#This Row],[Shift Output]]/1000</f>
        <v>0</v>
      </c>
      <c r="W183" s="3">
        <v>0</v>
      </c>
      <c r="X183" s="36">
        <f>Table1[[#This Row],[Reject Startup (kg)]]/Table1[[#This Row],[Material Used]]</f>
        <v>0</v>
      </c>
      <c r="Y183" s="3">
        <v>0</v>
      </c>
      <c r="Z183" s="36">
        <f>Table1[[#This Row],[Reject Prod (kg)]]/Table1[[#This Row],[Material Used]]</f>
        <v>0</v>
      </c>
      <c r="AA183" s="4">
        <v>25.781478881835898</v>
      </c>
      <c r="AB183" s="5">
        <v>12</v>
      </c>
      <c r="AC183" s="4" cm="1">
        <f t="array" ref="AC183">IFERROR(INDEX(ReferenceCard, MATCH(1, (INDEX(ReferenceCard,,1)=Table1[[#This Row],[SAP No]]) * (INDEX(ReferenceCard,,2)=Table1[[#This Row],[Mould No]]), 0), 9),)</f>
        <v>19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L183" s="2"/>
      <c r="AM183" s="2"/>
      <c r="AN183" s="3">
        <v>0</v>
      </c>
      <c r="AO183" s="3">
        <v>0</v>
      </c>
      <c r="AP18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4" spans="1:42" x14ac:dyDescent="0.35">
      <c r="A184" s="1">
        <v>46017</v>
      </c>
      <c r="B184">
        <v>2</v>
      </c>
      <c r="C184" t="s">
        <v>9</v>
      </c>
      <c r="D184" t="str" cm="1">
        <f t="array" ref="D184">IFERROR(INDEX(ReferenceCard, MATCH(1, (INDEX(ReferenceCard,,1)=Table1[[#This Row],[SAP No]]) * (INDEX(ReferenceCard,,2)=Table1[[#This Row],[Mould No]]), 0), 6),)</f>
        <v>PET</v>
      </c>
      <c r="E184">
        <v>322451</v>
      </c>
      <c r="F184">
        <v>0</v>
      </c>
      <c r="G184" t="str" cm="1">
        <f t="array" ref="G184">IFERROR(INDEX(ReferenceCard, MATCH(1, (INDEX(ReferenceCard,,1)=Table1[[#This Row],[SAP No]]) * (INDEX(ReferenceCard,,2)=Table1[[#This Row],[Mould No]]), 0), 3),)</f>
        <v>BC28-0500-WNHP-R-BR</v>
      </c>
      <c r="H184">
        <v>0</v>
      </c>
      <c r="I184" cm="1">
        <f t="array" ref="I184">IFERROR(INDEX(ReferenceCard, MATCH(1, (INDEX(ReferenceCard,,1)=Table1[[#This Row],[SAP No]]) * (INDEX(ReferenceCard,,2)=Table1[[#This Row],[Mould No]]), 0), 4),)</f>
        <v>4</v>
      </c>
      <c r="J184" s="4" cm="1">
        <f t="array" ref="J184">IFERROR(INDEX(ReferenceCard, MATCH(1, (INDEX(ReferenceCard,,1)=Table1[[#This Row],[SAP No]]) * (INDEX(ReferenceCard,,2)=Table1[[#This Row],[Mould No]]), 0), 9),)</f>
        <v>45.6</v>
      </c>
      <c r="K184" s="4" cm="1">
        <f t="array" ref="K184">IFERROR(INDEX(ReferenceCard, MATCH(1, (INDEX(ReferenceCard,,1)=Table1[[#This Row],[SAP No]]) * (INDEX(ReferenceCard,,2)=Table1[[#This Row],[Mould No]]), 0), 7),)</f>
        <v>45.6</v>
      </c>
      <c r="L184">
        <v>1562</v>
      </c>
      <c r="M184">
        <v>0</v>
      </c>
      <c r="N184">
        <v>0</v>
      </c>
      <c r="O184">
        <v>0</v>
      </c>
      <c r="P184">
        <f>Table1[[#This Row],[Shot]]*Table1[[#This Row],[Cav]]</f>
        <v>6248</v>
      </c>
      <c r="Q184">
        <v>0</v>
      </c>
      <c r="R184">
        <f>(Table1[[#This Row],[Part Weight (gm)]]*Table1[[#This Row],[Finish Good]])/1000</f>
        <v>0</v>
      </c>
      <c r="S184">
        <v>0</v>
      </c>
      <c r="T184">
        <f>IF(Table1[[#This Row],[Qty Order]]="Sample","-",IF(Table1[[#This Row],[Qty Order]]="RTFN","-",Table1[[#This Row],[Qty Order]]-Table1[[#This Row],[Qty Accumulate]]))</f>
        <v>0</v>
      </c>
      <c r="U184">
        <f>((Table1[[#This Row],[Shift Output]]*Table1[[#This Row],[Part Weight (gm)]])/1000)+Table1[[#This Row],[Reject Startup (kg)]]+Table1[[#This Row],[Reject Purging (kg)]]+Table1[[#This Row],[Reject Preform (kg)]]</f>
        <v>284.90879999999999</v>
      </c>
      <c r="V184" s="37">
        <f>(Table1[[#This Row],[Gross Weight (gm)]]-Table1[[#This Row],[Part Weight (gm)]])*Table1[[#This Row],[Shift Output]]/1000</f>
        <v>0</v>
      </c>
      <c r="W184" s="3">
        <v>0</v>
      </c>
      <c r="X184" s="36">
        <f>Table1[[#This Row],[Reject Startup (kg)]]/Table1[[#This Row],[Material Used]]</f>
        <v>0</v>
      </c>
      <c r="Y184" s="3">
        <v>0</v>
      </c>
      <c r="Z184" s="36">
        <f>Table1[[#This Row],[Reject Prod (kg)]]/Table1[[#This Row],[Material Used]]</f>
        <v>0</v>
      </c>
      <c r="AA184" s="4">
        <v>22.730495452880799</v>
      </c>
      <c r="AB184" s="5">
        <v>11.85</v>
      </c>
      <c r="AC184" s="4" cm="1">
        <f t="array" ref="AC184">IFERROR(INDEX(ReferenceCard, MATCH(1, (INDEX(ReferenceCard,,1)=Table1[[#This Row],[SAP No]]) * (INDEX(ReferenceCard,,2)=Table1[[#This Row],[Mould No]]), 0), 9),)</f>
        <v>45.6</v>
      </c>
      <c r="AD184" s="5">
        <v>0</v>
      </c>
      <c r="AE184" s="5">
        <v>0</v>
      </c>
      <c r="AF184" s="5">
        <v>0</v>
      </c>
      <c r="AG184" s="5">
        <v>0</v>
      </c>
      <c r="AH184" s="5">
        <v>0.149999999999999</v>
      </c>
      <c r="AI184" s="5">
        <v>0</v>
      </c>
      <c r="AJ184" s="5">
        <v>0</v>
      </c>
      <c r="AL184" s="2"/>
      <c r="AM184" s="2"/>
      <c r="AN184" s="3">
        <v>0</v>
      </c>
      <c r="AO184" s="3">
        <v>0</v>
      </c>
      <c r="AP18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5" spans="1:42" x14ac:dyDescent="0.35">
      <c r="A185" s="1">
        <v>46017</v>
      </c>
      <c r="B185">
        <v>2</v>
      </c>
      <c r="C185" t="s">
        <v>7</v>
      </c>
      <c r="D185" t="str" cm="1">
        <f t="array" ref="D185">IFERROR(INDEX(ReferenceCard, MATCH(1, (INDEX(ReferenceCard,,1)=Table1[[#This Row],[SAP No]]) * (INDEX(ReferenceCard,,2)=Table1[[#This Row],[Mould No]]), 0), 6),)</f>
        <v>PET</v>
      </c>
      <c r="E185">
        <v>451191</v>
      </c>
      <c r="F185">
        <v>0</v>
      </c>
      <c r="G185" t="str" cm="1">
        <f t="array" ref="G185">IFERROR(INDEX(ReferenceCard, MATCH(1, (INDEX(ReferenceCard,,1)=Table1[[#This Row],[SAP No]]) * (INDEX(ReferenceCard,,2)=Table1[[#This Row],[Mould No]]), 0), 3),)</f>
        <v>BX38-0350-Z-C-CL</v>
      </c>
      <c r="H185">
        <v>0</v>
      </c>
      <c r="I185" cm="1">
        <f t="array" ref="I185">IFERROR(INDEX(ReferenceCard, MATCH(1, (INDEX(ReferenceCard,,1)=Table1[[#This Row],[SAP No]]) * (INDEX(ReferenceCard,,2)=Table1[[#This Row],[Mould No]]), 0), 4),)</f>
        <v>4</v>
      </c>
      <c r="J185" s="4" cm="1">
        <f t="array" ref="J185">IFERROR(INDEX(ReferenceCard, MATCH(1, (INDEX(ReferenceCard,,1)=Table1[[#This Row],[SAP No]]) * (INDEX(ReferenceCard,,2)=Table1[[#This Row],[Mould No]]), 0), 9),)</f>
        <v>29</v>
      </c>
      <c r="K185" s="4" cm="1">
        <f t="array" ref="K185">IFERROR(INDEX(ReferenceCard, MATCH(1, (INDEX(ReferenceCard,,1)=Table1[[#This Row],[SAP No]]) * (INDEX(ReferenceCard,,2)=Table1[[#This Row],[Mould No]]), 0), 7),)</f>
        <v>29</v>
      </c>
      <c r="L185">
        <v>2990</v>
      </c>
      <c r="M185">
        <v>0</v>
      </c>
      <c r="N185">
        <v>0</v>
      </c>
      <c r="O185">
        <v>0</v>
      </c>
      <c r="P185">
        <f>Table1[[#This Row],[Shot]]*Table1[[#This Row],[Cav]]</f>
        <v>11960</v>
      </c>
      <c r="Q185">
        <v>0</v>
      </c>
      <c r="R185">
        <f>(Table1[[#This Row],[Part Weight (gm)]]*Table1[[#This Row],[Finish Good]])/1000</f>
        <v>0</v>
      </c>
      <c r="S185">
        <v>0</v>
      </c>
      <c r="T185">
        <f>IF(Table1[[#This Row],[Qty Order]]="Sample","-",IF(Table1[[#This Row],[Qty Order]]="RTFN","-",Table1[[#This Row],[Qty Order]]-Table1[[#This Row],[Qty Accumulate]]))</f>
        <v>0</v>
      </c>
      <c r="U185">
        <f>((Table1[[#This Row],[Shift Output]]*Table1[[#This Row],[Part Weight (gm)]])/1000)+Table1[[#This Row],[Reject Startup (kg)]]+Table1[[#This Row],[Reject Purging (kg)]]+Table1[[#This Row],[Reject Preform (kg)]]</f>
        <v>346.84</v>
      </c>
      <c r="V185" s="37">
        <f>(Table1[[#This Row],[Gross Weight (gm)]]-Table1[[#This Row],[Part Weight (gm)]])*Table1[[#This Row],[Shift Output]]/1000</f>
        <v>0</v>
      </c>
      <c r="W185" s="3">
        <v>0</v>
      </c>
      <c r="X185" s="36">
        <f>Table1[[#This Row],[Reject Startup (kg)]]/Table1[[#This Row],[Material Used]]</f>
        <v>0</v>
      </c>
      <c r="Y185" s="3">
        <v>0</v>
      </c>
      <c r="Z185" s="36">
        <f>Table1[[#This Row],[Reject Prod (kg)]]/Table1[[#This Row],[Material Used]]</f>
        <v>0</v>
      </c>
      <c r="AA185" s="4">
        <v>24.9323825836181</v>
      </c>
      <c r="AB185" s="5">
        <v>11.99</v>
      </c>
      <c r="AC185" s="4" cm="1">
        <f t="array" ref="AC185">IFERROR(INDEX(ReferenceCard, MATCH(1, (INDEX(ReferenceCard,,1)=Table1[[#This Row],[SAP No]]) * (INDEX(ReferenceCard,,2)=Table1[[#This Row],[Mould No]]), 0), 9),)</f>
        <v>29</v>
      </c>
      <c r="AD185" s="5">
        <v>0</v>
      </c>
      <c r="AE185" s="5">
        <v>0</v>
      </c>
      <c r="AF185" s="5">
        <v>0</v>
      </c>
      <c r="AG185" s="5">
        <v>0</v>
      </c>
      <c r="AH185" s="5">
        <v>0.01</v>
      </c>
      <c r="AI185" s="5">
        <v>0</v>
      </c>
      <c r="AJ185" s="5">
        <v>0</v>
      </c>
      <c r="AL185" s="2"/>
      <c r="AM185" s="2"/>
      <c r="AN185" s="3">
        <v>0</v>
      </c>
      <c r="AO185" s="3">
        <v>0</v>
      </c>
      <c r="AP18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6" spans="1:42" x14ac:dyDescent="0.35">
      <c r="A186" s="1">
        <v>46017</v>
      </c>
      <c r="B186">
        <v>1</v>
      </c>
      <c r="C186" t="s">
        <v>0</v>
      </c>
      <c r="D186" t="str" cm="1">
        <f t="array" ref="D186">IFERROR(INDEX(ReferenceCard, MATCH(1, (INDEX(ReferenceCard,,1)=Table1[[#This Row],[SAP No]]) * (INDEX(ReferenceCard,,2)=Table1[[#This Row],[Mould No]]), 0), 6),)</f>
        <v>PET</v>
      </c>
      <c r="E186">
        <v>347623</v>
      </c>
      <c r="F186">
        <v>0</v>
      </c>
      <c r="G186" t="str" cm="1">
        <f t="array" ref="G186">IFERROR(INDEX(ReferenceCard, MATCH(1, (INDEX(ReferenceCard,,1)=Table1[[#This Row],[SAP No]]) * (INDEX(ReferenceCard,,2)=Table1[[#This Row],[Mould No]]), 0), 3),)</f>
        <v>BC28-0375-K-R-CL</v>
      </c>
      <c r="H186">
        <v>0</v>
      </c>
      <c r="I186" cm="1">
        <f t="array" ref="I186">IFERROR(INDEX(ReferenceCard, MATCH(1, (INDEX(ReferenceCard,,1)=Table1[[#This Row],[SAP No]]) * (INDEX(ReferenceCard,,2)=Table1[[#This Row],[Mould No]]), 0), 4),)</f>
        <v>4</v>
      </c>
      <c r="J186" s="4" cm="1">
        <f t="array" ref="J186">IFERROR(INDEX(ReferenceCard, MATCH(1, (INDEX(ReferenceCard,,1)=Table1[[#This Row],[SAP No]]) * (INDEX(ReferenceCard,,2)=Table1[[#This Row],[Mould No]]), 0), 9),)</f>
        <v>35.6</v>
      </c>
      <c r="K186" s="4" cm="1">
        <f t="array" ref="K186">IFERROR(INDEX(ReferenceCard, MATCH(1, (INDEX(ReferenceCard,,1)=Table1[[#This Row],[SAP No]]) * (INDEX(ReferenceCard,,2)=Table1[[#This Row],[Mould No]]), 0), 7),)</f>
        <v>35.6</v>
      </c>
      <c r="L186">
        <v>1452</v>
      </c>
      <c r="M186">
        <v>0</v>
      </c>
      <c r="N186">
        <v>0</v>
      </c>
      <c r="O186">
        <v>0</v>
      </c>
      <c r="P186">
        <f>Table1[[#This Row],[Shot]]*Table1[[#This Row],[Cav]]</f>
        <v>5808</v>
      </c>
      <c r="Q186">
        <v>0</v>
      </c>
      <c r="R186">
        <f>(Table1[[#This Row],[Part Weight (gm)]]*Table1[[#This Row],[Finish Good]])/1000</f>
        <v>0</v>
      </c>
      <c r="S186">
        <v>0</v>
      </c>
      <c r="T186">
        <f>IF(Table1[[#This Row],[Qty Order]]="Sample","-",IF(Table1[[#This Row],[Qty Order]]="RTFN","-",Table1[[#This Row],[Qty Order]]-Table1[[#This Row],[Qty Accumulate]]))</f>
        <v>0</v>
      </c>
      <c r="U186">
        <f>((Table1[[#This Row],[Shift Output]]*Table1[[#This Row],[Part Weight (gm)]])/1000)+Table1[[#This Row],[Reject Startup (kg)]]+Table1[[#This Row],[Reject Purging (kg)]]+Table1[[#This Row],[Reject Preform (kg)]]</f>
        <v>206.76480000000001</v>
      </c>
      <c r="V186" s="37">
        <f>(Table1[[#This Row],[Gross Weight (gm)]]-Table1[[#This Row],[Part Weight (gm)]])*Table1[[#This Row],[Shift Output]]/1000</f>
        <v>0</v>
      </c>
      <c r="W186" s="3">
        <v>0</v>
      </c>
      <c r="X186" s="36">
        <f>Table1[[#This Row],[Reject Startup (kg)]]/Table1[[#This Row],[Material Used]]</f>
        <v>0</v>
      </c>
      <c r="Y186" s="3">
        <v>0</v>
      </c>
      <c r="Z186" s="36">
        <f>Table1[[#This Row],[Reject Prod (kg)]]/Table1[[#This Row],[Material Used]]</f>
        <v>0</v>
      </c>
      <c r="AA186" s="4">
        <v>26.798963546752901</v>
      </c>
      <c r="AB186" s="5">
        <v>12</v>
      </c>
      <c r="AC186" s="4" cm="1">
        <f t="array" ref="AC186">IFERROR(INDEX(ReferenceCard, MATCH(1, (INDEX(ReferenceCard,,1)=Table1[[#This Row],[SAP No]]) * (INDEX(ReferenceCard,,2)=Table1[[#This Row],[Mould No]]), 0), 9),)</f>
        <v>35.6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L186" s="2"/>
      <c r="AM186" s="2"/>
      <c r="AN186" s="3">
        <v>0</v>
      </c>
      <c r="AO186" s="3">
        <v>0</v>
      </c>
      <c r="AP18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7" spans="1:42" x14ac:dyDescent="0.35">
      <c r="A187" s="1">
        <v>46017</v>
      </c>
      <c r="B187">
        <v>1</v>
      </c>
      <c r="C187" t="s">
        <v>3</v>
      </c>
      <c r="D187" t="str" cm="1">
        <f t="array" ref="D187">IFERROR(INDEX(ReferenceCard, MATCH(1, (INDEX(ReferenceCard,,1)=Table1[[#This Row],[SAP No]]) * (INDEX(ReferenceCard,,2)=Table1[[#This Row],[Mould No]]), 0), 6),)</f>
        <v>PET</v>
      </c>
      <c r="E187">
        <v>423215</v>
      </c>
      <c r="F187">
        <v>0</v>
      </c>
      <c r="G187" t="str" cm="1">
        <f t="array" ref="G187">IFERROR(INDEX(ReferenceCard, MATCH(1, (INDEX(ReferenceCard,,1)=Table1[[#This Row],[SAP No]]) * (INDEX(ReferenceCard,,2)=Table1[[#This Row],[Mould No]]), 0), 3),)</f>
        <v>BC28-0355-SCC-A-Q-CL</v>
      </c>
      <c r="H187">
        <v>0</v>
      </c>
      <c r="I187" cm="1">
        <f t="array" ref="I187">IFERROR(INDEX(ReferenceCard, MATCH(1, (INDEX(ReferenceCard,,1)=Table1[[#This Row],[SAP No]]) * (INDEX(ReferenceCard,,2)=Table1[[#This Row],[Mould No]]), 0), 4),)</f>
        <v>4</v>
      </c>
      <c r="J187" s="4" cm="1">
        <f t="array" ref="J187">IFERROR(INDEX(ReferenceCard, MATCH(1, (INDEX(ReferenceCard,,1)=Table1[[#This Row],[SAP No]]) * (INDEX(ReferenceCard,,2)=Table1[[#This Row],[Mould No]]), 0), 9),)</f>
        <v>24</v>
      </c>
      <c r="K187" s="4" cm="1">
        <f t="array" ref="K187">IFERROR(INDEX(ReferenceCard, MATCH(1, (INDEX(ReferenceCard,,1)=Table1[[#This Row],[SAP No]]) * (INDEX(ReferenceCard,,2)=Table1[[#This Row],[Mould No]]), 0), 7),)</f>
        <v>24</v>
      </c>
      <c r="L187">
        <v>29765</v>
      </c>
      <c r="M187">
        <v>0</v>
      </c>
      <c r="N187">
        <v>0</v>
      </c>
      <c r="O187">
        <v>0</v>
      </c>
      <c r="P187">
        <f>Table1[[#This Row],[Shot]]*Table1[[#This Row],[Cav]]</f>
        <v>119060</v>
      </c>
      <c r="Q187">
        <v>0</v>
      </c>
      <c r="R187">
        <f>(Table1[[#This Row],[Part Weight (gm)]]*Table1[[#This Row],[Finish Good]])/1000</f>
        <v>0</v>
      </c>
      <c r="S187">
        <v>0</v>
      </c>
      <c r="T187">
        <f>IF(Table1[[#This Row],[Qty Order]]="Sample","-",IF(Table1[[#This Row],[Qty Order]]="RTFN","-",Table1[[#This Row],[Qty Order]]-Table1[[#This Row],[Qty Accumulate]]))</f>
        <v>0</v>
      </c>
      <c r="U187">
        <f>((Table1[[#This Row],[Shift Output]]*Table1[[#This Row],[Part Weight (gm)]])/1000)+Table1[[#This Row],[Reject Startup (kg)]]+Table1[[#This Row],[Reject Purging (kg)]]+Table1[[#This Row],[Reject Preform (kg)]]</f>
        <v>2857.44</v>
      </c>
      <c r="V187" s="37">
        <f>(Table1[[#This Row],[Gross Weight (gm)]]-Table1[[#This Row],[Part Weight (gm)]])*Table1[[#This Row],[Shift Output]]/1000</f>
        <v>0</v>
      </c>
      <c r="W187" s="3">
        <v>0</v>
      </c>
      <c r="X187" s="36">
        <f>Table1[[#This Row],[Reject Startup (kg)]]/Table1[[#This Row],[Material Used]]</f>
        <v>0</v>
      </c>
      <c r="Y187" s="3">
        <v>0</v>
      </c>
      <c r="Z187" s="36">
        <f>Table1[[#This Row],[Reject Prod (kg)]]/Table1[[#This Row],[Material Used]]</f>
        <v>0</v>
      </c>
      <c r="AA187" s="4">
        <v>25.813676834106399</v>
      </c>
      <c r="AB187" s="5">
        <v>7.75</v>
      </c>
      <c r="AC187" s="4" cm="1">
        <f t="array" ref="AC187">IFERROR(INDEX(ReferenceCard, MATCH(1, (INDEX(ReferenceCard,,1)=Table1[[#This Row],[SAP No]]) * (INDEX(ReferenceCard,,2)=Table1[[#This Row],[Mould No]]), 0), 9),)</f>
        <v>24</v>
      </c>
      <c r="AD187" s="5">
        <v>0</v>
      </c>
      <c r="AE187" s="5">
        <v>0</v>
      </c>
      <c r="AF187" s="5">
        <v>0</v>
      </c>
      <c r="AG187" s="5">
        <v>0</v>
      </c>
      <c r="AH187" s="5">
        <v>4.25</v>
      </c>
      <c r="AI187" s="5">
        <v>0</v>
      </c>
      <c r="AJ187" s="5">
        <v>0</v>
      </c>
      <c r="AL187" s="2"/>
      <c r="AM187" s="2"/>
      <c r="AN187" s="3">
        <v>0</v>
      </c>
      <c r="AO187" s="3">
        <v>0</v>
      </c>
      <c r="AP18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8" spans="1:42" x14ac:dyDescent="0.35">
      <c r="A188" s="1">
        <v>46017</v>
      </c>
      <c r="B188">
        <v>1</v>
      </c>
      <c r="C188" t="s">
        <v>5</v>
      </c>
      <c r="D188" t="str" cm="1">
        <f t="array" ref="D188">IFERROR(INDEX(ReferenceCard, MATCH(1, (INDEX(ReferenceCard,,1)=Table1[[#This Row],[SAP No]]) * (INDEX(ReferenceCard,,2)=Table1[[#This Row],[Mould No]]), 0), 6),)</f>
        <v>PET</v>
      </c>
      <c r="E188">
        <v>543590</v>
      </c>
      <c r="F188">
        <v>0</v>
      </c>
      <c r="G188" t="str" cm="1">
        <f t="array" ref="G188">IFERROR(INDEX(ReferenceCard, MATCH(1, (INDEX(ReferenceCard,,1)=Table1[[#This Row],[SAP No]]) * (INDEX(ReferenceCard,,2)=Table1[[#This Row],[Mould No]]), 0), 3),)</f>
        <v>BC28-0130-R-R-AM</v>
      </c>
      <c r="H188">
        <v>0</v>
      </c>
      <c r="I188" cm="1">
        <f t="array" ref="I188">IFERROR(INDEX(ReferenceCard, MATCH(1, (INDEX(ReferenceCard,,1)=Table1[[#This Row],[SAP No]]) * (INDEX(ReferenceCard,,2)=Table1[[#This Row],[Mould No]]), 0), 4),)</f>
        <v>4</v>
      </c>
      <c r="J188" s="4" cm="1">
        <f t="array" ref="J188">IFERROR(INDEX(ReferenceCard, MATCH(1, (INDEX(ReferenceCard,,1)=Table1[[#This Row],[SAP No]]) * (INDEX(ReferenceCard,,2)=Table1[[#This Row],[Mould No]]), 0), 9),)</f>
        <v>19</v>
      </c>
      <c r="K188" s="4" cm="1">
        <f t="array" ref="K188">IFERROR(INDEX(ReferenceCard, MATCH(1, (INDEX(ReferenceCard,,1)=Table1[[#This Row],[SAP No]]) * (INDEX(ReferenceCard,,2)=Table1[[#This Row],[Mould No]]), 0), 7),)</f>
        <v>19</v>
      </c>
      <c r="L188">
        <v>1673</v>
      </c>
      <c r="M188">
        <v>0</v>
      </c>
      <c r="N188">
        <v>0</v>
      </c>
      <c r="O188">
        <v>0</v>
      </c>
      <c r="P188">
        <f>Table1[[#This Row],[Shot]]*Table1[[#This Row],[Cav]]</f>
        <v>6692</v>
      </c>
      <c r="Q188">
        <v>0</v>
      </c>
      <c r="R188">
        <f>(Table1[[#This Row],[Part Weight (gm)]]*Table1[[#This Row],[Finish Good]])/1000</f>
        <v>0</v>
      </c>
      <c r="S188">
        <v>0</v>
      </c>
      <c r="T188">
        <f>IF(Table1[[#This Row],[Qty Order]]="Sample","-",IF(Table1[[#This Row],[Qty Order]]="RTFN","-",Table1[[#This Row],[Qty Order]]-Table1[[#This Row],[Qty Accumulate]]))</f>
        <v>0</v>
      </c>
      <c r="U188">
        <f>((Table1[[#This Row],[Shift Output]]*Table1[[#This Row],[Part Weight (gm)]])/1000)+Table1[[#This Row],[Reject Startup (kg)]]+Table1[[#This Row],[Reject Purging (kg)]]+Table1[[#This Row],[Reject Preform (kg)]]</f>
        <v>127.148</v>
      </c>
      <c r="V188" s="37">
        <f>(Table1[[#This Row],[Gross Weight (gm)]]-Table1[[#This Row],[Part Weight (gm)]])*Table1[[#This Row],[Shift Output]]/1000</f>
        <v>0</v>
      </c>
      <c r="W188" s="3">
        <v>0</v>
      </c>
      <c r="X188" s="36">
        <f>Table1[[#This Row],[Reject Startup (kg)]]/Table1[[#This Row],[Material Used]]</f>
        <v>0</v>
      </c>
      <c r="Y188" s="3">
        <v>0</v>
      </c>
      <c r="Z188" s="36">
        <f>Table1[[#This Row],[Reject Prod (kg)]]/Table1[[#This Row],[Material Used]]</f>
        <v>0</v>
      </c>
      <c r="AA188" s="4">
        <v>25.815483093261701</v>
      </c>
      <c r="AB188" s="5">
        <v>12</v>
      </c>
      <c r="AC188" s="4" cm="1">
        <f t="array" ref="AC188">IFERROR(INDEX(ReferenceCard, MATCH(1, (INDEX(ReferenceCard,,1)=Table1[[#This Row],[SAP No]]) * (INDEX(ReferenceCard,,2)=Table1[[#This Row],[Mould No]]), 0), 9),)</f>
        <v>19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L188" s="2"/>
      <c r="AM188" s="2"/>
      <c r="AN188" s="3">
        <v>0</v>
      </c>
      <c r="AO188" s="3">
        <v>0</v>
      </c>
      <c r="AP18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89" spans="1:42" x14ac:dyDescent="0.35">
      <c r="A189" s="1">
        <v>46017</v>
      </c>
      <c r="B189">
        <v>1</v>
      </c>
      <c r="C189" t="s">
        <v>7</v>
      </c>
      <c r="D189" t="str" cm="1">
        <f t="array" ref="D189">IFERROR(INDEX(ReferenceCard, MATCH(1, (INDEX(ReferenceCard,,1)=Table1[[#This Row],[SAP No]]) * (INDEX(ReferenceCard,,2)=Table1[[#This Row],[Mould No]]), 0), 6),)</f>
        <v>PET</v>
      </c>
      <c r="E189">
        <v>451191</v>
      </c>
      <c r="F189">
        <v>0</v>
      </c>
      <c r="G189" t="str" cm="1">
        <f t="array" ref="G189">IFERROR(INDEX(ReferenceCard, MATCH(1, (INDEX(ReferenceCard,,1)=Table1[[#This Row],[SAP No]]) * (INDEX(ReferenceCard,,2)=Table1[[#This Row],[Mould No]]), 0), 3),)</f>
        <v>BX38-0350-Z-C-CL</v>
      </c>
      <c r="H189">
        <v>0</v>
      </c>
      <c r="I189" cm="1">
        <f t="array" ref="I189">IFERROR(INDEX(ReferenceCard, MATCH(1, (INDEX(ReferenceCard,,1)=Table1[[#This Row],[SAP No]]) * (INDEX(ReferenceCard,,2)=Table1[[#This Row],[Mould No]]), 0), 4),)</f>
        <v>4</v>
      </c>
      <c r="J189" s="4" cm="1">
        <f t="array" ref="J189">IFERROR(INDEX(ReferenceCard, MATCH(1, (INDEX(ReferenceCard,,1)=Table1[[#This Row],[SAP No]]) * (INDEX(ReferenceCard,,2)=Table1[[#This Row],[Mould No]]), 0), 9),)</f>
        <v>29</v>
      </c>
      <c r="K189" s="4" cm="1">
        <f t="array" ref="K189">IFERROR(INDEX(ReferenceCard, MATCH(1, (INDEX(ReferenceCard,,1)=Table1[[#This Row],[SAP No]]) * (INDEX(ReferenceCard,,2)=Table1[[#This Row],[Mould No]]), 0), 7),)</f>
        <v>29</v>
      </c>
      <c r="L189">
        <v>1807</v>
      </c>
      <c r="M189">
        <v>0</v>
      </c>
      <c r="N189">
        <v>0</v>
      </c>
      <c r="O189">
        <v>0</v>
      </c>
      <c r="P189">
        <f>Table1[[#This Row],[Shot]]*Table1[[#This Row],[Cav]]</f>
        <v>7228</v>
      </c>
      <c r="Q189">
        <v>0</v>
      </c>
      <c r="R189">
        <f>(Table1[[#This Row],[Part Weight (gm)]]*Table1[[#This Row],[Finish Good]])/1000</f>
        <v>0</v>
      </c>
      <c r="S189">
        <v>0</v>
      </c>
      <c r="T189">
        <f>IF(Table1[[#This Row],[Qty Order]]="Sample","-",IF(Table1[[#This Row],[Qty Order]]="RTFN","-",Table1[[#This Row],[Qty Order]]-Table1[[#This Row],[Qty Accumulate]]))</f>
        <v>0</v>
      </c>
      <c r="U189">
        <f>((Table1[[#This Row],[Shift Output]]*Table1[[#This Row],[Part Weight (gm)]])/1000)+Table1[[#This Row],[Reject Startup (kg)]]+Table1[[#This Row],[Reject Purging (kg)]]+Table1[[#This Row],[Reject Preform (kg)]]</f>
        <v>209.61199999999999</v>
      </c>
      <c r="V189" s="37">
        <f>(Table1[[#This Row],[Gross Weight (gm)]]-Table1[[#This Row],[Part Weight (gm)]])*Table1[[#This Row],[Shift Output]]/1000</f>
        <v>0</v>
      </c>
      <c r="W189" s="3">
        <v>0</v>
      </c>
      <c r="X189" s="36">
        <f>Table1[[#This Row],[Reject Startup (kg)]]/Table1[[#This Row],[Material Used]]</f>
        <v>0</v>
      </c>
      <c r="Y189" s="3">
        <v>0</v>
      </c>
      <c r="Z189" s="36">
        <f>Table1[[#This Row],[Reject Prod (kg)]]/Table1[[#This Row],[Material Used]]</f>
        <v>0</v>
      </c>
      <c r="AA189" s="4">
        <v>23.899906158447202</v>
      </c>
      <c r="AB189" s="5">
        <v>12</v>
      </c>
      <c r="AC189" s="4" cm="1">
        <f t="array" ref="AC189">IFERROR(INDEX(ReferenceCard, MATCH(1, (INDEX(ReferenceCard,,1)=Table1[[#This Row],[SAP No]]) * (INDEX(ReferenceCard,,2)=Table1[[#This Row],[Mould No]]), 0), 9),)</f>
        <v>29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L189" s="2"/>
      <c r="AM189" s="2"/>
      <c r="AN189" s="3">
        <v>0</v>
      </c>
      <c r="AO189" s="3">
        <v>0</v>
      </c>
      <c r="AP18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0" spans="1:42" x14ac:dyDescent="0.35">
      <c r="A190" s="1">
        <v>46017</v>
      </c>
      <c r="B190">
        <v>1</v>
      </c>
      <c r="C190" t="s">
        <v>9</v>
      </c>
      <c r="D190" t="str" cm="1">
        <f t="array" ref="D190">IFERROR(INDEX(ReferenceCard, MATCH(1, (INDEX(ReferenceCard,,1)=Table1[[#This Row],[SAP No]]) * (INDEX(ReferenceCard,,2)=Table1[[#This Row],[Mould No]]), 0), 6),)</f>
        <v>PET</v>
      </c>
      <c r="E190">
        <v>322451</v>
      </c>
      <c r="F190">
        <v>0</v>
      </c>
      <c r="G190" t="str" cm="1">
        <f t="array" ref="G190">IFERROR(INDEX(ReferenceCard, MATCH(1, (INDEX(ReferenceCard,,1)=Table1[[#This Row],[SAP No]]) * (INDEX(ReferenceCard,,2)=Table1[[#This Row],[Mould No]]), 0), 3),)</f>
        <v>BC28-0500-WNHP-R-BR</v>
      </c>
      <c r="H190">
        <v>0</v>
      </c>
      <c r="I190" cm="1">
        <f t="array" ref="I190">IFERROR(INDEX(ReferenceCard, MATCH(1, (INDEX(ReferenceCard,,1)=Table1[[#This Row],[SAP No]]) * (INDEX(ReferenceCard,,2)=Table1[[#This Row],[Mould No]]), 0), 4),)</f>
        <v>4</v>
      </c>
      <c r="J190" s="4" cm="1">
        <f t="array" ref="J190">IFERROR(INDEX(ReferenceCard, MATCH(1, (INDEX(ReferenceCard,,1)=Table1[[#This Row],[SAP No]]) * (INDEX(ReferenceCard,,2)=Table1[[#This Row],[Mould No]]), 0), 9),)</f>
        <v>45.6</v>
      </c>
      <c r="K190" s="4" cm="1">
        <f t="array" ref="K190">IFERROR(INDEX(ReferenceCard, MATCH(1, (INDEX(ReferenceCard,,1)=Table1[[#This Row],[SAP No]]) * (INDEX(ReferenceCard,,2)=Table1[[#This Row],[Mould No]]), 0), 7),)</f>
        <v>45.6</v>
      </c>
      <c r="L190">
        <v>5959</v>
      </c>
      <c r="M190">
        <v>0</v>
      </c>
      <c r="N190">
        <v>0</v>
      </c>
      <c r="O190">
        <v>0</v>
      </c>
      <c r="P190">
        <f>Table1[[#This Row],[Shot]]*Table1[[#This Row],[Cav]]</f>
        <v>23836</v>
      </c>
      <c r="Q190">
        <v>0</v>
      </c>
      <c r="R190">
        <f>(Table1[[#This Row],[Part Weight (gm)]]*Table1[[#This Row],[Finish Good]])/1000</f>
        <v>0</v>
      </c>
      <c r="S190">
        <v>0</v>
      </c>
      <c r="T190">
        <f>IF(Table1[[#This Row],[Qty Order]]="Sample","-",IF(Table1[[#This Row],[Qty Order]]="RTFN","-",Table1[[#This Row],[Qty Order]]-Table1[[#This Row],[Qty Accumulate]]))</f>
        <v>0</v>
      </c>
      <c r="U190">
        <f>((Table1[[#This Row],[Shift Output]]*Table1[[#This Row],[Part Weight (gm)]])/1000)+Table1[[#This Row],[Reject Startup (kg)]]+Table1[[#This Row],[Reject Purging (kg)]]+Table1[[#This Row],[Reject Preform (kg)]]</f>
        <v>1086.9216000000001</v>
      </c>
      <c r="V190" s="37">
        <f>(Table1[[#This Row],[Gross Weight (gm)]]-Table1[[#This Row],[Part Weight (gm)]])*Table1[[#This Row],[Shift Output]]/1000</f>
        <v>0</v>
      </c>
      <c r="W190" s="3">
        <v>0</v>
      </c>
      <c r="X190" s="36">
        <f>Table1[[#This Row],[Reject Startup (kg)]]/Table1[[#This Row],[Material Used]]</f>
        <v>0</v>
      </c>
      <c r="Y190" s="3">
        <v>0</v>
      </c>
      <c r="Z190" s="36">
        <f>Table1[[#This Row],[Reject Prod (kg)]]/Table1[[#This Row],[Material Used]]</f>
        <v>0</v>
      </c>
      <c r="AA190" s="4">
        <v>0</v>
      </c>
      <c r="AB190" s="5">
        <v>8.4700000000000006</v>
      </c>
      <c r="AC190" s="4" cm="1">
        <f t="array" ref="AC190">IFERROR(INDEX(ReferenceCard, MATCH(1, (INDEX(ReferenceCard,,1)=Table1[[#This Row],[SAP No]]) * (INDEX(ReferenceCard,,2)=Table1[[#This Row],[Mould No]]), 0), 9),)</f>
        <v>45.6</v>
      </c>
      <c r="AD190" s="5">
        <v>0</v>
      </c>
      <c r="AE190" s="5">
        <v>0</v>
      </c>
      <c r="AF190" s="5">
        <v>0</v>
      </c>
      <c r="AG190" s="5">
        <v>0</v>
      </c>
      <c r="AH190" s="5">
        <v>3.52999999999999</v>
      </c>
      <c r="AI190" s="5">
        <v>0</v>
      </c>
      <c r="AJ190" s="5">
        <v>0</v>
      </c>
      <c r="AL190" s="2"/>
      <c r="AM190" s="2"/>
      <c r="AN190" s="3">
        <v>0</v>
      </c>
      <c r="AO190" s="3">
        <v>0</v>
      </c>
      <c r="AP19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1" spans="1:42" x14ac:dyDescent="0.35">
      <c r="A191" s="1">
        <v>46017</v>
      </c>
      <c r="B191">
        <v>1</v>
      </c>
      <c r="C191" t="s">
        <v>11</v>
      </c>
      <c r="D191" t="str" cm="1">
        <f t="array" ref="D191">IFERROR(INDEX(ReferenceCard, MATCH(1, (INDEX(ReferenceCard,,1)=Table1[[#This Row],[SAP No]]) * (INDEX(ReferenceCard,,2)=Table1[[#This Row],[Mould No]]), 0), 6),)</f>
        <v>rPET</v>
      </c>
      <c r="E191">
        <v>620994</v>
      </c>
      <c r="F191">
        <v>0</v>
      </c>
      <c r="G191" t="str" cm="1">
        <f t="array" ref="G191">IFERROR(INDEX(ReferenceCard, MATCH(1, (INDEX(ReferenceCard,,1)=Table1[[#This Row],[SAP No]]) * (INDEX(ReferenceCard,,2)=Table1[[#This Row],[Mould No]]), 0), 3),)</f>
        <v>JJ63-0400-SH-S-CL-rPET</v>
      </c>
      <c r="H191">
        <v>0</v>
      </c>
      <c r="I191" cm="1">
        <f t="array" ref="I191">IFERROR(INDEX(ReferenceCard, MATCH(1, (INDEX(ReferenceCard,,1)=Table1[[#This Row],[SAP No]]) * (INDEX(ReferenceCard,,2)=Table1[[#This Row],[Mould No]]), 0), 4),)</f>
        <v>4</v>
      </c>
      <c r="J191" s="4" cm="1">
        <f t="array" ref="J191">IFERROR(INDEX(ReferenceCard, MATCH(1, (INDEX(ReferenceCard,,1)=Table1[[#This Row],[SAP No]]) * (INDEX(ReferenceCard,,2)=Table1[[#This Row],[Mould No]]), 0), 9),)</f>
        <v>32.74</v>
      </c>
      <c r="K191" s="4" cm="1">
        <f t="array" ref="K191">IFERROR(INDEX(ReferenceCard, MATCH(1, (INDEX(ReferenceCard,,1)=Table1[[#This Row],[SAP No]]) * (INDEX(ReferenceCard,,2)=Table1[[#This Row],[Mould No]]), 0), 7),)</f>
        <v>33</v>
      </c>
      <c r="L191">
        <v>12670</v>
      </c>
      <c r="M191">
        <v>0</v>
      </c>
      <c r="N191">
        <v>0</v>
      </c>
      <c r="O191">
        <v>0</v>
      </c>
      <c r="P191">
        <f>Table1[[#This Row],[Shot]]*Table1[[#This Row],[Cav]]</f>
        <v>50680</v>
      </c>
      <c r="Q191">
        <v>0</v>
      </c>
      <c r="R191">
        <f>(Table1[[#This Row],[Part Weight (gm)]]*Table1[[#This Row],[Finish Good]])/1000</f>
        <v>0</v>
      </c>
      <c r="S191">
        <v>0</v>
      </c>
      <c r="T191">
        <f>IF(Table1[[#This Row],[Qty Order]]="Sample","-",IF(Table1[[#This Row],[Qty Order]]="RTFN","-",Table1[[#This Row],[Qty Order]]-Table1[[#This Row],[Qty Accumulate]]))</f>
        <v>0</v>
      </c>
      <c r="U191">
        <f>((Table1[[#This Row],[Shift Output]]*Table1[[#This Row],[Part Weight (gm)]])/1000)+Table1[[#This Row],[Reject Startup (kg)]]+Table1[[#This Row],[Reject Purging (kg)]]+Table1[[#This Row],[Reject Preform (kg)]]</f>
        <v>1672.44</v>
      </c>
      <c r="V191" s="37">
        <f>(Table1[[#This Row],[Gross Weight (gm)]]-Table1[[#This Row],[Part Weight (gm)]])*Table1[[#This Row],[Shift Output]]/1000</f>
        <v>-13.176799999999899</v>
      </c>
      <c r="W191" s="3">
        <v>0</v>
      </c>
      <c r="X191" s="36">
        <f>Table1[[#This Row],[Reject Startup (kg)]]/Table1[[#This Row],[Material Used]]</f>
        <v>0</v>
      </c>
      <c r="Y191" s="3">
        <v>0</v>
      </c>
      <c r="Z191" s="36">
        <f>Table1[[#This Row],[Reject Prod (kg)]]/Table1[[#This Row],[Material Used]]</f>
        <v>0</v>
      </c>
      <c r="AA191" s="4">
        <v>33.749584197997997</v>
      </c>
      <c r="AB191" s="5">
        <v>9.31</v>
      </c>
      <c r="AC191" s="4" cm="1">
        <f t="array" ref="AC191">IFERROR(INDEX(ReferenceCard, MATCH(1, (INDEX(ReferenceCard,,1)=Table1[[#This Row],[SAP No]]) * (INDEX(ReferenceCard,,2)=Table1[[#This Row],[Mould No]]), 0), 9),)</f>
        <v>32.74</v>
      </c>
      <c r="AD191" s="5">
        <v>0</v>
      </c>
      <c r="AE191" s="5">
        <v>0</v>
      </c>
      <c r="AF191" s="5">
        <v>0</v>
      </c>
      <c r="AG191" s="5">
        <v>0</v>
      </c>
      <c r="AH191" s="5">
        <v>2.6899999999999902</v>
      </c>
      <c r="AI191" s="5">
        <v>0</v>
      </c>
      <c r="AJ191" s="5">
        <v>0</v>
      </c>
      <c r="AL191" s="2"/>
      <c r="AM191" s="2"/>
      <c r="AN191" s="3">
        <v>0</v>
      </c>
      <c r="AO191" s="3">
        <v>0</v>
      </c>
      <c r="AP19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2" spans="1:42" x14ac:dyDescent="0.35">
      <c r="A192" s="1">
        <v>46017</v>
      </c>
      <c r="B192">
        <v>1</v>
      </c>
      <c r="C192" t="s">
        <v>14</v>
      </c>
      <c r="D192" t="str" cm="1">
        <f t="array" ref="D192">IFERROR(INDEX(ReferenceCard, MATCH(1, (INDEX(ReferenceCard,,1)=Table1[[#This Row],[SAP No]]) * (INDEX(ReferenceCard,,2)=Table1[[#This Row],[Mould No]]), 0), 6),)</f>
        <v>PET</v>
      </c>
      <c r="E192">
        <v>322444</v>
      </c>
      <c r="F192">
        <v>0</v>
      </c>
      <c r="G192" t="str" cm="1">
        <f t="array" ref="G192">IFERROR(INDEX(ReferenceCard, MATCH(1, (INDEX(ReferenceCard,,1)=Table1[[#This Row],[SAP No]]) * (INDEX(ReferenceCard,,2)=Table1[[#This Row],[Mould No]]), 0), 3),)</f>
        <v>JJ63-0400-RH-R-CL</v>
      </c>
      <c r="H192">
        <v>0</v>
      </c>
      <c r="I192" cm="1">
        <f t="array" ref="I192">IFERROR(INDEX(ReferenceCard, MATCH(1, (INDEX(ReferenceCard,,1)=Table1[[#This Row],[SAP No]]) * (INDEX(ReferenceCard,,2)=Table1[[#This Row],[Mould No]]), 0), 4),)</f>
        <v>4</v>
      </c>
      <c r="J192" s="4" cm="1">
        <f t="array" ref="J192">IFERROR(INDEX(ReferenceCard, MATCH(1, (INDEX(ReferenceCard,,1)=Table1[[#This Row],[SAP No]]) * (INDEX(ReferenceCard,,2)=Table1[[#This Row],[Mould No]]), 0), 9),)</f>
        <v>32.74</v>
      </c>
      <c r="K192" s="4" cm="1">
        <f t="array" ref="K192">IFERROR(INDEX(ReferenceCard, MATCH(1, (INDEX(ReferenceCard,,1)=Table1[[#This Row],[SAP No]]) * (INDEX(ReferenceCard,,2)=Table1[[#This Row],[Mould No]]), 0), 7),)</f>
        <v>34.5</v>
      </c>
      <c r="L192">
        <v>1917</v>
      </c>
      <c r="M192">
        <v>0</v>
      </c>
      <c r="N192">
        <v>0</v>
      </c>
      <c r="O192">
        <v>0</v>
      </c>
      <c r="P192">
        <f>Table1[[#This Row],[Shot]]*Table1[[#This Row],[Cav]]</f>
        <v>7668</v>
      </c>
      <c r="Q192">
        <v>0</v>
      </c>
      <c r="R192">
        <f>(Table1[[#This Row],[Part Weight (gm)]]*Table1[[#This Row],[Finish Good]])/1000</f>
        <v>0</v>
      </c>
      <c r="S192">
        <v>0</v>
      </c>
      <c r="T192">
        <f>IF(Table1[[#This Row],[Qty Order]]="Sample","-",IF(Table1[[#This Row],[Qty Order]]="RTFN","-",Table1[[#This Row],[Qty Order]]-Table1[[#This Row],[Qty Accumulate]]))</f>
        <v>0</v>
      </c>
      <c r="U192">
        <f>((Table1[[#This Row],[Shift Output]]*Table1[[#This Row],[Part Weight (gm)]])/1000)+Table1[[#This Row],[Reject Startup (kg)]]+Table1[[#This Row],[Reject Purging (kg)]]+Table1[[#This Row],[Reject Preform (kg)]]</f>
        <v>264.54599999999999</v>
      </c>
      <c r="V192" s="37">
        <f>(Table1[[#This Row],[Gross Weight (gm)]]-Table1[[#This Row],[Part Weight (gm)]])*Table1[[#This Row],[Shift Output]]/1000</f>
        <v>-13.495679999999984</v>
      </c>
      <c r="W192" s="3">
        <v>0</v>
      </c>
      <c r="X192" s="36">
        <f>Table1[[#This Row],[Reject Startup (kg)]]/Table1[[#This Row],[Material Used]]</f>
        <v>0</v>
      </c>
      <c r="Y192" s="3">
        <v>0</v>
      </c>
      <c r="Z192" s="36">
        <f>Table1[[#This Row],[Reject Prod (kg)]]/Table1[[#This Row],[Material Used]]</f>
        <v>0</v>
      </c>
      <c r="AA192" s="4">
        <v>22.525535583496001</v>
      </c>
      <c r="AB192" s="5">
        <v>12</v>
      </c>
      <c r="AC192" s="4" cm="1">
        <f t="array" ref="AC192">IFERROR(INDEX(ReferenceCard, MATCH(1, (INDEX(ReferenceCard,,1)=Table1[[#This Row],[SAP No]]) * (INDEX(ReferenceCard,,2)=Table1[[#This Row],[Mould No]]), 0), 9),)</f>
        <v>32.74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L192" s="2"/>
      <c r="AM192" s="2"/>
      <c r="AN192" s="3">
        <v>0</v>
      </c>
      <c r="AO192" s="3">
        <v>0</v>
      </c>
      <c r="AP19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3" spans="1:42" x14ac:dyDescent="0.35">
      <c r="A193" s="1">
        <v>46017</v>
      </c>
      <c r="B193">
        <v>1</v>
      </c>
      <c r="C193" t="s">
        <v>16</v>
      </c>
      <c r="D193" t="str" cm="1">
        <f t="array" ref="D193">IFERROR(INDEX(ReferenceCard, MATCH(1, (INDEX(ReferenceCard,,1)=Table1[[#This Row],[SAP No]]) * (INDEX(ReferenceCard,,2)=Table1[[#This Row],[Mould No]]), 0), 6),)</f>
        <v>PET</v>
      </c>
      <c r="E193">
        <v>324206</v>
      </c>
      <c r="F193">
        <v>0</v>
      </c>
      <c r="G193" t="str" cm="1">
        <f t="array" ref="G193">IFERROR(INDEX(ReferenceCard, MATCH(1, (INDEX(ReferenceCard,,1)=Table1[[#This Row],[SAP No]]) * (INDEX(ReferenceCard,,2)=Table1[[#This Row],[Mould No]]), 0), 3),)</f>
        <v>BX38-1000-HC-S-CL</v>
      </c>
      <c r="H193">
        <v>0</v>
      </c>
      <c r="I193" cm="1">
        <f t="array" ref="I193">IFERROR(INDEX(ReferenceCard, MATCH(1, (INDEX(ReferenceCard,,1)=Table1[[#This Row],[SAP No]]) * (INDEX(ReferenceCard,,2)=Table1[[#This Row],[Mould No]]), 0), 4),)</f>
        <v>4</v>
      </c>
      <c r="J193" s="4" cm="1">
        <f t="array" ref="J193">IFERROR(INDEX(ReferenceCard, MATCH(1, (INDEX(ReferenceCard,,1)=Table1[[#This Row],[SAP No]]) * (INDEX(ReferenceCard,,2)=Table1[[#This Row],[Mould No]]), 0), 9),)</f>
        <v>49</v>
      </c>
      <c r="K193" s="4" cm="1">
        <f t="array" ref="K193">IFERROR(INDEX(ReferenceCard, MATCH(1, (INDEX(ReferenceCard,,1)=Table1[[#This Row],[SAP No]]) * (INDEX(ReferenceCard,,2)=Table1[[#This Row],[Mould No]]), 0), 7),)</f>
        <v>48</v>
      </c>
      <c r="L193">
        <v>1046</v>
      </c>
      <c r="M193">
        <v>0</v>
      </c>
      <c r="N193">
        <v>0</v>
      </c>
      <c r="O193">
        <v>0</v>
      </c>
      <c r="P193">
        <f>Table1[[#This Row],[Shot]]*Table1[[#This Row],[Cav]]</f>
        <v>4184</v>
      </c>
      <c r="Q193">
        <v>0</v>
      </c>
      <c r="R193">
        <f>(Table1[[#This Row],[Part Weight (gm)]]*Table1[[#This Row],[Finish Good]])/1000</f>
        <v>0</v>
      </c>
      <c r="S193">
        <v>0</v>
      </c>
      <c r="T193">
        <f>IF(Table1[[#This Row],[Qty Order]]="Sample","-",IF(Table1[[#This Row],[Qty Order]]="RTFN","-",Table1[[#This Row],[Qty Order]]-Table1[[#This Row],[Qty Accumulate]]))</f>
        <v>0</v>
      </c>
      <c r="U193">
        <f>((Table1[[#This Row],[Shift Output]]*Table1[[#This Row],[Part Weight (gm)]])/1000)+Table1[[#This Row],[Reject Startup (kg)]]+Table1[[#This Row],[Reject Purging (kg)]]+Table1[[#This Row],[Reject Preform (kg)]]</f>
        <v>200.83199999999999</v>
      </c>
      <c r="V193" s="37">
        <f>(Table1[[#This Row],[Gross Weight (gm)]]-Table1[[#This Row],[Part Weight (gm)]])*Table1[[#This Row],[Shift Output]]/1000</f>
        <v>4.1840000000000002</v>
      </c>
      <c r="W193" s="3">
        <v>0</v>
      </c>
      <c r="X193" s="36">
        <f>Table1[[#This Row],[Reject Startup (kg)]]/Table1[[#This Row],[Material Used]]</f>
        <v>0</v>
      </c>
      <c r="Y193" s="3">
        <v>0</v>
      </c>
      <c r="Z193" s="36">
        <f>Table1[[#This Row],[Reject Prod (kg)]]/Table1[[#This Row],[Material Used]]</f>
        <v>0</v>
      </c>
      <c r="AA193" s="4">
        <v>36.887962341308501</v>
      </c>
      <c r="AB193" s="5">
        <v>8.2899999999999903</v>
      </c>
      <c r="AC193" s="4" cm="1">
        <f t="array" ref="AC193">IFERROR(INDEX(ReferenceCard, MATCH(1, (INDEX(ReferenceCard,,1)=Table1[[#This Row],[SAP No]]) * (INDEX(ReferenceCard,,2)=Table1[[#This Row],[Mould No]]), 0), 9),)</f>
        <v>49</v>
      </c>
      <c r="AD193" s="5">
        <v>8.99999999999999E-2</v>
      </c>
      <c r="AE193" s="5">
        <v>0</v>
      </c>
      <c r="AF193" s="5">
        <v>0</v>
      </c>
      <c r="AG193" s="5">
        <v>0</v>
      </c>
      <c r="AH193" s="5">
        <v>3.62</v>
      </c>
      <c r="AI193" s="5">
        <v>0</v>
      </c>
      <c r="AJ193" s="5">
        <v>0</v>
      </c>
      <c r="AK193" t="s">
        <v>46</v>
      </c>
      <c r="AL193" s="2"/>
      <c r="AM193" s="2"/>
      <c r="AN193" s="3">
        <v>0</v>
      </c>
      <c r="AO193" s="3">
        <v>0</v>
      </c>
      <c r="AP19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4" spans="1:42" x14ac:dyDescent="0.35">
      <c r="A194" s="1">
        <v>46017</v>
      </c>
      <c r="B194">
        <v>1</v>
      </c>
      <c r="C194" t="s">
        <v>23</v>
      </c>
      <c r="D194" t="str" cm="1">
        <f t="array" ref="D194">IFERROR(INDEX(ReferenceCard, MATCH(1, (INDEX(ReferenceCard,,1)=Table1[[#This Row],[SAP No]]) * (INDEX(ReferenceCard,,2)=Table1[[#This Row],[Mould No]]), 0), 6),)</f>
        <v>PPSB520Y</v>
      </c>
      <c r="E194">
        <v>586276</v>
      </c>
      <c r="F194">
        <v>2</v>
      </c>
      <c r="G194" t="str" cm="1">
        <f t="array" ref="G194">IFERROR(INDEX(ReferenceCard, MATCH(1, (INDEX(ReferenceCard,,1)=Table1[[#This Row],[SAP No]]) * (INDEX(ReferenceCard,,2)=Table1[[#This Row],[Mould No]]), 0), 3),)</f>
        <v>BC28-0056-D-APH-LEB-604001-MOLD2</v>
      </c>
      <c r="H194">
        <v>0</v>
      </c>
      <c r="I194" cm="1">
        <f t="array" ref="I194">IFERROR(INDEX(ReferenceCard, MATCH(1, (INDEX(ReferenceCard,,1)=Table1[[#This Row],[SAP No]]) * (INDEX(ReferenceCard,,2)=Table1[[#This Row],[Mould No]]), 0), 4),)</f>
        <v>6</v>
      </c>
      <c r="J194" s="4" cm="1">
        <f t="array" ref="J194">IFERROR(INDEX(ReferenceCard, MATCH(1, (INDEX(ReferenceCard,,1)=Table1[[#This Row],[SAP No]]) * (INDEX(ReferenceCard,,2)=Table1[[#This Row],[Mould No]]), 0), 9),)</f>
        <v>12.3</v>
      </c>
      <c r="K194" s="4" cm="1">
        <f t="array" ref="K194">IFERROR(INDEX(ReferenceCard, MATCH(1, (INDEX(ReferenceCard,,1)=Table1[[#This Row],[SAP No]]) * (INDEX(ReferenceCard,,2)=Table1[[#This Row],[Mould No]]), 0), 7),)</f>
        <v>12.3</v>
      </c>
      <c r="L194">
        <v>1677</v>
      </c>
      <c r="M194">
        <v>0</v>
      </c>
      <c r="N194">
        <v>0</v>
      </c>
      <c r="O194">
        <v>0</v>
      </c>
      <c r="P194">
        <f>Table1[[#This Row],[Shot]]*Table1[[#This Row],[Cav]]</f>
        <v>10062</v>
      </c>
      <c r="Q194">
        <v>0</v>
      </c>
      <c r="R194">
        <f>(Table1[[#This Row],[Part Weight (gm)]]*Table1[[#This Row],[Finish Good]])/1000</f>
        <v>0</v>
      </c>
      <c r="S194">
        <v>0</v>
      </c>
      <c r="T194">
        <f>IF(Table1[[#This Row],[Qty Order]]="Sample","-",IF(Table1[[#This Row],[Qty Order]]="RTFN","-",Table1[[#This Row],[Qty Order]]-Table1[[#This Row],[Qty Accumulate]]))</f>
        <v>0</v>
      </c>
      <c r="U194">
        <f>((Table1[[#This Row],[Shift Output]]*Table1[[#This Row],[Part Weight (gm)]])/1000)+Table1[[#This Row],[Reject Startup (kg)]]+Table1[[#This Row],[Reject Purging (kg)]]+Table1[[#This Row],[Reject Preform (kg)]]</f>
        <v>123.76260000000001</v>
      </c>
      <c r="V194" s="37">
        <f>(Table1[[#This Row],[Gross Weight (gm)]]-Table1[[#This Row],[Part Weight (gm)]])*Table1[[#This Row],[Shift Output]]/1000</f>
        <v>0</v>
      </c>
      <c r="W194" s="3">
        <v>0</v>
      </c>
      <c r="X194" s="36">
        <f>Table1[[#This Row],[Reject Startup (kg)]]/Table1[[#This Row],[Material Used]]</f>
        <v>0</v>
      </c>
      <c r="Y194" s="3">
        <v>0</v>
      </c>
      <c r="Z194" s="36">
        <f>Table1[[#This Row],[Reject Prod (kg)]]/Table1[[#This Row],[Material Used]]</f>
        <v>0</v>
      </c>
      <c r="AA194" s="4">
        <v>25.7552394866943</v>
      </c>
      <c r="AB194" s="5">
        <v>12</v>
      </c>
      <c r="AC194" s="4" cm="1">
        <f t="array" ref="AC194">IFERROR(INDEX(ReferenceCard, MATCH(1, (INDEX(ReferenceCard,,1)=Table1[[#This Row],[SAP No]]) * (INDEX(ReferenceCard,,2)=Table1[[#This Row],[Mould No]]), 0), 9),)</f>
        <v>12.3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L194" s="2"/>
      <c r="AM194" s="2"/>
      <c r="AN194" s="3">
        <v>0</v>
      </c>
      <c r="AO194" s="3">
        <v>0</v>
      </c>
      <c r="AP19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5" spans="1:42" x14ac:dyDescent="0.35">
      <c r="A195" s="1">
        <v>46017</v>
      </c>
      <c r="B195">
        <v>1</v>
      </c>
      <c r="C195" t="s">
        <v>25</v>
      </c>
      <c r="D195" t="str" cm="1">
        <f t="array" ref="D195">IFERROR(INDEX(ReferenceCard, MATCH(1, (INDEX(ReferenceCard,,1)=Table1[[#This Row],[SAP No]]) * (INDEX(ReferenceCard,,2)=Table1[[#This Row],[Mould No]]), 0), 6),)</f>
        <v>PET</v>
      </c>
      <c r="E195">
        <v>323133</v>
      </c>
      <c r="F195">
        <v>0</v>
      </c>
      <c r="G195" t="str" cm="1">
        <f t="array" ref="G195">IFERROR(INDEX(ReferenceCard, MATCH(1, (INDEX(ReferenceCard,,1)=Table1[[#This Row],[SAP No]]) * (INDEX(ReferenceCard,,2)=Table1[[#This Row],[Mould No]]), 0), 3),)</f>
        <v>BX38-2000-RH-R-CL(GREEN) (ASEM)</v>
      </c>
      <c r="H195">
        <v>0</v>
      </c>
      <c r="I195" cm="1">
        <f t="array" ref="I195">IFERROR(INDEX(ReferenceCard, MATCH(1, (INDEX(ReferenceCard,,1)=Table1[[#This Row],[SAP No]]) * (INDEX(ReferenceCard,,2)=Table1[[#This Row],[Mould No]]), 0), 4),)</f>
        <v>4</v>
      </c>
      <c r="J195" s="4" cm="1">
        <f t="array" ref="J195">IFERROR(INDEX(ReferenceCard, MATCH(1, (INDEX(ReferenceCard,,1)=Table1[[#This Row],[SAP No]]) * (INDEX(ReferenceCard,,2)=Table1[[#This Row],[Mould No]]), 0), 9),)</f>
        <v>77</v>
      </c>
      <c r="K195" s="4" cm="1">
        <f t="array" ref="K195">IFERROR(INDEX(ReferenceCard, MATCH(1, (INDEX(ReferenceCard,,1)=Table1[[#This Row],[SAP No]]) * (INDEX(ReferenceCard,,2)=Table1[[#This Row],[Mould No]]), 0), 7),)</f>
        <v>77</v>
      </c>
      <c r="L195">
        <v>310</v>
      </c>
      <c r="M195">
        <v>0</v>
      </c>
      <c r="N195">
        <v>0</v>
      </c>
      <c r="O195">
        <v>0</v>
      </c>
      <c r="P195">
        <f>Table1[[#This Row],[Shot]]*Table1[[#This Row],[Cav]]</f>
        <v>1240</v>
      </c>
      <c r="Q195">
        <v>0</v>
      </c>
      <c r="R195">
        <f>(Table1[[#This Row],[Part Weight (gm)]]*Table1[[#This Row],[Finish Good]])/1000</f>
        <v>0</v>
      </c>
      <c r="S195">
        <v>0</v>
      </c>
      <c r="T195">
        <f>IF(Table1[[#This Row],[Qty Order]]="Sample","-",IF(Table1[[#This Row],[Qty Order]]="RTFN","-",Table1[[#This Row],[Qty Order]]-Table1[[#This Row],[Qty Accumulate]]))</f>
        <v>0</v>
      </c>
      <c r="U195">
        <f>((Table1[[#This Row],[Shift Output]]*Table1[[#This Row],[Part Weight (gm)]])/1000)+Table1[[#This Row],[Reject Startup (kg)]]+Table1[[#This Row],[Reject Purging (kg)]]+Table1[[#This Row],[Reject Preform (kg)]]</f>
        <v>95.48</v>
      </c>
      <c r="V195" s="37">
        <f>(Table1[[#This Row],[Gross Weight (gm)]]-Table1[[#This Row],[Part Weight (gm)]])*Table1[[#This Row],[Shift Output]]/1000</f>
        <v>0</v>
      </c>
      <c r="W195" s="3">
        <v>0</v>
      </c>
      <c r="X195" s="36">
        <f>Table1[[#This Row],[Reject Startup (kg)]]/Table1[[#This Row],[Material Used]]</f>
        <v>0</v>
      </c>
      <c r="Y195" s="3">
        <v>0</v>
      </c>
      <c r="Z195" s="36">
        <f>Table1[[#This Row],[Reject Prod (kg)]]/Table1[[#This Row],[Material Used]]</f>
        <v>0</v>
      </c>
      <c r="AA195" s="4">
        <v>0</v>
      </c>
      <c r="AB195" s="5">
        <v>0</v>
      </c>
      <c r="AC195" s="4" cm="1">
        <f t="array" ref="AC195">IFERROR(INDEX(ReferenceCard, MATCH(1, (INDEX(ReferenceCard,,1)=Table1[[#This Row],[SAP No]]) * (INDEX(ReferenceCard,,2)=Table1[[#This Row],[Mould No]]), 0), 9),)</f>
        <v>77</v>
      </c>
      <c r="AD195" s="5">
        <v>0</v>
      </c>
      <c r="AE195" s="5">
        <v>0</v>
      </c>
      <c r="AF195" s="5">
        <v>0</v>
      </c>
      <c r="AG195" s="5">
        <v>12</v>
      </c>
      <c r="AH195" s="5">
        <v>0</v>
      </c>
      <c r="AI195" s="5">
        <v>0</v>
      </c>
      <c r="AJ195" s="5">
        <v>0</v>
      </c>
      <c r="AK195" t="s">
        <v>47</v>
      </c>
      <c r="AL195" s="2"/>
      <c r="AM195" s="2"/>
      <c r="AN195" s="3">
        <v>0</v>
      </c>
      <c r="AO195" s="3">
        <v>0</v>
      </c>
      <c r="AP19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6" spans="1:42" x14ac:dyDescent="0.35">
      <c r="A196" s="1">
        <v>46017</v>
      </c>
      <c r="B196">
        <v>1</v>
      </c>
      <c r="C196" t="s">
        <v>27</v>
      </c>
      <c r="D196" t="str" cm="1">
        <f t="array" ref="D196">IFERROR(INDEX(ReferenceCard, MATCH(1, (INDEX(ReferenceCard,,1)=Table1[[#This Row],[SAP No]]) * (INDEX(ReferenceCard,,2)=Table1[[#This Row],[Mould No]]), 0), 6),)</f>
        <v>PPSB520Y</v>
      </c>
      <c r="E196">
        <v>552181</v>
      </c>
      <c r="F196">
        <v>4</v>
      </c>
      <c r="G196" t="str" cm="1">
        <f t="array" ref="G196">IFERROR(INDEX(ReferenceCard, MATCH(1, (INDEX(ReferenceCard,,1)=Table1[[#This Row],[SAP No]]) * (INDEX(ReferenceCard,,2)=Table1[[#This Row],[Mould No]]), 0), 3),)</f>
        <v>BC28-0090-D-APH-5180-3538-PP-6 NOTCHES-MOLD4</v>
      </c>
      <c r="H196">
        <v>0</v>
      </c>
      <c r="I196" cm="1">
        <f t="array" ref="I196">IFERROR(INDEX(ReferenceCard, MATCH(1, (INDEX(ReferenceCard,,1)=Table1[[#This Row],[SAP No]]) * (INDEX(ReferenceCard,,2)=Table1[[#This Row],[Mould No]]), 0), 4),)</f>
        <v>6</v>
      </c>
      <c r="J196" s="4" cm="1">
        <f t="array" ref="J196">IFERROR(INDEX(ReferenceCard, MATCH(1, (INDEX(ReferenceCard,,1)=Table1[[#This Row],[SAP No]]) * (INDEX(ReferenceCard,,2)=Table1[[#This Row],[Mould No]]), 0), 9),)</f>
        <v>18.8</v>
      </c>
      <c r="K196" s="4" cm="1">
        <f t="array" ref="K196">IFERROR(INDEX(ReferenceCard, MATCH(1, (INDEX(ReferenceCard,,1)=Table1[[#This Row],[SAP No]]) * (INDEX(ReferenceCard,,2)=Table1[[#This Row],[Mould No]]), 0), 7),)</f>
        <v>18.8</v>
      </c>
      <c r="L196">
        <v>4040</v>
      </c>
      <c r="M196">
        <v>0</v>
      </c>
      <c r="N196">
        <v>0</v>
      </c>
      <c r="O196">
        <v>0</v>
      </c>
      <c r="P196">
        <f>Table1[[#This Row],[Shot]]*Table1[[#This Row],[Cav]]</f>
        <v>24240</v>
      </c>
      <c r="Q196">
        <v>0</v>
      </c>
      <c r="R196">
        <f>(Table1[[#This Row],[Part Weight (gm)]]*Table1[[#This Row],[Finish Good]])/1000</f>
        <v>0</v>
      </c>
      <c r="S196">
        <v>0</v>
      </c>
      <c r="T196">
        <f>IF(Table1[[#This Row],[Qty Order]]="Sample","-",IF(Table1[[#This Row],[Qty Order]]="RTFN","-",Table1[[#This Row],[Qty Order]]-Table1[[#This Row],[Qty Accumulate]]))</f>
        <v>0</v>
      </c>
      <c r="U196">
        <f>((Table1[[#This Row],[Shift Output]]*Table1[[#This Row],[Part Weight (gm)]])/1000)+Table1[[#This Row],[Reject Startup (kg)]]+Table1[[#This Row],[Reject Purging (kg)]]+Table1[[#This Row],[Reject Preform (kg)]]</f>
        <v>455.71199999999999</v>
      </c>
      <c r="V196" s="37">
        <f>(Table1[[#This Row],[Gross Weight (gm)]]-Table1[[#This Row],[Part Weight (gm)]])*Table1[[#This Row],[Shift Output]]/1000</f>
        <v>0</v>
      </c>
      <c r="W196" s="3">
        <v>0</v>
      </c>
      <c r="X196" s="36">
        <f>Table1[[#This Row],[Reject Startup (kg)]]/Table1[[#This Row],[Material Used]]</f>
        <v>0</v>
      </c>
      <c r="Y196" s="3">
        <v>0</v>
      </c>
      <c r="Z196" s="36">
        <f>Table1[[#This Row],[Reject Prod (kg)]]/Table1[[#This Row],[Material Used]]</f>
        <v>0</v>
      </c>
      <c r="AA196" s="4">
        <v>27.660844802856399</v>
      </c>
      <c r="AB196" s="5">
        <v>11.88</v>
      </c>
      <c r="AC196" s="4" cm="1">
        <f t="array" ref="AC196">IFERROR(INDEX(ReferenceCard, MATCH(1, (INDEX(ReferenceCard,,1)=Table1[[#This Row],[SAP No]]) * (INDEX(ReferenceCard,,2)=Table1[[#This Row],[Mould No]]), 0), 9),)</f>
        <v>18.8</v>
      </c>
      <c r="AD196" s="5">
        <v>0</v>
      </c>
      <c r="AE196" s="5">
        <v>0</v>
      </c>
      <c r="AF196" s="5">
        <v>0</v>
      </c>
      <c r="AG196" s="5">
        <v>0</v>
      </c>
      <c r="AH196" s="5">
        <v>0.12</v>
      </c>
      <c r="AI196" s="5">
        <v>0</v>
      </c>
      <c r="AJ196" s="5">
        <v>0</v>
      </c>
      <c r="AL196" s="2"/>
      <c r="AM196" s="2"/>
      <c r="AN196" s="3">
        <v>0</v>
      </c>
      <c r="AO196" s="3">
        <v>0</v>
      </c>
      <c r="AP19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7" spans="1:42" x14ac:dyDescent="0.35">
      <c r="A197" s="1">
        <v>46017</v>
      </c>
      <c r="B197">
        <v>1</v>
      </c>
      <c r="C197" t="s">
        <v>29</v>
      </c>
      <c r="D197" t="str" cm="1">
        <f t="array" ref="D197">IFERROR(INDEX(ReferenceCard, MATCH(1, (INDEX(ReferenceCard,,1)=Table1[[#This Row],[SAP No]]) * (INDEX(ReferenceCard,,2)=Table1[[#This Row],[Mould No]]), 0), 6),)</f>
        <v>PET</v>
      </c>
      <c r="E197">
        <v>620599</v>
      </c>
      <c r="F197">
        <v>0</v>
      </c>
      <c r="G197" t="str" cm="1">
        <f t="array" ref="G197">IFERROR(INDEX(ReferenceCard, MATCH(1, (INDEX(ReferenceCard,,1)=Table1[[#This Row],[SAP No]]) * (INDEX(ReferenceCard,,2)=Table1[[#This Row],[Mould No]]), 0), 3),)</f>
        <v>BC28-0750-K4-R-CL (55g)</v>
      </c>
      <c r="H197">
        <v>0</v>
      </c>
      <c r="I197" cm="1">
        <f t="array" ref="I197">IFERROR(INDEX(ReferenceCard, MATCH(1, (INDEX(ReferenceCard,,1)=Table1[[#This Row],[SAP No]]) * (INDEX(ReferenceCard,,2)=Table1[[#This Row],[Mould No]]), 0), 4),)</f>
        <v>4</v>
      </c>
      <c r="J197" s="4" cm="1">
        <f t="array" ref="J197">IFERROR(INDEX(ReferenceCard, MATCH(1, (INDEX(ReferenceCard,,1)=Table1[[#This Row],[SAP No]]) * (INDEX(ReferenceCard,,2)=Table1[[#This Row],[Mould No]]), 0), 9),)</f>
        <v>55</v>
      </c>
      <c r="K197" s="4" cm="1">
        <f t="array" ref="K197">IFERROR(INDEX(ReferenceCard, MATCH(1, (INDEX(ReferenceCard,,1)=Table1[[#This Row],[SAP No]]) * (INDEX(ReferenceCard,,2)=Table1[[#This Row],[Mould No]]), 0), 7),)</f>
        <v>55</v>
      </c>
      <c r="L197">
        <v>2834</v>
      </c>
      <c r="M197">
        <v>0</v>
      </c>
      <c r="N197">
        <v>0</v>
      </c>
      <c r="O197">
        <v>0</v>
      </c>
      <c r="P197">
        <f>Table1[[#This Row],[Shot]]*Table1[[#This Row],[Cav]]</f>
        <v>11336</v>
      </c>
      <c r="Q197">
        <v>0</v>
      </c>
      <c r="R197">
        <f>(Table1[[#This Row],[Part Weight (gm)]]*Table1[[#This Row],[Finish Good]])/1000</f>
        <v>0</v>
      </c>
      <c r="S197">
        <v>0</v>
      </c>
      <c r="T197">
        <f>IF(Table1[[#This Row],[Qty Order]]="Sample","-",IF(Table1[[#This Row],[Qty Order]]="RTFN","-",Table1[[#This Row],[Qty Order]]-Table1[[#This Row],[Qty Accumulate]]))</f>
        <v>0</v>
      </c>
      <c r="U197">
        <f>((Table1[[#This Row],[Shift Output]]*Table1[[#This Row],[Part Weight (gm)]])/1000)+Table1[[#This Row],[Reject Startup (kg)]]+Table1[[#This Row],[Reject Purging (kg)]]+Table1[[#This Row],[Reject Preform (kg)]]</f>
        <v>623.48</v>
      </c>
      <c r="V197" s="37">
        <f>(Table1[[#This Row],[Gross Weight (gm)]]-Table1[[#This Row],[Part Weight (gm)]])*Table1[[#This Row],[Shift Output]]/1000</f>
        <v>0</v>
      </c>
      <c r="W197" s="3">
        <v>0</v>
      </c>
      <c r="X197" s="36">
        <f>Table1[[#This Row],[Reject Startup (kg)]]/Table1[[#This Row],[Material Used]]</f>
        <v>0</v>
      </c>
      <c r="Y197" s="3">
        <v>0</v>
      </c>
      <c r="Z197" s="36">
        <f>Table1[[#This Row],[Reject Prod (kg)]]/Table1[[#This Row],[Material Used]]</f>
        <v>0</v>
      </c>
      <c r="AA197" s="4">
        <v>30.701459884643501</v>
      </c>
      <c r="AB197" s="5">
        <v>11.96</v>
      </c>
      <c r="AC197" s="4" cm="1">
        <f t="array" ref="AC197">IFERROR(INDEX(ReferenceCard, MATCH(1, (INDEX(ReferenceCard,,1)=Table1[[#This Row],[SAP No]]) * (INDEX(ReferenceCard,,2)=Table1[[#This Row],[Mould No]]), 0), 9),)</f>
        <v>55</v>
      </c>
      <c r="AD197" s="5">
        <v>0</v>
      </c>
      <c r="AE197" s="5">
        <v>0</v>
      </c>
      <c r="AF197" s="5">
        <v>0</v>
      </c>
      <c r="AG197" s="5">
        <v>0</v>
      </c>
      <c r="AH197" s="5">
        <v>0.04</v>
      </c>
      <c r="AI197" s="5">
        <v>0</v>
      </c>
      <c r="AJ197" s="5">
        <v>0</v>
      </c>
      <c r="AL197" s="2"/>
      <c r="AM197" s="2"/>
      <c r="AN197" s="3">
        <v>0</v>
      </c>
      <c r="AO197" s="3">
        <v>0</v>
      </c>
      <c r="AP19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8" spans="1:42" x14ac:dyDescent="0.35">
      <c r="A198" s="1">
        <v>46017</v>
      </c>
      <c r="B198">
        <v>1</v>
      </c>
      <c r="C198" t="s">
        <v>31</v>
      </c>
      <c r="D198" t="str" cm="1">
        <f t="array" ref="D198">IFERROR(INDEX(ReferenceCard, MATCH(1, (INDEX(ReferenceCard,,1)=Table1[[#This Row],[SAP No]]) * (INDEX(ReferenceCard,,2)=Table1[[#This Row],[Mould No]]), 0), 6),)</f>
        <v>PPSB520Y</v>
      </c>
      <c r="E198">
        <v>586276</v>
      </c>
      <c r="F198">
        <v>4</v>
      </c>
      <c r="G198" t="str" cm="1">
        <f t="array" ref="G198">IFERROR(INDEX(ReferenceCard, MATCH(1, (INDEX(ReferenceCard,,1)=Table1[[#This Row],[SAP No]]) * (INDEX(ReferenceCard,,2)=Table1[[#This Row],[Mould No]]), 0), 3),)</f>
        <v>BC28-0056-D-APH-LEB-604001-MOLD4</v>
      </c>
      <c r="H198">
        <v>0</v>
      </c>
      <c r="I198" cm="1">
        <f t="array" ref="I198">IFERROR(INDEX(ReferenceCard, MATCH(1, (INDEX(ReferenceCard,,1)=Table1[[#This Row],[SAP No]]) * (INDEX(ReferenceCard,,2)=Table1[[#This Row],[Mould No]]), 0), 4),)</f>
        <v>6</v>
      </c>
      <c r="J198" s="4" cm="1">
        <f t="array" ref="J198">IFERROR(INDEX(ReferenceCard, MATCH(1, (INDEX(ReferenceCard,,1)=Table1[[#This Row],[SAP No]]) * (INDEX(ReferenceCard,,2)=Table1[[#This Row],[Mould No]]), 0), 9),)</f>
        <v>12.3</v>
      </c>
      <c r="K198" s="4" cm="1">
        <f t="array" ref="K198">IFERROR(INDEX(ReferenceCard, MATCH(1, (INDEX(ReferenceCard,,1)=Table1[[#This Row],[SAP No]]) * (INDEX(ReferenceCard,,2)=Table1[[#This Row],[Mould No]]), 0), 7),)</f>
        <v>12.3</v>
      </c>
      <c r="L198">
        <v>1638</v>
      </c>
      <c r="M198">
        <v>0</v>
      </c>
      <c r="N198">
        <v>0</v>
      </c>
      <c r="O198">
        <v>0</v>
      </c>
      <c r="P198">
        <f>Table1[[#This Row],[Shot]]*Table1[[#This Row],[Cav]]</f>
        <v>9828</v>
      </c>
      <c r="Q198">
        <v>0</v>
      </c>
      <c r="R198">
        <f>(Table1[[#This Row],[Part Weight (gm)]]*Table1[[#This Row],[Finish Good]])/1000</f>
        <v>0</v>
      </c>
      <c r="S198">
        <v>0</v>
      </c>
      <c r="T198">
        <f>IF(Table1[[#This Row],[Qty Order]]="Sample","-",IF(Table1[[#This Row],[Qty Order]]="RTFN","-",Table1[[#This Row],[Qty Order]]-Table1[[#This Row],[Qty Accumulate]]))</f>
        <v>0</v>
      </c>
      <c r="U198">
        <f>((Table1[[#This Row],[Shift Output]]*Table1[[#This Row],[Part Weight (gm)]])/1000)+Table1[[#This Row],[Reject Startup (kg)]]+Table1[[#This Row],[Reject Purging (kg)]]+Table1[[#This Row],[Reject Preform (kg)]]</f>
        <v>120.88440000000001</v>
      </c>
      <c r="V198" s="37">
        <f>(Table1[[#This Row],[Gross Weight (gm)]]-Table1[[#This Row],[Part Weight (gm)]])*Table1[[#This Row],[Shift Output]]/1000</f>
        <v>0</v>
      </c>
      <c r="W198" s="3">
        <v>0</v>
      </c>
      <c r="X198" s="36">
        <f>Table1[[#This Row],[Reject Startup (kg)]]/Table1[[#This Row],[Material Used]]</f>
        <v>0</v>
      </c>
      <c r="Y198" s="3">
        <v>0</v>
      </c>
      <c r="Z198" s="36">
        <f>Table1[[#This Row],[Reject Prod (kg)]]/Table1[[#This Row],[Material Used]]</f>
        <v>0</v>
      </c>
      <c r="AA198" s="4">
        <v>26.371376037597599</v>
      </c>
      <c r="AB198" s="5">
        <v>12</v>
      </c>
      <c r="AC198" s="4" cm="1">
        <f t="array" ref="AC198">IFERROR(INDEX(ReferenceCard, MATCH(1, (INDEX(ReferenceCard,,1)=Table1[[#This Row],[SAP No]]) * (INDEX(ReferenceCard,,2)=Table1[[#This Row],[Mould No]]), 0), 9),)</f>
        <v>12.3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L198" s="2"/>
      <c r="AM198" s="2"/>
      <c r="AN198" s="3">
        <v>0</v>
      </c>
      <c r="AO198" s="3">
        <v>0</v>
      </c>
      <c r="AP19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199" spans="1:42" x14ac:dyDescent="0.35">
      <c r="A199" s="1">
        <v>46017</v>
      </c>
      <c r="B199">
        <v>1</v>
      </c>
      <c r="C199" t="s">
        <v>33</v>
      </c>
      <c r="D199" t="str" cm="1">
        <f t="array" ref="D199">IFERROR(INDEX(ReferenceCard, MATCH(1, (INDEX(ReferenceCard,,1)=Table1[[#This Row],[SAP No]]) * (INDEX(ReferenceCard,,2)=Table1[[#This Row],[Mould No]]), 0), 6),)</f>
        <v>PET</v>
      </c>
      <c r="E199">
        <v>541381</v>
      </c>
      <c r="F199">
        <v>0</v>
      </c>
      <c r="G199" t="str" cm="1">
        <f t="array" ref="G199">IFERROR(INDEX(ReferenceCard, MATCH(1, (INDEX(ReferenceCard,,1)=Table1[[#This Row],[SAP No]]) * (INDEX(ReferenceCard,,2)=Table1[[#This Row],[Mould No]]), 0), 3),)</f>
        <v>BC28-1200-K-R-CL</v>
      </c>
      <c r="H199">
        <v>0</v>
      </c>
      <c r="I199" cm="1">
        <f t="array" ref="I199">IFERROR(INDEX(ReferenceCard, MATCH(1, (INDEX(ReferenceCard,,1)=Table1[[#This Row],[SAP No]]) * (INDEX(ReferenceCard,,2)=Table1[[#This Row],[Mould No]]), 0), 4),)</f>
        <v>4</v>
      </c>
      <c r="J199" s="4" cm="1">
        <f t="array" ref="J199">IFERROR(INDEX(ReferenceCard, MATCH(1, (INDEX(ReferenceCard,,1)=Table1[[#This Row],[SAP No]]) * (INDEX(ReferenceCard,,2)=Table1[[#This Row],[Mould No]]), 0), 9),)</f>
        <v>55</v>
      </c>
      <c r="K199" s="4" cm="1">
        <f t="array" ref="K199">IFERROR(INDEX(ReferenceCard, MATCH(1, (INDEX(ReferenceCard,,1)=Table1[[#This Row],[SAP No]]) * (INDEX(ReferenceCard,,2)=Table1[[#This Row],[Mould No]]), 0), 7),)</f>
        <v>55</v>
      </c>
      <c r="L199">
        <v>2962</v>
      </c>
      <c r="M199">
        <v>0</v>
      </c>
      <c r="N199">
        <v>0</v>
      </c>
      <c r="O199">
        <v>0</v>
      </c>
      <c r="P199">
        <f>Table1[[#This Row],[Shot]]*Table1[[#This Row],[Cav]]</f>
        <v>11848</v>
      </c>
      <c r="Q199">
        <v>0</v>
      </c>
      <c r="R199">
        <f>(Table1[[#This Row],[Part Weight (gm)]]*Table1[[#This Row],[Finish Good]])/1000</f>
        <v>0</v>
      </c>
      <c r="S199">
        <v>0</v>
      </c>
      <c r="T199">
        <f>IF(Table1[[#This Row],[Qty Order]]="Sample","-",IF(Table1[[#This Row],[Qty Order]]="RTFN","-",Table1[[#This Row],[Qty Order]]-Table1[[#This Row],[Qty Accumulate]]))</f>
        <v>0</v>
      </c>
      <c r="U199">
        <f>((Table1[[#This Row],[Shift Output]]*Table1[[#This Row],[Part Weight (gm)]])/1000)+Table1[[#This Row],[Reject Startup (kg)]]+Table1[[#This Row],[Reject Purging (kg)]]+Table1[[#This Row],[Reject Preform (kg)]]</f>
        <v>651.64</v>
      </c>
      <c r="V199" s="37">
        <f>(Table1[[#This Row],[Gross Weight (gm)]]-Table1[[#This Row],[Part Weight (gm)]])*Table1[[#This Row],[Shift Output]]/1000</f>
        <v>0</v>
      </c>
      <c r="W199" s="3">
        <v>0</v>
      </c>
      <c r="X199" s="36">
        <f>Table1[[#This Row],[Reject Startup (kg)]]/Table1[[#This Row],[Material Used]]</f>
        <v>0</v>
      </c>
      <c r="Y199" s="3">
        <v>0</v>
      </c>
      <c r="Z199" s="36">
        <f>Table1[[#This Row],[Reject Prod (kg)]]/Table1[[#This Row],[Material Used]]</f>
        <v>0</v>
      </c>
      <c r="AA199" s="4">
        <v>43.369453430175703</v>
      </c>
      <c r="AB199" s="5">
        <v>11.88</v>
      </c>
      <c r="AC199" s="4" cm="1">
        <f t="array" ref="AC199">IFERROR(INDEX(ReferenceCard, MATCH(1, (INDEX(ReferenceCard,,1)=Table1[[#This Row],[SAP No]]) * (INDEX(ReferenceCard,,2)=Table1[[#This Row],[Mould No]]), 0), 9),)</f>
        <v>55</v>
      </c>
      <c r="AD199" s="5">
        <v>0</v>
      </c>
      <c r="AE199" s="5">
        <v>0</v>
      </c>
      <c r="AF199" s="5">
        <v>0</v>
      </c>
      <c r="AG199" s="5">
        <v>0</v>
      </c>
      <c r="AH199" s="5">
        <v>0.12</v>
      </c>
      <c r="AI199" s="5">
        <v>0</v>
      </c>
      <c r="AJ199" s="5">
        <v>0</v>
      </c>
      <c r="AL199" s="2"/>
      <c r="AM199" s="2"/>
      <c r="AN199" s="3">
        <v>0</v>
      </c>
      <c r="AO199" s="3">
        <v>0</v>
      </c>
      <c r="AP19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0" spans="1:42" x14ac:dyDescent="0.35">
      <c r="A200" s="1">
        <v>46017</v>
      </c>
      <c r="B200">
        <v>1</v>
      </c>
      <c r="C200" t="s">
        <v>35</v>
      </c>
      <c r="D200" t="str" cm="1">
        <f t="array" ref="D200">IFERROR(INDEX(ReferenceCard, MATCH(1, (INDEX(ReferenceCard,,1)=Table1[[#This Row],[SAP No]]) * (INDEX(ReferenceCard,,2)=Table1[[#This Row],[Mould No]]), 0), 6),)</f>
        <v>PPSB520Y</v>
      </c>
      <c r="E200">
        <v>552181</v>
      </c>
      <c r="F200">
        <v>1</v>
      </c>
      <c r="G200" t="str" cm="1">
        <f t="array" ref="G200">IFERROR(INDEX(ReferenceCard, MATCH(1, (INDEX(ReferenceCard,,1)=Table1[[#This Row],[SAP No]]) * (INDEX(ReferenceCard,,2)=Table1[[#This Row],[Mould No]]), 0), 3),)</f>
        <v>BC28-0090-D-APH-5180-3538-PP-6 NOTCHES-MOLD1</v>
      </c>
      <c r="H200">
        <v>0</v>
      </c>
      <c r="I200" cm="1">
        <f t="array" ref="I200">IFERROR(INDEX(ReferenceCard, MATCH(1, (INDEX(ReferenceCard,,1)=Table1[[#This Row],[SAP No]]) * (INDEX(ReferenceCard,,2)=Table1[[#This Row],[Mould No]]), 0), 4),)</f>
        <v>6</v>
      </c>
      <c r="J200" s="4" cm="1">
        <f t="array" ref="J200">IFERROR(INDEX(ReferenceCard, MATCH(1, (INDEX(ReferenceCard,,1)=Table1[[#This Row],[SAP No]]) * (INDEX(ReferenceCard,,2)=Table1[[#This Row],[Mould No]]), 0), 9),)</f>
        <v>18.8</v>
      </c>
      <c r="K200" s="4" cm="1">
        <f t="array" ref="K200">IFERROR(INDEX(ReferenceCard, MATCH(1, (INDEX(ReferenceCard,,1)=Table1[[#This Row],[SAP No]]) * (INDEX(ReferenceCard,,2)=Table1[[#This Row],[Mould No]]), 0), 7),)</f>
        <v>18.8</v>
      </c>
      <c r="L200">
        <v>1379</v>
      </c>
      <c r="M200">
        <v>0</v>
      </c>
      <c r="N200">
        <v>0</v>
      </c>
      <c r="O200">
        <v>0</v>
      </c>
      <c r="P200">
        <f>Table1[[#This Row],[Shot]]*Table1[[#This Row],[Cav]]</f>
        <v>8274</v>
      </c>
      <c r="Q200">
        <v>0</v>
      </c>
      <c r="R200">
        <f>(Table1[[#This Row],[Part Weight (gm)]]*Table1[[#This Row],[Finish Good]])/1000</f>
        <v>0</v>
      </c>
      <c r="S200">
        <v>0</v>
      </c>
      <c r="T200">
        <f>IF(Table1[[#This Row],[Qty Order]]="Sample","-",IF(Table1[[#This Row],[Qty Order]]="RTFN","-",Table1[[#This Row],[Qty Order]]-Table1[[#This Row],[Qty Accumulate]]))</f>
        <v>0</v>
      </c>
      <c r="U200">
        <f>((Table1[[#This Row],[Shift Output]]*Table1[[#This Row],[Part Weight (gm)]])/1000)+Table1[[#This Row],[Reject Startup (kg)]]+Table1[[#This Row],[Reject Purging (kg)]]+Table1[[#This Row],[Reject Preform (kg)]]</f>
        <v>155.55120000000002</v>
      </c>
      <c r="V200" s="37">
        <f>(Table1[[#This Row],[Gross Weight (gm)]]-Table1[[#This Row],[Part Weight (gm)]])*Table1[[#This Row],[Shift Output]]/1000</f>
        <v>0</v>
      </c>
      <c r="W200" s="3">
        <v>0</v>
      </c>
      <c r="X200" s="36">
        <f>Table1[[#This Row],[Reject Startup (kg)]]/Table1[[#This Row],[Material Used]]</f>
        <v>0</v>
      </c>
      <c r="Y200" s="3">
        <v>0</v>
      </c>
      <c r="Z200" s="36">
        <f>Table1[[#This Row],[Reject Prod (kg)]]/Table1[[#This Row],[Material Used]]</f>
        <v>0</v>
      </c>
      <c r="AA200" s="4">
        <v>31.316057205200099</v>
      </c>
      <c r="AB200" s="5">
        <v>12</v>
      </c>
      <c r="AC200" s="4" cm="1">
        <f t="array" ref="AC200">IFERROR(INDEX(ReferenceCard, MATCH(1, (INDEX(ReferenceCard,,1)=Table1[[#This Row],[SAP No]]) * (INDEX(ReferenceCard,,2)=Table1[[#This Row],[Mould No]]), 0), 9),)</f>
        <v>18.8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L200" s="2"/>
      <c r="AM200" s="2"/>
      <c r="AN200" s="3">
        <v>0</v>
      </c>
      <c r="AO200" s="3">
        <v>0</v>
      </c>
      <c r="AP20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1" spans="1:42" x14ac:dyDescent="0.35">
      <c r="A201" s="1">
        <v>46017</v>
      </c>
      <c r="B201">
        <v>1</v>
      </c>
      <c r="C201" t="s">
        <v>18</v>
      </c>
      <c r="D201" t="str" cm="1">
        <f t="array" ref="D201">IFERROR(INDEX(ReferenceCard, MATCH(1, (INDEX(ReferenceCard,,1)=Table1[[#This Row],[SAP No]]) * (INDEX(ReferenceCard,,2)=Table1[[#This Row],[Mould No]]), 0), 6),)</f>
        <v>PPSB520Y</v>
      </c>
      <c r="E201">
        <v>555979</v>
      </c>
      <c r="F201">
        <v>4</v>
      </c>
      <c r="G201" t="str" cm="1">
        <f t="array" ref="G201">IFERROR(INDEX(ReferenceCard, MATCH(1, (INDEX(ReferenceCard,,1)=Table1[[#This Row],[SAP No]]) * (INDEX(ReferenceCard,,2)=Table1[[#This Row],[Mould No]]), 0), 3),)</f>
        <v>BC28-0170-D-APH-5180-3539-PP-6 NOTCHES-MOLD4</v>
      </c>
      <c r="H201">
        <v>0</v>
      </c>
      <c r="I201" cm="1">
        <f t="array" ref="I201">IFERROR(INDEX(ReferenceCard, MATCH(1, (INDEX(ReferenceCard,,1)=Table1[[#This Row],[SAP No]]) * (INDEX(ReferenceCard,,2)=Table1[[#This Row],[Mould No]]), 0), 4),)</f>
        <v>6</v>
      </c>
      <c r="J201" s="4" cm="1">
        <f t="array" ref="J201">IFERROR(INDEX(ReferenceCard, MATCH(1, (INDEX(ReferenceCard,,1)=Table1[[#This Row],[SAP No]]) * (INDEX(ReferenceCard,,2)=Table1[[#This Row],[Mould No]]), 0), 9),)</f>
        <v>28</v>
      </c>
      <c r="K201" s="4" cm="1">
        <f t="array" ref="K201">IFERROR(INDEX(ReferenceCard, MATCH(1, (INDEX(ReferenceCard,,1)=Table1[[#This Row],[SAP No]]) * (INDEX(ReferenceCard,,2)=Table1[[#This Row],[Mould No]]), 0), 7),)</f>
        <v>28</v>
      </c>
      <c r="L201">
        <v>986</v>
      </c>
      <c r="M201">
        <v>0</v>
      </c>
      <c r="N201">
        <v>0</v>
      </c>
      <c r="O201">
        <v>0</v>
      </c>
      <c r="P201">
        <f>Table1[[#This Row],[Shot]]*Table1[[#This Row],[Cav]]</f>
        <v>5916</v>
      </c>
      <c r="Q201">
        <v>0</v>
      </c>
      <c r="R201">
        <f>(Table1[[#This Row],[Part Weight (gm)]]*Table1[[#This Row],[Finish Good]])/1000</f>
        <v>0</v>
      </c>
      <c r="S201">
        <v>0</v>
      </c>
      <c r="T201">
        <f>IF(Table1[[#This Row],[Qty Order]]="Sample","-",IF(Table1[[#This Row],[Qty Order]]="RTFN","-",Table1[[#This Row],[Qty Order]]-Table1[[#This Row],[Qty Accumulate]]))</f>
        <v>0</v>
      </c>
      <c r="U201">
        <f>((Table1[[#This Row],[Shift Output]]*Table1[[#This Row],[Part Weight (gm)]])/1000)+Table1[[#This Row],[Reject Startup (kg)]]+Table1[[#This Row],[Reject Purging (kg)]]+Table1[[#This Row],[Reject Preform (kg)]]</f>
        <v>165.648</v>
      </c>
      <c r="V201" s="37">
        <f>(Table1[[#This Row],[Gross Weight (gm)]]-Table1[[#This Row],[Part Weight (gm)]])*Table1[[#This Row],[Shift Output]]/1000</f>
        <v>0</v>
      </c>
      <c r="W201" s="3">
        <v>0</v>
      </c>
      <c r="X201" s="36">
        <f>Table1[[#This Row],[Reject Startup (kg)]]/Table1[[#This Row],[Material Used]]</f>
        <v>0</v>
      </c>
      <c r="Y201" s="3">
        <v>0</v>
      </c>
      <c r="Z201" s="36">
        <f>Table1[[#This Row],[Reject Prod (kg)]]/Table1[[#This Row],[Material Used]]</f>
        <v>0</v>
      </c>
      <c r="AA201" s="4">
        <v>43.5</v>
      </c>
      <c r="AB201" s="5">
        <v>12</v>
      </c>
      <c r="AC201" s="4" cm="1">
        <f t="array" ref="AC201">IFERROR(INDEX(ReferenceCard, MATCH(1, (INDEX(ReferenceCard,,1)=Table1[[#This Row],[SAP No]]) * (INDEX(ReferenceCard,,2)=Table1[[#This Row],[Mould No]]), 0), 9),)</f>
        <v>28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L201" s="2"/>
      <c r="AM201" s="2"/>
      <c r="AN201" s="3">
        <v>0</v>
      </c>
      <c r="AO201" s="3">
        <v>0</v>
      </c>
      <c r="AP20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2" spans="1:42" x14ac:dyDescent="0.35">
      <c r="A202" s="1">
        <v>46016</v>
      </c>
      <c r="B202">
        <v>2</v>
      </c>
      <c r="C202" t="s">
        <v>23</v>
      </c>
      <c r="D202" t="str" cm="1">
        <f t="array" ref="D202">IFERROR(INDEX(ReferenceCard, MATCH(1, (INDEX(ReferenceCard,,1)=Table1[[#This Row],[SAP No]]) * (INDEX(ReferenceCard,,2)=Table1[[#This Row],[Mould No]]), 0), 6),)</f>
        <v>PPSB520Y</v>
      </c>
      <c r="E202">
        <v>586276</v>
      </c>
      <c r="F202">
        <v>2</v>
      </c>
      <c r="G202" t="str" cm="1">
        <f t="array" ref="G202">IFERROR(INDEX(ReferenceCard, MATCH(1, (INDEX(ReferenceCard,,1)=Table1[[#This Row],[SAP No]]) * (INDEX(ReferenceCard,,2)=Table1[[#This Row],[Mould No]]), 0), 3),)</f>
        <v>BC28-0056-D-APH-LEB-604001-MOLD2</v>
      </c>
      <c r="H202">
        <v>0</v>
      </c>
      <c r="I202" cm="1">
        <f t="array" ref="I202">IFERROR(INDEX(ReferenceCard, MATCH(1, (INDEX(ReferenceCard,,1)=Table1[[#This Row],[SAP No]]) * (INDEX(ReferenceCard,,2)=Table1[[#This Row],[Mould No]]), 0), 4),)</f>
        <v>6</v>
      </c>
      <c r="J202" s="4" cm="1">
        <f t="array" ref="J202">IFERROR(INDEX(ReferenceCard, MATCH(1, (INDEX(ReferenceCard,,1)=Table1[[#This Row],[SAP No]]) * (INDEX(ReferenceCard,,2)=Table1[[#This Row],[Mould No]]), 0), 9),)</f>
        <v>12.3</v>
      </c>
      <c r="K202" s="4" cm="1">
        <f t="array" ref="K202">IFERROR(INDEX(ReferenceCard, MATCH(1, (INDEX(ReferenceCard,,1)=Table1[[#This Row],[SAP No]]) * (INDEX(ReferenceCard,,2)=Table1[[#This Row],[Mould No]]), 0), 7),)</f>
        <v>12.3</v>
      </c>
      <c r="L202">
        <v>2867</v>
      </c>
      <c r="M202">
        <v>0</v>
      </c>
      <c r="N202">
        <v>0</v>
      </c>
      <c r="O202">
        <v>0</v>
      </c>
      <c r="P202">
        <f>Table1[[#This Row],[Shot]]*Table1[[#This Row],[Cav]]</f>
        <v>17202</v>
      </c>
      <c r="Q202">
        <v>0</v>
      </c>
      <c r="R202">
        <f>(Table1[[#This Row],[Part Weight (gm)]]*Table1[[#This Row],[Finish Good]])/1000</f>
        <v>0</v>
      </c>
      <c r="S202">
        <v>0</v>
      </c>
      <c r="T202">
        <f>IF(Table1[[#This Row],[Qty Order]]="Sample","-",IF(Table1[[#This Row],[Qty Order]]="RTFN","-",Table1[[#This Row],[Qty Order]]-Table1[[#This Row],[Qty Accumulate]]))</f>
        <v>0</v>
      </c>
      <c r="U202">
        <f>((Table1[[#This Row],[Shift Output]]*Table1[[#This Row],[Part Weight (gm)]])/1000)+Table1[[#This Row],[Reject Startup (kg)]]+Table1[[#This Row],[Reject Purging (kg)]]+Table1[[#This Row],[Reject Preform (kg)]]</f>
        <v>211.58459999999999</v>
      </c>
      <c r="V202" s="37">
        <f>(Table1[[#This Row],[Gross Weight (gm)]]-Table1[[#This Row],[Part Weight (gm)]])*Table1[[#This Row],[Shift Output]]/1000</f>
        <v>0</v>
      </c>
      <c r="W202" s="3">
        <v>0</v>
      </c>
      <c r="X202" s="36">
        <f>Table1[[#This Row],[Reject Startup (kg)]]/Table1[[#This Row],[Material Used]]</f>
        <v>0</v>
      </c>
      <c r="Y202" s="3">
        <v>0</v>
      </c>
      <c r="Z202" s="36">
        <f>Table1[[#This Row],[Reject Prod (kg)]]/Table1[[#This Row],[Material Used]]</f>
        <v>0</v>
      </c>
      <c r="AA202" s="4">
        <v>25.744640350341701</v>
      </c>
      <c r="AB202" s="5">
        <v>4.25999999999999</v>
      </c>
      <c r="AC202" s="4" cm="1">
        <f t="array" ref="AC202">IFERROR(INDEX(ReferenceCard, MATCH(1, (INDEX(ReferenceCard,,1)=Table1[[#This Row],[SAP No]]) * (INDEX(ReferenceCard,,2)=Table1[[#This Row],[Mould No]]), 0), 9),)</f>
        <v>12.3</v>
      </c>
      <c r="AD202" s="5">
        <v>0</v>
      </c>
      <c r="AE202" s="5">
        <v>0</v>
      </c>
      <c r="AF202" s="5">
        <v>0</v>
      </c>
      <c r="AG202" s="5">
        <v>0</v>
      </c>
      <c r="AH202" s="5">
        <v>7.74</v>
      </c>
      <c r="AI202" s="5">
        <v>0</v>
      </c>
      <c r="AJ202" s="5">
        <v>0</v>
      </c>
      <c r="AL202" s="2"/>
      <c r="AM202" s="2"/>
      <c r="AN202" s="3">
        <v>0</v>
      </c>
      <c r="AO202" s="3">
        <v>0</v>
      </c>
      <c r="AP20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3" spans="1:42" x14ac:dyDescent="0.35">
      <c r="A203" s="1">
        <v>46016</v>
      </c>
      <c r="B203">
        <v>2</v>
      </c>
      <c r="C203" t="s">
        <v>25</v>
      </c>
      <c r="D203" t="str" cm="1">
        <f t="array" ref="D203">IFERROR(INDEX(ReferenceCard, MATCH(1, (INDEX(ReferenceCard,,1)=Table1[[#This Row],[SAP No]]) * (INDEX(ReferenceCard,,2)=Table1[[#This Row],[Mould No]]), 0), 6),)</f>
        <v>PET</v>
      </c>
      <c r="E203">
        <v>323133</v>
      </c>
      <c r="F203">
        <v>0</v>
      </c>
      <c r="G203" t="str" cm="1">
        <f t="array" ref="G203">IFERROR(INDEX(ReferenceCard, MATCH(1, (INDEX(ReferenceCard,,1)=Table1[[#This Row],[SAP No]]) * (INDEX(ReferenceCard,,2)=Table1[[#This Row],[Mould No]]), 0), 3),)</f>
        <v>BX38-2000-RH-R-CL(GREEN) (ASEM)</v>
      </c>
      <c r="H203">
        <v>0</v>
      </c>
      <c r="I203" cm="1">
        <f t="array" ref="I203">IFERROR(INDEX(ReferenceCard, MATCH(1, (INDEX(ReferenceCard,,1)=Table1[[#This Row],[SAP No]]) * (INDEX(ReferenceCard,,2)=Table1[[#This Row],[Mould No]]), 0), 4),)</f>
        <v>4</v>
      </c>
      <c r="J203" s="4" cm="1">
        <f t="array" ref="J203">IFERROR(INDEX(ReferenceCard, MATCH(1, (INDEX(ReferenceCard,,1)=Table1[[#This Row],[SAP No]]) * (INDEX(ReferenceCard,,2)=Table1[[#This Row],[Mould No]]), 0), 9),)</f>
        <v>77</v>
      </c>
      <c r="K203" s="4" cm="1">
        <f t="array" ref="K203">IFERROR(INDEX(ReferenceCard, MATCH(1, (INDEX(ReferenceCard,,1)=Table1[[#This Row],[SAP No]]) * (INDEX(ReferenceCard,,2)=Table1[[#This Row],[Mould No]]), 0), 7),)</f>
        <v>77</v>
      </c>
      <c r="L203">
        <v>0</v>
      </c>
      <c r="M203">
        <v>0</v>
      </c>
      <c r="N203">
        <v>0</v>
      </c>
      <c r="O203">
        <v>0</v>
      </c>
      <c r="P203">
        <f>Table1[[#This Row],[Shot]]*Table1[[#This Row],[Cav]]</f>
        <v>0</v>
      </c>
      <c r="Q203">
        <v>0</v>
      </c>
      <c r="R203">
        <f>(Table1[[#This Row],[Part Weight (gm)]]*Table1[[#This Row],[Finish Good]])/1000</f>
        <v>0</v>
      </c>
      <c r="S203">
        <v>0</v>
      </c>
      <c r="T203">
        <f>IF(Table1[[#This Row],[Qty Order]]="Sample","-",IF(Table1[[#This Row],[Qty Order]]="RTFN","-",Table1[[#This Row],[Qty Order]]-Table1[[#This Row],[Qty Accumulate]]))</f>
        <v>0</v>
      </c>
      <c r="U203">
        <f>((Table1[[#This Row],[Shift Output]]*Table1[[#This Row],[Part Weight (gm)]])/1000)+Table1[[#This Row],[Reject Startup (kg)]]+Table1[[#This Row],[Reject Purging (kg)]]+Table1[[#This Row],[Reject Preform (kg)]]</f>
        <v>0</v>
      </c>
      <c r="V203" s="37">
        <f>(Table1[[#This Row],[Gross Weight (gm)]]-Table1[[#This Row],[Part Weight (gm)]])*Table1[[#This Row],[Shift Output]]/1000</f>
        <v>0</v>
      </c>
      <c r="W203" s="3">
        <v>0</v>
      </c>
      <c r="X203" s="36" t="e">
        <f>Table1[[#This Row],[Reject Startup (kg)]]/Table1[[#This Row],[Material Used]]</f>
        <v>#DIV/0!</v>
      </c>
      <c r="Y203" s="3">
        <v>0</v>
      </c>
      <c r="Z203" s="36" t="e">
        <f>Table1[[#This Row],[Reject Prod (kg)]]/Table1[[#This Row],[Material Used]]</f>
        <v>#DIV/0!</v>
      </c>
      <c r="AA203" s="4">
        <v>0</v>
      </c>
      <c r="AB203" s="5">
        <v>0</v>
      </c>
      <c r="AC203" s="4" cm="1">
        <f t="array" ref="AC203">IFERROR(INDEX(ReferenceCard, MATCH(1, (INDEX(ReferenceCard,,1)=Table1[[#This Row],[SAP No]]) * (INDEX(ReferenceCard,,2)=Table1[[#This Row],[Mould No]]), 0), 9),)</f>
        <v>77</v>
      </c>
      <c r="AD203" s="5">
        <v>0</v>
      </c>
      <c r="AE203" s="5">
        <v>0</v>
      </c>
      <c r="AF203" s="5">
        <v>0</v>
      </c>
      <c r="AG203" s="5">
        <v>12</v>
      </c>
      <c r="AH203" s="5">
        <v>0</v>
      </c>
      <c r="AI203" s="5">
        <v>0</v>
      </c>
      <c r="AJ203" s="5">
        <v>0</v>
      </c>
      <c r="AK203" t="s">
        <v>48</v>
      </c>
      <c r="AL203" s="2"/>
      <c r="AM203" s="2"/>
      <c r="AN203" s="3">
        <v>0</v>
      </c>
      <c r="AO203" s="3">
        <v>0</v>
      </c>
      <c r="AP20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4" spans="1:42" x14ac:dyDescent="0.35">
      <c r="A204" s="1">
        <v>46016</v>
      </c>
      <c r="B204">
        <v>2</v>
      </c>
      <c r="C204" t="s">
        <v>27</v>
      </c>
      <c r="D204" t="str" cm="1">
        <f t="array" ref="D204">IFERROR(INDEX(ReferenceCard, MATCH(1, (INDEX(ReferenceCard,,1)=Table1[[#This Row],[SAP No]]) * (INDEX(ReferenceCard,,2)=Table1[[#This Row],[Mould No]]), 0), 6),)</f>
        <v>PPSB520Y</v>
      </c>
      <c r="E204">
        <v>552181</v>
      </c>
      <c r="F204">
        <v>4</v>
      </c>
      <c r="G204" t="str" cm="1">
        <f t="array" ref="G204">IFERROR(INDEX(ReferenceCard, MATCH(1, (INDEX(ReferenceCard,,1)=Table1[[#This Row],[SAP No]]) * (INDEX(ReferenceCard,,2)=Table1[[#This Row],[Mould No]]), 0), 3),)</f>
        <v>BC28-0090-D-APH-5180-3538-PP-6 NOTCHES-MOLD4</v>
      </c>
      <c r="H204">
        <v>0</v>
      </c>
      <c r="I204" cm="1">
        <f t="array" ref="I204">IFERROR(INDEX(ReferenceCard, MATCH(1, (INDEX(ReferenceCard,,1)=Table1[[#This Row],[SAP No]]) * (INDEX(ReferenceCard,,2)=Table1[[#This Row],[Mould No]]), 0), 4),)</f>
        <v>6</v>
      </c>
      <c r="J204" s="4" cm="1">
        <f t="array" ref="J204">IFERROR(INDEX(ReferenceCard, MATCH(1, (INDEX(ReferenceCard,,1)=Table1[[#This Row],[SAP No]]) * (INDEX(ReferenceCard,,2)=Table1[[#This Row],[Mould No]]), 0), 9),)</f>
        <v>18.8</v>
      </c>
      <c r="K204" s="4" cm="1">
        <f t="array" ref="K204">IFERROR(INDEX(ReferenceCard, MATCH(1, (INDEX(ReferenceCard,,1)=Table1[[#This Row],[SAP No]]) * (INDEX(ReferenceCard,,2)=Table1[[#This Row],[Mould No]]), 0), 7),)</f>
        <v>18.8</v>
      </c>
      <c r="L204">
        <v>2665</v>
      </c>
      <c r="M204">
        <v>0</v>
      </c>
      <c r="N204">
        <v>0</v>
      </c>
      <c r="O204">
        <v>0</v>
      </c>
      <c r="P204">
        <f>Table1[[#This Row],[Shot]]*Table1[[#This Row],[Cav]]</f>
        <v>15990</v>
      </c>
      <c r="Q204">
        <v>0</v>
      </c>
      <c r="R204">
        <f>(Table1[[#This Row],[Part Weight (gm)]]*Table1[[#This Row],[Finish Good]])/1000</f>
        <v>0</v>
      </c>
      <c r="S204">
        <v>0</v>
      </c>
      <c r="T204">
        <f>IF(Table1[[#This Row],[Qty Order]]="Sample","-",IF(Table1[[#This Row],[Qty Order]]="RTFN","-",Table1[[#This Row],[Qty Order]]-Table1[[#This Row],[Qty Accumulate]]))</f>
        <v>0</v>
      </c>
      <c r="U204">
        <f>((Table1[[#This Row],[Shift Output]]*Table1[[#This Row],[Part Weight (gm)]])/1000)+Table1[[#This Row],[Reject Startup (kg)]]+Table1[[#This Row],[Reject Purging (kg)]]+Table1[[#This Row],[Reject Preform (kg)]]</f>
        <v>300.61200000000002</v>
      </c>
      <c r="V204" s="37">
        <f>(Table1[[#This Row],[Gross Weight (gm)]]-Table1[[#This Row],[Part Weight (gm)]])*Table1[[#This Row],[Shift Output]]/1000</f>
        <v>0</v>
      </c>
      <c r="W204" s="3">
        <v>0</v>
      </c>
      <c r="X204" s="36">
        <f>Table1[[#This Row],[Reject Startup (kg)]]/Table1[[#This Row],[Material Used]]</f>
        <v>0</v>
      </c>
      <c r="Y204" s="3">
        <v>0</v>
      </c>
      <c r="Z204" s="36">
        <f>Table1[[#This Row],[Reject Prod (kg)]]/Table1[[#This Row],[Material Used]]</f>
        <v>0</v>
      </c>
      <c r="AA204" s="4">
        <v>27.711936950683501</v>
      </c>
      <c r="AB204" s="5">
        <v>4.25999999999999</v>
      </c>
      <c r="AC204" s="4" cm="1">
        <f t="array" ref="AC204">IFERROR(INDEX(ReferenceCard, MATCH(1, (INDEX(ReferenceCard,,1)=Table1[[#This Row],[SAP No]]) * (INDEX(ReferenceCard,,2)=Table1[[#This Row],[Mould No]]), 0), 9),)</f>
        <v>18.8</v>
      </c>
      <c r="AD204" s="5">
        <v>0</v>
      </c>
      <c r="AE204" s="5">
        <v>0</v>
      </c>
      <c r="AF204" s="5">
        <v>0</v>
      </c>
      <c r="AG204" s="5">
        <v>0</v>
      </c>
      <c r="AH204" s="5">
        <v>7.74</v>
      </c>
      <c r="AI204" s="5">
        <v>0</v>
      </c>
      <c r="AJ204" s="5">
        <v>0</v>
      </c>
      <c r="AL204" s="2"/>
      <c r="AM204" s="2"/>
      <c r="AN204" s="3">
        <v>0</v>
      </c>
      <c r="AO204" s="3">
        <v>0</v>
      </c>
      <c r="AP20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5" spans="1:42" x14ac:dyDescent="0.35">
      <c r="A205" s="1">
        <v>46016</v>
      </c>
      <c r="B205">
        <v>2</v>
      </c>
      <c r="C205" t="s">
        <v>29</v>
      </c>
      <c r="D205" t="str" cm="1">
        <f t="array" ref="D205">IFERROR(INDEX(ReferenceCard, MATCH(1, (INDEX(ReferenceCard,,1)=Table1[[#This Row],[SAP No]]) * (INDEX(ReferenceCard,,2)=Table1[[#This Row],[Mould No]]), 0), 6),)</f>
        <v>PET</v>
      </c>
      <c r="E205">
        <v>620599</v>
      </c>
      <c r="F205">
        <v>0</v>
      </c>
      <c r="G205" t="str" cm="1">
        <f t="array" ref="G205">IFERROR(INDEX(ReferenceCard, MATCH(1, (INDEX(ReferenceCard,,1)=Table1[[#This Row],[SAP No]]) * (INDEX(ReferenceCard,,2)=Table1[[#This Row],[Mould No]]), 0), 3),)</f>
        <v>BC28-0750-K4-R-CL (55g)</v>
      </c>
      <c r="H205">
        <v>0</v>
      </c>
      <c r="I205" cm="1">
        <f t="array" ref="I205">IFERROR(INDEX(ReferenceCard, MATCH(1, (INDEX(ReferenceCard,,1)=Table1[[#This Row],[SAP No]]) * (INDEX(ReferenceCard,,2)=Table1[[#This Row],[Mould No]]), 0), 4),)</f>
        <v>4</v>
      </c>
      <c r="J205" s="4" cm="1">
        <f t="array" ref="J205">IFERROR(INDEX(ReferenceCard, MATCH(1, (INDEX(ReferenceCard,,1)=Table1[[#This Row],[SAP No]]) * (INDEX(ReferenceCard,,2)=Table1[[#This Row],[Mould No]]), 0), 9),)</f>
        <v>55</v>
      </c>
      <c r="K205" s="4" cm="1">
        <f t="array" ref="K205">IFERROR(INDEX(ReferenceCard, MATCH(1, (INDEX(ReferenceCard,,1)=Table1[[#This Row],[SAP No]]) * (INDEX(ReferenceCard,,2)=Table1[[#This Row],[Mould No]]), 0), 7),)</f>
        <v>55</v>
      </c>
      <c r="L205">
        <v>2636</v>
      </c>
      <c r="M205">
        <v>0</v>
      </c>
      <c r="N205">
        <v>0</v>
      </c>
      <c r="O205">
        <v>0</v>
      </c>
      <c r="P205">
        <f>Table1[[#This Row],[Shot]]*Table1[[#This Row],[Cav]]</f>
        <v>10544</v>
      </c>
      <c r="Q205">
        <v>0</v>
      </c>
      <c r="R205">
        <f>(Table1[[#This Row],[Part Weight (gm)]]*Table1[[#This Row],[Finish Good]])/1000</f>
        <v>0</v>
      </c>
      <c r="S205">
        <v>0</v>
      </c>
      <c r="T205">
        <f>IF(Table1[[#This Row],[Qty Order]]="Sample","-",IF(Table1[[#This Row],[Qty Order]]="RTFN","-",Table1[[#This Row],[Qty Order]]-Table1[[#This Row],[Qty Accumulate]]))</f>
        <v>0</v>
      </c>
      <c r="U205">
        <f>((Table1[[#This Row],[Shift Output]]*Table1[[#This Row],[Part Weight (gm)]])/1000)+Table1[[#This Row],[Reject Startup (kg)]]+Table1[[#This Row],[Reject Purging (kg)]]+Table1[[#This Row],[Reject Preform (kg)]]</f>
        <v>579.91999999999996</v>
      </c>
      <c r="V205" s="37">
        <f>(Table1[[#This Row],[Gross Weight (gm)]]-Table1[[#This Row],[Part Weight (gm)]])*Table1[[#This Row],[Shift Output]]/1000</f>
        <v>0</v>
      </c>
      <c r="W205" s="3">
        <v>0</v>
      </c>
      <c r="X205" s="36">
        <f>Table1[[#This Row],[Reject Startup (kg)]]/Table1[[#This Row],[Material Used]]</f>
        <v>0</v>
      </c>
      <c r="Y205" s="3">
        <v>0</v>
      </c>
      <c r="Z205" s="36">
        <f>Table1[[#This Row],[Reject Prod (kg)]]/Table1[[#This Row],[Material Used]]</f>
        <v>0</v>
      </c>
      <c r="AA205" s="4">
        <v>28.012025833129801</v>
      </c>
      <c r="AB205" s="5">
        <v>4.25999999999999</v>
      </c>
      <c r="AC205" s="4" cm="1">
        <f t="array" ref="AC205">IFERROR(INDEX(ReferenceCard, MATCH(1, (INDEX(ReferenceCard,,1)=Table1[[#This Row],[SAP No]]) * (INDEX(ReferenceCard,,2)=Table1[[#This Row],[Mould No]]), 0), 9),)</f>
        <v>55</v>
      </c>
      <c r="AD205" s="5">
        <v>0</v>
      </c>
      <c r="AE205" s="5">
        <v>0</v>
      </c>
      <c r="AF205" s="5">
        <v>0</v>
      </c>
      <c r="AG205" s="5">
        <v>0</v>
      </c>
      <c r="AH205" s="5">
        <v>7.74</v>
      </c>
      <c r="AI205" s="5">
        <v>0</v>
      </c>
      <c r="AJ205" s="5">
        <v>0</v>
      </c>
      <c r="AL205" s="2"/>
      <c r="AM205" s="2"/>
      <c r="AN205" s="3">
        <v>0</v>
      </c>
      <c r="AO205" s="3">
        <v>0</v>
      </c>
      <c r="AP20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6" spans="1:42" x14ac:dyDescent="0.35">
      <c r="A206" s="1">
        <v>46016</v>
      </c>
      <c r="B206">
        <v>2</v>
      </c>
      <c r="C206" t="s">
        <v>31</v>
      </c>
      <c r="D206" t="str" cm="1">
        <f t="array" ref="D206">IFERROR(INDEX(ReferenceCard, MATCH(1, (INDEX(ReferenceCard,,1)=Table1[[#This Row],[SAP No]]) * (INDEX(ReferenceCard,,2)=Table1[[#This Row],[Mould No]]), 0), 6),)</f>
        <v>PPSB520Y</v>
      </c>
      <c r="E206">
        <v>586276</v>
      </c>
      <c r="F206">
        <v>4</v>
      </c>
      <c r="G206" t="str" cm="1">
        <f t="array" ref="G206">IFERROR(INDEX(ReferenceCard, MATCH(1, (INDEX(ReferenceCard,,1)=Table1[[#This Row],[SAP No]]) * (INDEX(ReferenceCard,,2)=Table1[[#This Row],[Mould No]]), 0), 3),)</f>
        <v>BC28-0056-D-APH-LEB-604001-MOLD4</v>
      </c>
      <c r="H206">
        <v>0</v>
      </c>
      <c r="I206" cm="1">
        <f t="array" ref="I206">IFERROR(INDEX(ReferenceCard, MATCH(1, (INDEX(ReferenceCard,,1)=Table1[[#This Row],[SAP No]]) * (INDEX(ReferenceCard,,2)=Table1[[#This Row],[Mould No]]), 0), 4),)</f>
        <v>6</v>
      </c>
      <c r="J206" s="4" cm="1">
        <f t="array" ref="J206">IFERROR(INDEX(ReferenceCard, MATCH(1, (INDEX(ReferenceCard,,1)=Table1[[#This Row],[SAP No]]) * (INDEX(ReferenceCard,,2)=Table1[[#This Row],[Mould No]]), 0), 9),)</f>
        <v>12.3</v>
      </c>
      <c r="K206" s="4" cm="1">
        <f t="array" ref="K206">IFERROR(INDEX(ReferenceCard, MATCH(1, (INDEX(ReferenceCard,,1)=Table1[[#This Row],[SAP No]]) * (INDEX(ReferenceCard,,2)=Table1[[#This Row],[Mould No]]), 0), 7),)</f>
        <v>12.3</v>
      </c>
      <c r="L206">
        <v>2808</v>
      </c>
      <c r="M206">
        <v>0</v>
      </c>
      <c r="N206">
        <v>0</v>
      </c>
      <c r="O206">
        <v>0</v>
      </c>
      <c r="P206">
        <f>Table1[[#This Row],[Shot]]*Table1[[#This Row],[Cav]]</f>
        <v>16848</v>
      </c>
      <c r="Q206">
        <v>0</v>
      </c>
      <c r="R206">
        <f>(Table1[[#This Row],[Part Weight (gm)]]*Table1[[#This Row],[Finish Good]])/1000</f>
        <v>0</v>
      </c>
      <c r="S206">
        <v>0</v>
      </c>
      <c r="T206">
        <f>IF(Table1[[#This Row],[Qty Order]]="Sample","-",IF(Table1[[#This Row],[Qty Order]]="RTFN","-",Table1[[#This Row],[Qty Order]]-Table1[[#This Row],[Qty Accumulate]]))</f>
        <v>0</v>
      </c>
      <c r="U206">
        <f>((Table1[[#This Row],[Shift Output]]*Table1[[#This Row],[Part Weight (gm)]])/1000)+Table1[[#This Row],[Reject Startup (kg)]]+Table1[[#This Row],[Reject Purging (kg)]]+Table1[[#This Row],[Reject Preform (kg)]]</f>
        <v>207.23040000000003</v>
      </c>
      <c r="V206" s="37">
        <f>(Table1[[#This Row],[Gross Weight (gm)]]-Table1[[#This Row],[Part Weight (gm)]])*Table1[[#This Row],[Shift Output]]/1000</f>
        <v>0</v>
      </c>
      <c r="W206" s="3">
        <v>0</v>
      </c>
      <c r="X206" s="36">
        <f>Table1[[#This Row],[Reject Startup (kg)]]/Table1[[#This Row],[Material Used]]</f>
        <v>0</v>
      </c>
      <c r="Y206" s="3">
        <v>0</v>
      </c>
      <c r="Z206" s="36">
        <f>Table1[[#This Row],[Reject Prod (kg)]]/Table1[[#This Row],[Material Used]]</f>
        <v>0</v>
      </c>
      <c r="AA206" s="4">
        <v>26.262454986572202</v>
      </c>
      <c r="AB206" s="5">
        <v>4.25999999999999</v>
      </c>
      <c r="AC206" s="4" cm="1">
        <f t="array" ref="AC206">IFERROR(INDEX(ReferenceCard, MATCH(1, (INDEX(ReferenceCard,,1)=Table1[[#This Row],[SAP No]]) * (INDEX(ReferenceCard,,2)=Table1[[#This Row],[Mould No]]), 0), 9),)</f>
        <v>12.3</v>
      </c>
      <c r="AD206" s="5">
        <v>0</v>
      </c>
      <c r="AE206" s="5">
        <v>0</v>
      </c>
      <c r="AF206" s="5">
        <v>0</v>
      </c>
      <c r="AG206" s="5">
        <v>0</v>
      </c>
      <c r="AH206" s="5">
        <v>7.74</v>
      </c>
      <c r="AI206" s="5">
        <v>0</v>
      </c>
      <c r="AJ206" s="5">
        <v>0</v>
      </c>
      <c r="AL206" s="2"/>
      <c r="AM206" s="2"/>
      <c r="AN206" s="3">
        <v>0</v>
      </c>
      <c r="AO206" s="3">
        <v>0</v>
      </c>
      <c r="AP20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7" spans="1:42" x14ac:dyDescent="0.35">
      <c r="A207" s="1">
        <v>46016</v>
      </c>
      <c r="B207">
        <v>2</v>
      </c>
      <c r="C207" t="s">
        <v>33</v>
      </c>
      <c r="D207" t="str" cm="1">
        <f t="array" ref="D207">IFERROR(INDEX(ReferenceCard, MATCH(1, (INDEX(ReferenceCard,,1)=Table1[[#This Row],[SAP No]]) * (INDEX(ReferenceCard,,2)=Table1[[#This Row],[Mould No]]), 0), 6),)</f>
        <v>PET</v>
      </c>
      <c r="E207">
        <v>541381</v>
      </c>
      <c r="F207">
        <v>0</v>
      </c>
      <c r="G207" t="str" cm="1">
        <f t="array" ref="G207">IFERROR(INDEX(ReferenceCard, MATCH(1, (INDEX(ReferenceCard,,1)=Table1[[#This Row],[SAP No]]) * (INDEX(ReferenceCard,,2)=Table1[[#This Row],[Mould No]]), 0), 3),)</f>
        <v>BC28-1200-K-R-CL</v>
      </c>
      <c r="H207">
        <v>0</v>
      </c>
      <c r="I207" cm="1">
        <f t="array" ref="I207">IFERROR(INDEX(ReferenceCard, MATCH(1, (INDEX(ReferenceCard,,1)=Table1[[#This Row],[SAP No]]) * (INDEX(ReferenceCard,,2)=Table1[[#This Row],[Mould No]]), 0), 4),)</f>
        <v>4</v>
      </c>
      <c r="J207" s="4" cm="1">
        <f t="array" ref="J207">IFERROR(INDEX(ReferenceCard, MATCH(1, (INDEX(ReferenceCard,,1)=Table1[[#This Row],[SAP No]]) * (INDEX(ReferenceCard,,2)=Table1[[#This Row],[Mould No]]), 0), 9),)</f>
        <v>55</v>
      </c>
      <c r="K207" s="4" cm="1">
        <f t="array" ref="K207">IFERROR(INDEX(ReferenceCard, MATCH(1, (INDEX(ReferenceCard,,1)=Table1[[#This Row],[SAP No]]) * (INDEX(ReferenceCard,,2)=Table1[[#This Row],[Mould No]]), 0), 7),)</f>
        <v>55</v>
      </c>
      <c r="L207">
        <v>4331</v>
      </c>
      <c r="M207">
        <v>0</v>
      </c>
      <c r="N207">
        <v>0</v>
      </c>
      <c r="O207">
        <v>0</v>
      </c>
      <c r="P207">
        <f>Table1[[#This Row],[Shot]]*Table1[[#This Row],[Cav]]</f>
        <v>17324</v>
      </c>
      <c r="Q207">
        <v>0</v>
      </c>
      <c r="R207">
        <f>(Table1[[#This Row],[Part Weight (gm)]]*Table1[[#This Row],[Finish Good]])/1000</f>
        <v>0</v>
      </c>
      <c r="S207">
        <v>0</v>
      </c>
      <c r="T207">
        <f>IF(Table1[[#This Row],[Qty Order]]="Sample","-",IF(Table1[[#This Row],[Qty Order]]="RTFN","-",Table1[[#This Row],[Qty Order]]-Table1[[#This Row],[Qty Accumulate]]))</f>
        <v>0</v>
      </c>
      <c r="U207">
        <f>((Table1[[#This Row],[Shift Output]]*Table1[[#This Row],[Part Weight (gm)]])/1000)+Table1[[#This Row],[Reject Startup (kg)]]+Table1[[#This Row],[Reject Purging (kg)]]+Table1[[#This Row],[Reject Preform (kg)]]</f>
        <v>952.82</v>
      </c>
      <c r="V207" s="37">
        <f>(Table1[[#This Row],[Gross Weight (gm)]]-Table1[[#This Row],[Part Weight (gm)]])*Table1[[#This Row],[Shift Output]]/1000</f>
        <v>0</v>
      </c>
      <c r="W207" s="3">
        <v>0</v>
      </c>
      <c r="X207" s="36">
        <f>Table1[[#This Row],[Reject Startup (kg)]]/Table1[[#This Row],[Material Used]]</f>
        <v>0</v>
      </c>
      <c r="Y207" s="3">
        <v>0</v>
      </c>
      <c r="Z207" s="36">
        <f>Table1[[#This Row],[Reject Prod (kg)]]/Table1[[#This Row],[Material Used]]</f>
        <v>0</v>
      </c>
      <c r="AA207" s="4">
        <v>42.774745941162102</v>
      </c>
      <c r="AB207" s="5">
        <v>6.86</v>
      </c>
      <c r="AC207" s="4" cm="1">
        <f t="array" ref="AC207">IFERROR(INDEX(ReferenceCard, MATCH(1, (INDEX(ReferenceCard,,1)=Table1[[#This Row],[SAP No]]) * (INDEX(ReferenceCard,,2)=Table1[[#This Row],[Mould No]]), 0), 9),)</f>
        <v>55</v>
      </c>
      <c r="AD207" s="5">
        <v>0</v>
      </c>
      <c r="AE207" s="5">
        <v>0</v>
      </c>
      <c r="AF207" s="5">
        <v>0</v>
      </c>
      <c r="AG207" s="5">
        <v>0</v>
      </c>
      <c r="AH207" s="5">
        <v>5.1399999999999899</v>
      </c>
      <c r="AI207" s="5">
        <v>0</v>
      </c>
      <c r="AJ207" s="5">
        <v>0</v>
      </c>
      <c r="AL207" s="2"/>
      <c r="AM207" s="2"/>
      <c r="AN207" s="3">
        <v>0</v>
      </c>
      <c r="AO207" s="3">
        <v>0</v>
      </c>
      <c r="AP20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8" spans="1:42" x14ac:dyDescent="0.35">
      <c r="A208" s="1">
        <v>46016</v>
      </c>
      <c r="B208">
        <v>2</v>
      </c>
      <c r="C208" t="s">
        <v>35</v>
      </c>
      <c r="D208" t="str" cm="1">
        <f t="array" ref="D208">IFERROR(INDEX(ReferenceCard, MATCH(1, (INDEX(ReferenceCard,,1)=Table1[[#This Row],[SAP No]]) * (INDEX(ReferenceCard,,2)=Table1[[#This Row],[Mould No]]), 0), 6),)</f>
        <v>PPSB520Y</v>
      </c>
      <c r="E208">
        <v>552181</v>
      </c>
      <c r="F208">
        <v>1</v>
      </c>
      <c r="G208" t="str" cm="1">
        <f t="array" ref="G208">IFERROR(INDEX(ReferenceCard, MATCH(1, (INDEX(ReferenceCard,,1)=Table1[[#This Row],[SAP No]]) * (INDEX(ReferenceCard,,2)=Table1[[#This Row],[Mould No]]), 0), 3),)</f>
        <v>BC28-0090-D-APH-5180-3538-PP-6 NOTCHES-MOLD1</v>
      </c>
      <c r="H208">
        <v>0</v>
      </c>
      <c r="I208" cm="1">
        <f t="array" ref="I208">IFERROR(INDEX(ReferenceCard, MATCH(1, (INDEX(ReferenceCard,,1)=Table1[[#This Row],[SAP No]]) * (INDEX(ReferenceCard,,2)=Table1[[#This Row],[Mould No]]), 0), 4),)</f>
        <v>6</v>
      </c>
      <c r="J208" s="4" cm="1">
        <f t="array" ref="J208">IFERROR(INDEX(ReferenceCard, MATCH(1, (INDEX(ReferenceCard,,1)=Table1[[#This Row],[SAP No]]) * (INDEX(ReferenceCard,,2)=Table1[[#This Row],[Mould No]]), 0), 9),)</f>
        <v>18.8</v>
      </c>
      <c r="K208" s="4" cm="1">
        <f t="array" ref="K208">IFERROR(INDEX(ReferenceCard, MATCH(1, (INDEX(ReferenceCard,,1)=Table1[[#This Row],[SAP No]]) * (INDEX(ReferenceCard,,2)=Table1[[#This Row],[Mould No]]), 0), 7),)</f>
        <v>18.8</v>
      </c>
      <c r="L208">
        <v>2357</v>
      </c>
      <c r="M208">
        <v>0</v>
      </c>
      <c r="N208">
        <v>0</v>
      </c>
      <c r="O208">
        <v>0</v>
      </c>
      <c r="P208">
        <f>Table1[[#This Row],[Shot]]*Table1[[#This Row],[Cav]]</f>
        <v>14142</v>
      </c>
      <c r="Q208">
        <v>0</v>
      </c>
      <c r="R208">
        <f>(Table1[[#This Row],[Part Weight (gm)]]*Table1[[#This Row],[Finish Good]])/1000</f>
        <v>0</v>
      </c>
      <c r="S208">
        <v>0</v>
      </c>
      <c r="T208">
        <f>IF(Table1[[#This Row],[Qty Order]]="Sample","-",IF(Table1[[#This Row],[Qty Order]]="RTFN","-",Table1[[#This Row],[Qty Order]]-Table1[[#This Row],[Qty Accumulate]]))</f>
        <v>0</v>
      </c>
      <c r="U208">
        <f>((Table1[[#This Row],[Shift Output]]*Table1[[#This Row],[Part Weight (gm)]])/1000)+Table1[[#This Row],[Reject Startup (kg)]]+Table1[[#This Row],[Reject Purging (kg)]]+Table1[[#This Row],[Reject Preform (kg)]]</f>
        <v>265.86960000000005</v>
      </c>
      <c r="V208" s="37">
        <f>(Table1[[#This Row],[Gross Weight (gm)]]-Table1[[#This Row],[Part Weight (gm)]])*Table1[[#This Row],[Shift Output]]/1000</f>
        <v>0</v>
      </c>
      <c r="W208" s="3">
        <v>0</v>
      </c>
      <c r="X208" s="36">
        <f>Table1[[#This Row],[Reject Startup (kg)]]/Table1[[#This Row],[Material Used]]</f>
        <v>0</v>
      </c>
      <c r="Y208" s="3">
        <v>0</v>
      </c>
      <c r="Z208" s="36">
        <f>Table1[[#This Row],[Reject Prod (kg)]]/Table1[[#This Row],[Material Used]]</f>
        <v>0</v>
      </c>
      <c r="AA208" s="4">
        <v>31.315162658691399</v>
      </c>
      <c r="AB208" s="5">
        <v>12</v>
      </c>
      <c r="AC208" s="4" cm="1">
        <f t="array" ref="AC208">IFERROR(INDEX(ReferenceCard, MATCH(1, (INDEX(ReferenceCard,,1)=Table1[[#This Row],[SAP No]]) * (INDEX(ReferenceCard,,2)=Table1[[#This Row],[Mould No]]), 0), 9),)</f>
        <v>18.8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L208" s="2"/>
      <c r="AM208" s="2"/>
      <c r="AN208" s="3">
        <v>0</v>
      </c>
      <c r="AO208" s="3">
        <v>0</v>
      </c>
      <c r="AP20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09" spans="1:42" x14ac:dyDescent="0.35">
      <c r="A209" s="1">
        <v>46016</v>
      </c>
      <c r="B209">
        <v>2</v>
      </c>
      <c r="C209" t="s">
        <v>18</v>
      </c>
      <c r="D209" t="str" cm="1">
        <f t="array" ref="D209">IFERROR(INDEX(ReferenceCard, MATCH(1, (INDEX(ReferenceCard,,1)=Table1[[#This Row],[SAP No]]) * (INDEX(ReferenceCard,,2)=Table1[[#This Row],[Mould No]]), 0), 6),)</f>
        <v>PPSB520Y</v>
      </c>
      <c r="E209">
        <v>555979</v>
      </c>
      <c r="F209">
        <v>4</v>
      </c>
      <c r="G209" t="str" cm="1">
        <f t="array" ref="G209">IFERROR(INDEX(ReferenceCard, MATCH(1, (INDEX(ReferenceCard,,1)=Table1[[#This Row],[SAP No]]) * (INDEX(ReferenceCard,,2)=Table1[[#This Row],[Mould No]]), 0), 3),)</f>
        <v>BC28-0170-D-APH-5180-3539-PP-6 NOTCHES-MOLD4</v>
      </c>
      <c r="H209">
        <v>0</v>
      </c>
      <c r="I209" cm="1">
        <f t="array" ref="I209">IFERROR(INDEX(ReferenceCard, MATCH(1, (INDEX(ReferenceCard,,1)=Table1[[#This Row],[SAP No]]) * (INDEX(ReferenceCard,,2)=Table1[[#This Row],[Mould No]]), 0), 4),)</f>
        <v>6</v>
      </c>
      <c r="J209" s="4" cm="1">
        <f t="array" ref="J209">IFERROR(INDEX(ReferenceCard, MATCH(1, (INDEX(ReferenceCard,,1)=Table1[[#This Row],[SAP No]]) * (INDEX(ReferenceCard,,2)=Table1[[#This Row],[Mould No]]), 0), 9),)</f>
        <v>28</v>
      </c>
      <c r="K209" s="4" cm="1">
        <f t="array" ref="K209">IFERROR(INDEX(ReferenceCard, MATCH(1, (INDEX(ReferenceCard,,1)=Table1[[#This Row],[SAP No]]) * (INDEX(ReferenceCard,,2)=Table1[[#This Row],[Mould No]]), 0), 7),)</f>
        <v>28</v>
      </c>
      <c r="L209">
        <v>980</v>
      </c>
      <c r="M209">
        <v>0</v>
      </c>
      <c r="N209">
        <v>0</v>
      </c>
      <c r="O209">
        <v>0</v>
      </c>
      <c r="P209">
        <f>Table1[[#This Row],[Shot]]*Table1[[#This Row],[Cav]]</f>
        <v>5880</v>
      </c>
      <c r="Q209">
        <v>0</v>
      </c>
      <c r="R209">
        <f>(Table1[[#This Row],[Part Weight (gm)]]*Table1[[#This Row],[Finish Good]])/1000</f>
        <v>0</v>
      </c>
      <c r="S209">
        <v>0</v>
      </c>
      <c r="T209">
        <f>IF(Table1[[#This Row],[Qty Order]]="Sample","-",IF(Table1[[#This Row],[Qty Order]]="RTFN","-",Table1[[#This Row],[Qty Order]]-Table1[[#This Row],[Qty Accumulate]]))</f>
        <v>0</v>
      </c>
      <c r="U209">
        <f>((Table1[[#This Row],[Shift Output]]*Table1[[#This Row],[Part Weight (gm)]])/1000)+Table1[[#This Row],[Reject Startup (kg)]]+Table1[[#This Row],[Reject Purging (kg)]]+Table1[[#This Row],[Reject Preform (kg)]]</f>
        <v>164.64</v>
      </c>
      <c r="V209" s="37">
        <f>(Table1[[#This Row],[Gross Weight (gm)]]-Table1[[#This Row],[Part Weight (gm)]])*Table1[[#This Row],[Shift Output]]/1000</f>
        <v>0</v>
      </c>
      <c r="W209" s="3">
        <v>0</v>
      </c>
      <c r="X209" s="36">
        <f>Table1[[#This Row],[Reject Startup (kg)]]/Table1[[#This Row],[Material Used]]</f>
        <v>0</v>
      </c>
      <c r="Y209" s="3">
        <v>0</v>
      </c>
      <c r="Z209" s="36">
        <f>Table1[[#This Row],[Reject Prod (kg)]]/Table1[[#This Row],[Material Used]]</f>
        <v>0</v>
      </c>
      <c r="AA209" s="4">
        <v>43.5</v>
      </c>
      <c r="AB209" s="5">
        <v>12</v>
      </c>
      <c r="AC209" s="4" cm="1">
        <f t="array" ref="AC209">IFERROR(INDEX(ReferenceCard, MATCH(1, (INDEX(ReferenceCard,,1)=Table1[[#This Row],[SAP No]]) * (INDEX(ReferenceCard,,2)=Table1[[#This Row],[Mould No]]), 0), 9),)</f>
        <v>28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L209" s="2"/>
      <c r="AM209" s="2"/>
      <c r="AN209" s="3">
        <v>0</v>
      </c>
      <c r="AO209" s="3">
        <v>0</v>
      </c>
      <c r="AP20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0" spans="1:42" x14ac:dyDescent="0.35">
      <c r="A210" s="1">
        <v>46016</v>
      </c>
      <c r="B210">
        <v>2</v>
      </c>
      <c r="C210" t="s">
        <v>3</v>
      </c>
      <c r="D210" t="str" cm="1">
        <f t="array" ref="D210">IFERROR(INDEX(ReferenceCard, MATCH(1, (INDEX(ReferenceCard,,1)=Table1[[#This Row],[SAP No]]) * (INDEX(ReferenceCard,,2)=Table1[[#This Row],[Mould No]]), 0), 6),)</f>
        <v>PET</v>
      </c>
      <c r="E210">
        <v>423215</v>
      </c>
      <c r="F210">
        <v>0</v>
      </c>
      <c r="G210" t="str" cm="1">
        <f t="array" ref="G210">IFERROR(INDEX(ReferenceCard, MATCH(1, (INDEX(ReferenceCard,,1)=Table1[[#This Row],[SAP No]]) * (INDEX(ReferenceCard,,2)=Table1[[#This Row],[Mould No]]), 0), 3),)</f>
        <v>BC28-0355-SCC-A-Q-CL</v>
      </c>
      <c r="H210">
        <v>0</v>
      </c>
      <c r="I210" cm="1">
        <f t="array" ref="I210">IFERROR(INDEX(ReferenceCard, MATCH(1, (INDEX(ReferenceCard,,1)=Table1[[#This Row],[SAP No]]) * (INDEX(ReferenceCard,,2)=Table1[[#This Row],[Mould No]]), 0), 4),)</f>
        <v>4</v>
      </c>
      <c r="J210" s="4" cm="1">
        <f t="array" ref="J210">IFERROR(INDEX(ReferenceCard, MATCH(1, (INDEX(ReferenceCard,,1)=Table1[[#This Row],[SAP No]]) * (INDEX(ReferenceCard,,2)=Table1[[#This Row],[Mould No]]), 0), 9),)</f>
        <v>24</v>
      </c>
      <c r="K210" s="4" cm="1">
        <f t="array" ref="K210">IFERROR(INDEX(ReferenceCard, MATCH(1, (INDEX(ReferenceCard,,1)=Table1[[#This Row],[SAP No]]) * (INDEX(ReferenceCard,,2)=Table1[[#This Row],[Mould No]]), 0), 7),)</f>
        <v>24</v>
      </c>
      <c r="L210">
        <v>1517</v>
      </c>
      <c r="M210">
        <v>0</v>
      </c>
      <c r="N210">
        <v>0</v>
      </c>
      <c r="O210">
        <v>0</v>
      </c>
      <c r="P210">
        <f>Table1[[#This Row],[Shot]]*Table1[[#This Row],[Cav]]</f>
        <v>6068</v>
      </c>
      <c r="Q210">
        <v>0</v>
      </c>
      <c r="R210">
        <f>(Table1[[#This Row],[Part Weight (gm)]]*Table1[[#This Row],[Finish Good]])/1000</f>
        <v>0</v>
      </c>
      <c r="S210">
        <v>0</v>
      </c>
      <c r="T210">
        <f>IF(Table1[[#This Row],[Qty Order]]="Sample","-",IF(Table1[[#This Row],[Qty Order]]="RTFN","-",Table1[[#This Row],[Qty Order]]-Table1[[#This Row],[Qty Accumulate]]))</f>
        <v>0</v>
      </c>
      <c r="U210">
        <f>((Table1[[#This Row],[Shift Output]]*Table1[[#This Row],[Part Weight (gm)]])/1000)+Table1[[#This Row],[Reject Startup (kg)]]+Table1[[#This Row],[Reject Purging (kg)]]+Table1[[#This Row],[Reject Preform (kg)]]</f>
        <v>145.63200000000001</v>
      </c>
      <c r="V210" s="37">
        <f>(Table1[[#This Row],[Gross Weight (gm)]]-Table1[[#This Row],[Part Weight (gm)]])*Table1[[#This Row],[Shift Output]]/1000</f>
        <v>0</v>
      </c>
      <c r="W210" s="3">
        <v>0</v>
      </c>
      <c r="X210" s="36">
        <f>Table1[[#This Row],[Reject Startup (kg)]]/Table1[[#This Row],[Material Used]]</f>
        <v>0</v>
      </c>
      <c r="Y210" s="3">
        <v>0</v>
      </c>
      <c r="Z210" s="36">
        <f>Table1[[#This Row],[Reject Prod (kg)]]/Table1[[#This Row],[Material Used]]</f>
        <v>0</v>
      </c>
      <c r="AA210" s="4">
        <v>25.124267578125</v>
      </c>
      <c r="AB210" s="5">
        <v>1.45</v>
      </c>
      <c r="AC210" s="4" cm="1">
        <f t="array" ref="AC210">IFERROR(INDEX(ReferenceCard, MATCH(1, (INDEX(ReferenceCard,,1)=Table1[[#This Row],[SAP No]]) * (INDEX(ReferenceCard,,2)=Table1[[#This Row],[Mould No]]), 0), 9),)</f>
        <v>24</v>
      </c>
      <c r="AD210" s="5">
        <v>0</v>
      </c>
      <c r="AE210" s="5">
        <v>2.81</v>
      </c>
      <c r="AF210" s="5">
        <v>0</v>
      </c>
      <c r="AG210" s="5">
        <v>0</v>
      </c>
      <c r="AH210" s="5">
        <v>7.74</v>
      </c>
      <c r="AI210" s="5">
        <v>0</v>
      </c>
      <c r="AJ210" s="5">
        <v>0</v>
      </c>
      <c r="AK210" t="s">
        <v>49</v>
      </c>
      <c r="AL210" s="2"/>
      <c r="AM210" s="2"/>
      <c r="AN210" s="3">
        <v>0</v>
      </c>
      <c r="AO210" s="3">
        <v>0</v>
      </c>
      <c r="AP21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1" spans="1:42" x14ac:dyDescent="0.35">
      <c r="A211" s="1">
        <v>46016</v>
      </c>
      <c r="B211">
        <v>2</v>
      </c>
      <c r="C211" t="s">
        <v>5</v>
      </c>
      <c r="D211" t="str" cm="1">
        <f t="array" ref="D211">IFERROR(INDEX(ReferenceCard, MATCH(1, (INDEX(ReferenceCard,,1)=Table1[[#This Row],[SAP No]]) * (INDEX(ReferenceCard,,2)=Table1[[#This Row],[Mould No]]), 0), 6),)</f>
        <v>PET</v>
      </c>
      <c r="E211">
        <v>543590</v>
      </c>
      <c r="F211">
        <v>0</v>
      </c>
      <c r="G211" t="str" cm="1">
        <f t="array" ref="G211">IFERROR(INDEX(ReferenceCard, MATCH(1, (INDEX(ReferenceCard,,1)=Table1[[#This Row],[SAP No]]) * (INDEX(ReferenceCard,,2)=Table1[[#This Row],[Mould No]]), 0), 3),)</f>
        <v>BC28-0130-R-R-AM</v>
      </c>
      <c r="H211">
        <v>0</v>
      </c>
      <c r="I211" cm="1">
        <f t="array" ref="I211">IFERROR(INDEX(ReferenceCard, MATCH(1, (INDEX(ReferenceCard,,1)=Table1[[#This Row],[SAP No]]) * (INDEX(ReferenceCard,,2)=Table1[[#This Row],[Mould No]]), 0), 4),)</f>
        <v>4</v>
      </c>
      <c r="J211" s="4" cm="1">
        <f t="array" ref="J211">IFERROR(INDEX(ReferenceCard, MATCH(1, (INDEX(ReferenceCard,,1)=Table1[[#This Row],[SAP No]]) * (INDEX(ReferenceCard,,2)=Table1[[#This Row],[Mould No]]), 0), 9),)</f>
        <v>19</v>
      </c>
      <c r="K211" s="4" cm="1">
        <f t="array" ref="K211">IFERROR(INDEX(ReferenceCard, MATCH(1, (INDEX(ReferenceCard,,1)=Table1[[#This Row],[SAP No]]) * (INDEX(ReferenceCard,,2)=Table1[[#This Row],[Mould No]]), 0), 7),)</f>
        <v>19</v>
      </c>
      <c r="L211">
        <v>3880</v>
      </c>
      <c r="M211">
        <v>0</v>
      </c>
      <c r="N211">
        <v>0</v>
      </c>
      <c r="O211">
        <v>0</v>
      </c>
      <c r="P211">
        <f>Table1[[#This Row],[Shot]]*Table1[[#This Row],[Cav]]</f>
        <v>15520</v>
      </c>
      <c r="Q211">
        <v>0</v>
      </c>
      <c r="R211">
        <f>(Table1[[#This Row],[Part Weight (gm)]]*Table1[[#This Row],[Finish Good]])/1000</f>
        <v>0</v>
      </c>
      <c r="S211">
        <v>0</v>
      </c>
      <c r="T211">
        <f>IF(Table1[[#This Row],[Qty Order]]="Sample","-",IF(Table1[[#This Row],[Qty Order]]="RTFN","-",Table1[[#This Row],[Qty Order]]-Table1[[#This Row],[Qty Accumulate]]))</f>
        <v>0</v>
      </c>
      <c r="U211">
        <f>((Table1[[#This Row],[Shift Output]]*Table1[[#This Row],[Part Weight (gm)]])/1000)+Table1[[#This Row],[Reject Startup (kg)]]+Table1[[#This Row],[Reject Purging (kg)]]+Table1[[#This Row],[Reject Preform (kg)]]</f>
        <v>294.88</v>
      </c>
      <c r="V211" s="37">
        <f>(Table1[[#This Row],[Gross Weight (gm)]]-Table1[[#This Row],[Part Weight (gm)]])*Table1[[#This Row],[Shift Output]]/1000</f>
        <v>0</v>
      </c>
      <c r="W211" s="3">
        <v>0</v>
      </c>
      <c r="X211" s="36">
        <f>Table1[[#This Row],[Reject Startup (kg)]]/Table1[[#This Row],[Material Used]]</f>
        <v>0</v>
      </c>
      <c r="Y211" s="3">
        <v>0</v>
      </c>
      <c r="Z211" s="36">
        <f>Table1[[#This Row],[Reject Prod (kg)]]/Table1[[#This Row],[Material Used]]</f>
        <v>0</v>
      </c>
      <c r="AA211" s="4">
        <v>25.945631027221602</v>
      </c>
      <c r="AB211" s="5">
        <v>7.41</v>
      </c>
      <c r="AC211" s="4" cm="1">
        <f t="array" ref="AC211">IFERROR(INDEX(ReferenceCard, MATCH(1, (INDEX(ReferenceCard,,1)=Table1[[#This Row],[SAP No]]) * (INDEX(ReferenceCard,,2)=Table1[[#This Row],[Mould No]]), 0), 9),)</f>
        <v>19</v>
      </c>
      <c r="AD211" s="5">
        <v>0</v>
      </c>
      <c r="AE211" s="5">
        <v>0</v>
      </c>
      <c r="AF211" s="5">
        <v>0</v>
      </c>
      <c r="AG211" s="5">
        <v>0</v>
      </c>
      <c r="AH211" s="5">
        <v>4.5899999999999901</v>
      </c>
      <c r="AI211" s="5">
        <v>0</v>
      </c>
      <c r="AJ211" s="5">
        <v>0</v>
      </c>
      <c r="AL211" s="2"/>
      <c r="AM211" s="2"/>
      <c r="AN211" s="3">
        <v>0</v>
      </c>
      <c r="AO211" s="3">
        <v>0</v>
      </c>
      <c r="AP21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2" spans="1:42" x14ac:dyDescent="0.35">
      <c r="A212" s="1">
        <v>46016</v>
      </c>
      <c r="B212">
        <v>2</v>
      </c>
      <c r="C212" t="s">
        <v>7</v>
      </c>
      <c r="D212" t="str" cm="1">
        <f t="array" ref="D212">IFERROR(INDEX(ReferenceCard, MATCH(1, (INDEX(ReferenceCard,,1)=Table1[[#This Row],[SAP No]]) * (INDEX(ReferenceCard,,2)=Table1[[#This Row],[Mould No]]), 0), 6),)</f>
        <v>PET</v>
      </c>
      <c r="E212">
        <v>451191</v>
      </c>
      <c r="F212">
        <v>0</v>
      </c>
      <c r="G212" t="str" cm="1">
        <f t="array" ref="G212">IFERROR(INDEX(ReferenceCard, MATCH(1, (INDEX(ReferenceCard,,1)=Table1[[#This Row],[SAP No]]) * (INDEX(ReferenceCard,,2)=Table1[[#This Row],[Mould No]]), 0), 3),)</f>
        <v>BX38-0350-Z-C-CL</v>
      </c>
      <c r="H212">
        <v>0</v>
      </c>
      <c r="I212" cm="1">
        <f t="array" ref="I212">IFERROR(INDEX(ReferenceCard, MATCH(1, (INDEX(ReferenceCard,,1)=Table1[[#This Row],[SAP No]]) * (INDEX(ReferenceCard,,2)=Table1[[#This Row],[Mould No]]), 0), 4),)</f>
        <v>4</v>
      </c>
      <c r="J212" s="4" cm="1">
        <f t="array" ref="J212">IFERROR(INDEX(ReferenceCard, MATCH(1, (INDEX(ReferenceCard,,1)=Table1[[#This Row],[SAP No]]) * (INDEX(ReferenceCard,,2)=Table1[[#This Row],[Mould No]]), 0), 9),)</f>
        <v>29</v>
      </c>
      <c r="K212" s="4" cm="1">
        <f t="array" ref="K212">IFERROR(INDEX(ReferenceCard, MATCH(1, (INDEX(ReferenceCard,,1)=Table1[[#This Row],[SAP No]]) * (INDEX(ReferenceCard,,2)=Table1[[#This Row],[Mould No]]), 0), 7),)</f>
        <v>29</v>
      </c>
      <c r="L212">
        <v>3087</v>
      </c>
      <c r="M212">
        <v>0</v>
      </c>
      <c r="N212">
        <v>0</v>
      </c>
      <c r="O212">
        <v>0</v>
      </c>
      <c r="P212">
        <f>Table1[[#This Row],[Shot]]*Table1[[#This Row],[Cav]]</f>
        <v>12348</v>
      </c>
      <c r="Q212">
        <v>0</v>
      </c>
      <c r="R212">
        <f>(Table1[[#This Row],[Part Weight (gm)]]*Table1[[#This Row],[Finish Good]])/1000</f>
        <v>0</v>
      </c>
      <c r="S212">
        <v>0</v>
      </c>
      <c r="T212">
        <f>IF(Table1[[#This Row],[Qty Order]]="Sample","-",IF(Table1[[#This Row],[Qty Order]]="RTFN","-",Table1[[#This Row],[Qty Order]]-Table1[[#This Row],[Qty Accumulate]]))</f>
        <v>0</v>
      </c>
      <c r="U212">
        <f>((Table1[[#This Row],[Shift Output]]*Table1[[#This Row],[Part Weight (gm)]])/1000)+Table1[[#This Row],[Reject Startup (kg)]]+Table1[[#This Row],[Reject Purging (kg)]]+Table1[[#This Row],[Reject Preform (kg)]]</f>
        <v>358.09199999999998</v>
      </c>
      <c r="V212" s="37">
        <f>(Table1[[#This Row],[Gross Weight (gm)]]-Table1[[#This Row],[Part Weight (gm)]])*Table1[[#This Row],[Shift Output]]/1000</f>
        <v>0</v>
      </c>
      <c r="W212" s="3">
        <v>0</v>
      </c>
      <c r="X212" s="36">
        <f>Table1[[#This Row],[Reject Startup (kg)]]/Table1[[#This Row],[Material Used]]</f>
        <v>0</v>
      </c>
      <c r="Y212" s="3">
        <v>0</v>
      </c>
      <c r="Z212" s="36">
        <f>Table1[[#This Row],[Reject Prod (kg)]]/Table1[[#This Row],[Material Used]]</f>
        <v>0</v>
      </c>
      <c r="AA212" s="4">
        <v>23.900800704956001</v>
      </c>
      <c r="AB212" s="5">
        <v>4.25999999999999</v>
      </c>
      <c r="AC212" s="4" cm="1">
        <f t="array" ref="AC212">IFERROR(INDEX(ReferenceCard, MATCH(1, (INDEX(ReferenceCard,,1)=Table1[[#This Row],[SAP No]]) * (INDEX(ReferenceCard,,2)=Table1[[#This Row],[Mould No]]), 0), 9),)</f>
        <v>29</v>
      </c>
      <c r="AD212" s="5">
        <v>0</v>
      </c>
      <c r="AE212" s="5">
        <v>0</v>
      </c>
      <c r="AF212" s="5">
        <v>0</v>
      </c>
      <c r="AG212" s="5">
        <v>0</v>
      </c>
      <c r="AH212" s="5">
        <v>7.74</v>
      </c>
      <c r="AI212" s="5">
        <v>0</v>
      </c>
      <c r="AJ212" s="5">
        <v>0</v>
      </c>
      <c r="AL212" s="2"/>
      <c r="AM212" s="2"/>
      <c r="AN212" s="3">
        <v>0</v>
      </c>
      <c r="AO212" s="3">
        <v>0</v>
      </c>
      <c r="AP21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3" spans="1:42" x14ac:dyDescent="0.35">
      <c r="A213" s="1">
        <v>46016</v>
      </c>
      <c r="B213">
        <v>2</v>
      </c>
      <c r="C213" t="s">
        <v>9</v>
      </c>
      <c r="D213" t="str" cm="1">
        <f t="array" ref="D213">IFERROR(INDEX(ReferenceCard, MATCH(1, (INDEX(ReferenceCard,,1)=Table1[[#This Row],[SAP No]]) * (INDEX(ReferenceCard,,2)=Table1[[#This Row],[Mould No]]), 0), 6),)</f>
        <v>PET</v>
      </c>
      <c r="E213">
        <v>322451</v>
      </c>
      <c r="F213">
        <v>0</v>
      </c>
      <c r="G213" t="str" cm="1">
        <f t="array" ref="G213">IFERROR(INDEX(ReferenceCard, MATCH(1, (INDEX(ReferenceCard,,1)=Table1[[#This Row],[SAP No]]) * (INDEX(ReferenceCard,,2)=Table1[[#This Row],[Mould No]]), 0), 3),)</f>
        <v>BC28-0500-WNHP-R-BR</v>
      </c>
      <c r="H213">
        <v>0</v>
      </c>
      <c r="I213" cm="1">
        <f t="array" ref="I213">IFERROR(INDEX(ReferenceCard, MATCH(1, (INDEX(ReferenceCard,,1)=Table1[[#This Row],[SAP No]]) * (INDEX(ReferenceCard,,2)=Table1[[#This Row],[Mould No]]), 0), 4),)</f>
        <v>4</v>
      </c>
      <c r="J213" s="4" cm="1">
        <f t="array" ref="J213">IFERROR(INDEX(ReferenceCard, MATCH(1, (INDEX(ReferenceCard,,1)=Table1[[#This Row],[SAP No]]) * (INDEX(ReferenceCard,,2)=Table1[[#This Row],[Mould No]]), 0), 9),)</f>
        <v>45.6</v>
      </c>
      <c r="K213" s="4" cm="1">
        <f t="array" ref="K213">IFERROR(INDEX(ReferenceCard, MATCH(1, (INDEX(ReferenceCard,,1)=Table1[[#This Row],[SAP No]]) * (INDEX(ReferenceCard,,2)=Table1[[#This Row],[Mould No]]), 0), 7),)</f>
        <v>45.6</v>
      </c>
      <c r="L213">
        <v>4990</v>
      </c>
      <c r="M213">
        <v>0</v>
      </c>
      <c r="N213">
        <v>0</v>
      </c>
      <c r="O213">
        <v>0</v>
      </c>
      <c r="P213">
        <f>Table1[[#This Row],[Shot]]*Table1[[#This Row],[Cav]]</f>
        <v>19960</v>
      </c>
      <c r="Q213">
        <v>0</v>
      </c>
      <c r="R213">
        <f>(Table1[[#This Row],[Part Weight (gm)]]*Table1[[#This Row],[Finish Good]])/1000</f>
        <v>0</v>
      </c>
      <c r="S213">
        <v>0</v>
      </c>
      <c r="T213">
        <f>IF(Table1[[#This Row],[Qty Order]]="Sample","-",IF(Table1[[#This Row],[Qty Order]]="RTFN","-",Table1[[#This Row],[Qty Order]]-Table1[[#This Row],[Qty Accumulate]]))</f>
        <v>0</v>
      </c>
      <c r="U213">
        <f>((Table1[[#This Row],[Shift Output]]*Table1[[#This Row],[Part Weight (gm)]])/1000)+Table1[[#This Row],[Reject Startup (kg)]]+Table1[[#This Row],[Reject Purging (kg)]]+Table1[[#This Row],[Reject Preform (kg)]]</f>
        <v>910.17600000000004</v>
      </c>
      <c r="V213" s="37">
        <f>(Table1[[#This Row],[Gross Weight (gm)]]-Table1[[#This Row],[Part Weight (gm)]])*Table1[[#This Row],[Shift Output]]/1000</f>
        <v>0</v>
      </c>
      <c r="W213" s="3">
        <v>0</v>
      </c>
      <c r="X213" s="36">
        <f>Table1[[#This Row],[Reject Startup (kg)]]/Table1[[#This Row],[Material Used]]</f>
        <v>0</v>
      </c>
      <c r="Y213" s="3">
        <v>0</v>
      </c>
      <c r="Z213" s="36">
        <f>Table1[[#This Row],[Reject Prod (kg)]]/Table1[[#This Row],[Material Used]]</f>
        <v>0</v>
      </c>
      <c r="AA213" s="4">
        <v>24.230878829956001</v>
      </c>
      <c r="AB213" s="5">
        <v>4.25</v>
      </c>
      <c r="AC213" s="4" cm="1">
        <f t="array" ref="AC213">IFERROR(INDEX(ReferenceCard, MATCH(1, (INDEX(ReferenceCard,,1)=Table1[[#This Row],[SAP No]]) * (INDEX(ReferenceCard,,2)=Table1[[#This Row],[Mould No]]), 0), 9),)</f>
        <v>45.6</v>
      </c>
      <c r="AD213" s="5">
        <v>4.25999999999999</v>
      </c>
      <c r="AE213" s="5">
        <v>0</v>
      </c>
      <c r="AF213" s="5">
        <v>0</v>
      </c>
      <c r="AG213" s="5">
        <v>0</v>
      </c>
      <c r="AH213" s="5">
        <v>3.49</v>
      </c>
      <c r="AI213" s="5">
        <v>0</v>
      </c>
      <c r="AJ213" s="5">
        <v>0</v>
      </c>
      <c r="AK213" t="s">
        <v>50</v>
      </c>
      <c r="AL213" s="2" t="s">
        <v>51</v>
      </c>
      <c r="AM213" s="2" t="s">
        <v>52</v>
      </c>
      <c r="AN213" s="3">
        <v>0</v>
      </c>
      <c r="AO213" s="3">
        <v>0</v>
      </c>
      <c r="AP21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4" spans="1:42" x14ac:dyDescent="0.35">
      <c r="A214" s="1">
        <v>46016</v>
      </c>
      <c r="B214">
        <v>2</v>
      </c>
      <c r="C214" t="s">
        <v>11</v>
      </c>
      <c r="D214" t="str" cm="1">
        <f t="array" ref="D214">IFERROR(INDEX(ReferenceCard, MATCH(1, (INDEX(ReferenceCard,,1)=Table1[[#This Row],[SAP No]]) * (INDEX(ReferenceCard,,2)=Table1[[#This Row],[Mould No]]), 0), 6),)</f>
        <v>rPET</v>
      </c>
      <c r="E214">
        <v>620994</v>
      </c>
      <c r="F214">
        <v>0</v>
      </c>
      <c r="G214" t="str" cm="1">
        <f t="array" ref="G214">IFERROR(INDEX(ReferenceCard, MATCH(1, (INDEX(ReferenceCard,,1)=Table1[[#This Row],[SAP No]]) * (INDEX(ReferenceCard,,2)=Table1[[#This Row],[Mould No]]), 0), 3),)</f>
        <v>JJ63-0400-SH-S-CL-rPET</v>
      </c>
      <c r="H214">
        <v>0</v>
      </c>
      <c r="I214" cm="1">
        <f t="array" ref="I214">IFERROR(INDEX(ReferenceCard, MATCH(1, (INDEX(ReferenceCard,,1)=Table1[[#This Row],[SAP No]]) * (INDEX(ReferenceCard,,2)=Table1[[#This Row],[Mould No]]), 0), 4),)</f>
        <v>4</v>
      </c>
      <c r="J214" s="4" cm="1">
        <f t="array" ref="J214">IFERROR(INDEX(ReferenceCard, MATCH(1, (INDEX(ReferenceCard,,1)=Table1[[#This Row],[SAP No]]) * (INDEX(ReferenceCard,,2)=Table1[[#This Row],[Mould No]]), 0), 9),)</f>
        <v>32.74</v>
      </c>
      <c r="K214" s="4" cm="1">
        <f t="array" ref="K214">IFERROR(INDEX(ReferenceCard, MATCH(1, (INDEX(ReferenceCard,,1)=Table1[[#This Row],[SAP No]]) * (INDEX(ReferenceCard,,2)=Table1[[#This Row],[Mould No]]), 0), 7),)</f>
        <v>33</v>
      </c>
      <c r="L214">
        <v>2554</v>
      </c>
      <c r="M214">
        <v>0</v>
      </c>
      <c r="N214">
        <v>0</v>
      </c>
      <c r="O214">
        <v>0</v>
      </c>
      <c r="P214">
        <f>Table1[[#This Row],[Shot]]*Table1[[#This Row],[Cav]]</f>
        <v>10216</v>
      </c>
      <c r="Q214">
        <v>0</v>
      </c>
      <c r="R214">
        <f>(Table1[[#This Row],[Part Weight (gm)]]*Table1[[#This Row],[Finish Good]])/1000</f>
        <v>0</v>
      </c>
      <c r="S214">
        <v>0</v>
      </c>
      <c r="T214">
        <f>IF(Table1[[#This Row],[Qty Order]]="Sample","-",IF(Table1[[#This Row],[Qty Order]]="RTFN","-",Table1[[#This Row],[Qty Order]]-Table1[[#This Row],[Qty Accumulate]]))</f>
        <v>0</v>
      </c>
      <c r="U214">
        <f>((Table1[[#This Row],[Shift Output]]*Table1[[#This Row],[Part Weight (gm)]])/1000)+Table1[[#This Row],[Reject Startup (kg)]]+Table1[[#This Row],[Reject Purging (kg)]]+Table1[[#This Row],[Reject Preform (kg)]]</f>
        <v>337.12799999999999</v>
      </c>
      <c r="V214" s="37">
        <f>(Table1[[#This Row],[Gross Weight (gm)]]-Table1[[#This Row],[Part Weight (gm)]])*Table1[[#This Row],[Shift Output]]/1000</f>
        <v>-2.6561599999999799</v>
      </c>
      <c r="W214" s="3">
        <v>0</v>
      </c>
      <c r="X214" s="36">
        <f>Table1[[#This Row],[Reject Startup (kg)]]/Table1[[#This Row],[Material Used]]</f>
        <v>0</v>
      </c>
      <c r="Y214" s="3">
        <v>0</v>
      </c>
      <c r="Z214" s="36">
        <f>Table1[[#This Row],[Reject Prod (kg)]]/Table1[[#This Row],[Material Used]]</f>
        <v>0</v>
      </c>
      <c r="AA214" s="4">
        <v>25.043270111083899</v>
      </c>
      <c r="AB214" s="5">
        <v>4.21999999999999</v>
      </c>
      <c r="AC214" s="4" cm="1">
        <f t="array" ref="AC214">IFERROR(INDEX(ReferenceCard, MATCH(1, (INDEX(ReferenceCard,,1)=Table1[[#This Row],[SAP No]]) * (INDEX(ReferenceCard,,2)=Table1[[#This Row],[Mould No]]), 0), 9),)</f>
        <v>32.74</v>
      </c>
      <c r="AD214" s="5">
        <v>0</v>
      </c>
      <c r="AE214" s="5">
        <v>0</v>
      </c>
      <c r="AF214" s="5">
        <v>0</v>
      </c>
      <c r="AG214" s="5">
        <v>0</v>
      </c>
      <c r="AH214" s="5">
        <v>7.78</v>
      </c>
      <c r="AI214" s="5">
        <v>0</v>
      </c>
      <c r="AJ214" s="5">
        <v>0</v>
      </c>
      <c r="AL214" s="2"/>
      <c r="AM214" s="2"/>
      <c r="AN214" s="3">
        <v>0</v>
      </c>
      <c r="AO214" s="3">
        <v>0</v>
      </c>
      <c r="AP21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5" spans="1:42" x14ac:dyDescent="0.35">
      <c r="A215" s="1">
        <v>46016</v>
      </c>
      <c r="B215">
        <v>2</v>
      </c>
      <c r="C215" t="s">
        <v>14</v>
      </c>
      <c r="D215" t="str" cm="1">
        <f t="array" ref="D215">IFERROR(INDEX(ReferenceCard, MATCH(1, (INDEX(ReferenceCard,,1)=Table1[[#This Row],[SAP No]]) * (INDEX(ReferenceCard,,2)=Table1[[#This Row],[Mould No]]), 0), 6),)</f>
        <v>PET</v>
      </c>
      <c r="E215">
        <v>322444</v>
      </c>
      <c r="F215">
        <v>0</v>
      </c>
      <c r="G215" t="str" cm="1">
        <f t="array" ref="G215">IFERROR(INDEX(ReferenceCard, MATCH(1, (INDEX(ReferenceCard,,1)=Table1[[#This Row],[SAP No]]) * (INDEX(ReferenceCard,,2)=Table1[[#This Row],[Mould No]]), 0), 3),)</f>
        <v>JJ63-0400-RH-R-CL</v>
      </c>
      <c r="H215">
        <v>0</v>
      </c>
      <c r="I215" cm="1">
        <f t="array" ref="I215">IFERROR(INDEX(ReferenceCard, MATCH(1, (INDEX(ReferenceCard,,1)=Table1[[#This Row],[SAP No]]) * (INDEX(ReferenceCard,,2)=Table1[[#This Row],[Mould No]]), 0), 4),)</f>
        <v>4</v>
      </c>
      <c r="J215" s="4" cm="1">
        <f t="array" ref="J215">IFERROR(INDEX(ReferenceCard, MATCH(1, (INDEX(ReferenceCard,,1)=Table1[[#This Row],[SAP No]]) * (INDEX(ReferenceCard,,2)=Table1[[#This Row],[Mould No]]), 0), 9),)</f>
        <v>32.74</v>
      </c>
      <c r="K215" s="4" cm="1">
        <f t="array" ref="K215">IFERROR(INDEX(ReferenceCard, MATCH(1, (INDEX(ReferenceCard,,1)=Table1[[#This Row],[SAP No]]) * (INDEX(ReferenceCard,,2)=Table1[[#This Row],[Mould No]]), 0), 7),)</f>
        <v>34.5</v>
      </c>
      <c r="L215">
        <v>3273</v>
      </c>
      <c r="M215">
        <v>0</v>
      </c>
      <c r="N215">
        <v>0</v>
      </c>
      <c r="O215">
        <v>0</v>
      </c>
      <c r="P215">
        <f>Table1[[#This Row],[Shot]]*Table1[[#This Row],[Cav]]</f>
        <v>13092</v>
      </c>
      <c r="Q215">
        <v>0</v>
      </c>
      <c r="R215">
        <f>(Table1[[#This Row],[Part Weight (gm)]]*Table1[[#This Row],[Finish Good]])/1000</f>
        <v>0</v>
      </c>
      <c r="S215">
        <v>0</v>
      </c>
      <c r="T215">
        <f>IF(Table1[[#This Row],[Qty Order]]="Sample","-",IF(Table1[[#This Row],[Qty Order]]="RTFN","-",Table1[[#This Row],[Qty Order]]-Table1[[#This Row],[Qty Accumulate]]))</f>
        <v>0</v>
      </c>
      <c r="U215">
        <f>((Table1[[#This Row],[Shift Output]]*Table1[[#This Row],[Part Weight (gm)]])/1000)+Table1[[#This Row],[Reject Startup (kg)]]+Table1[[#This Row],[Reject Purging (kg)]]+Table1[[#This Row],[Reject Preform (kg)]]</f>
        <v>451.67399999999998</v>
      </c>
      <c r="V215" s="37">
        <f>(Table1[[#This Row],[Gross Weight (gm)]]-Table1[[#This Row],[Part Weight (gm)]])*Table1[[#This Row],[Shift Output]]/1000</f>
        <v>-23.041919999999973</v>
      </c>
      <c r="W215" s="3">
        <v>0</v>
      </c>
      <c r="X215" s="36">
        <f>Table1[[#This Row],[Reject Startup (kg)]]/Table1[[#This Row],[Material Used]]</f>
        <v>0</v>
      </c>
      <c r="Y215" s="3">
        <v>0</v>
      </c>
      <c r="Z215" s="36">
        <f>Table1[[#This Row],[Reject Prod (kg)]]/Table1[[#This Row],[Material Used]]</f>
        <v>0</v>
      </c>
      <c r="AA215" s="4">
        <v>22.5473098754882</v>
      </c>
      <c r="AB215" s="5">
        <v>12</v>
      </c>
      <c r="AC215" s="4" cm="1">
        <f t="array" ref="AC215">IFERROR(INDEX(ReferenceCard, MATCH(1, (INDEX(ReferenceCard,,1)=Table1[[#This Row],[SAP No]]) * (INDEX(ReferenceCard,,2)=Table1[[#This Row],[Mould No]]), 0), 9),)</f>
        <v>32.74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L215" s="2"/>
      <c r="AM215" s="2"/>
      <c r="AN215" s="3">
        <v>0</v>
      </c>
      <c r="AO215" s="3">
        <v>0</v>
      </c>
      <c r="AP21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6" spans="1:42" x14ac:dyDescent="0.35">
      <c r="A216" s="1">
        <v>46016</v>
      </c>
      <c r="B216">
        <v>2</v>
      </c>
      <c r="C216" t="s">
        <v>0</v>
      </c>
      <c r="D216" t="str" cm="1">
        <f t="array" ref="D216">IFERROR(INDEX(ReferenceCard, MATCH(1, (INDEX(ReferenceCard,,1)=Table1[[#This Row],[SAP No]]) * (INDEX(ReferenceCard,,2)=Table1[[#This Row],[Mould No]]), 0), 6),)</f>
        <v>PET</v>
      </c>
      <c r="E216">
        <v>347623</v>
      </c>
      <c r="F216">
        <v>0</v>
      </c>
      <c r="G216" t="str" cm="1">
        <f t="array" ref="G216">IFERROR(INDEX(ReferenceCard, MATCH(1, (INDEX(ReferenceCard,,1)=Table1[[#This Row],[SAP No]]) * (INDEX(ReferenceCard,,2)=Table1[[#This Row],[Mould No]]), 0), 3),)</f>
        <v>BC28-0375-K-R-CL</v>
      </c>
      <c r="H216">
        <v>0</v>
      </c>
      <c r="I216" cm="1">
        <f t="array" ref="I216">IFERROR(INDEX(ReferenceCard, MATCH(1, (INDEX(ReferenceCard,,1)=Table1[[#This Row],[SAP No]]) * (INDEX(ReferenceCard,,2)=Table1[[#This Row],[Mould No]]), 0), 4),)</f>
        <v>4</v>
      </c>
      <c r="J216" s="4" cm="1">
        <f t="array" ref="J216">IFERROR(INDEX(ReferenceCard, MATCH(1, (INDEX(ReferenceCard,,1)=Table1[[#This Row],[SAP No]]) * (INDEX(ReferenceCard,,2)=Table1[[#This Row],[Mould No]]), 0), 9),)</f>
        <v>35.6</v>
      </c>
      <c r="K216" s="4" cm="1">
        <f t="array" ref="K216">IFERROR(INDEX(ReferenceCard, MATCH(1, (INDEX(ReferenceCard,,1)=Table1[[#This Row],[SAP No]]) * (INDEX(ReferenceCard,,2)=Table1[[#This Row],[Mould No]]), 0), 7),)</f>
        <v>35.6</v>
      </c>
      <c r="L216">
        <v>5076</v>
      </c>
      <c r="M216">
        <v>0</v>
      </c>
      <c r="N216">
        <v>0</v>
      </c>
      <c r="O216">
        <v>0</v>
      </c>
      <c r="P216">
        <f>Table1[[#This Row],[Shot]]*Table1[[#This Row],[Cav]]</f>
        <v>20304</v>
      </c>
      <c r="Q216">
        <v>0</v>
      </c>
      <c r="R216">
        <f>(Table1[[#This Row],[Part Weight (gm)]]*Table1[[#This Row],[Finish Good]])/1000</f>
        <v>0</v>
      </c>
      <c r="S216">
        <v>0</v>
      </c>
      <c r="T216">
        <f>IF(Table1[[#This Row],[Qty Order]]="Sample","-",IF(Table1[[#This Row],[Qty Order]]="RTFN","-",Table1[[#This Row],[Qty Order]]-Table1[[#This Row],[Qty Accumulate]]))</f>
        <v>0</v>
      </c>
      <c r="U216">
        <f>((Table1[[#This Row],[Shift Output]]*Table1[[#This Row],[Part Weight (gm)]])/1000)+Table1[[#This Row],[Reject Startup (kg)]]+Table1[[#This Row],[Reject Purging (kg)]]+Table1[[#This Row],[Reject Preform (kg)]]</f>
        <v>722.82240000000002</v>
      </c>
      <c r="V216" s="37">
        <f>(Table1[[#This Row],[Gross Weight (gm)]]-Table1[[#This Row],[Part Weight (gm)]])*Table1[[#This Row],[Shift Output]]/1000</f>
        <v>0</v>
      </c>
      <c r="W216" s="3">
        <v>0</v>
      </c>
      <c r="X216" s="36">
        <f>Table1[[#This Row],[Reject Startup (kg)]]/Table1[[#This Row],[Material Used]]</f>
        <v>0</v>
      </c>
      <c r="Y216" s="3">
        <v>0</v>
      </c>
      <c r="Z216" s="36">
        <f>Table1[[#This Row],[Reject Prod (kg)]]/Table1[[#This Row],[Material Used]]</f>
        <v>0</v>
      </c>
      <c r="AA216" s="4">
        <v>26.3766975402832</v>
      </c>
      <c r="AB216" s="5">
        <v>4.25999999999999</v>
      </c>
      <c r="AC216" s="4" cm="1">
        <f t="array" ref="AC216">IFERROR(INDEX(ReferenceCard, MATCH(1, (INDEX(ReferenceCard,,1)=Table1[[#This Row],[SAP No]]) * (INDEX(ReferenceCard,,2)=Table1[[#This Row],[Mould No]]), 0), 9),)</f>
        <v>35.6</v>
      </c>
      <c r="AD216" s="5">
        <v>0</v>
      </c>
      <c r="AE216" s="5">
        <v>0</v>
      </c>
      <c r="AF216" s="5">
        <v>0</v>
      </c>
      <c r="AG216" s="5">
        <v>0</v>
      </c>
      <c r="AH216" s="5">
        <v>7.74</v>
      </c>
      <c r="AI216" s="5">
        <v>0</v>
      </c>
      <c r="AJ216" s="5">
        <v>0</v>
      </c>
      <c r="AL216" s="2"/>
      <c r="AM216" s="2"/>
      <c r="AN216" s="3">
        <v>0</v>
      </c>
      <c r="AO216" s="3">
        <v>0</v>
      </c>
      <c r="AP21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7" spans="1:42" x14ac:dyDescent="0.35">
      <c r="A217" s="1">
        <v>46016</v>
      </c>
      <c r="B217">
        <v>2</v>
      </c>
      <c r="C217" t="s">
        <v>16</v>
      </c>
      <c r="D217" t="str" cm="1">
        <f t="array" ref="D217">IFERROR(INDEX(ReferenceCard, MATCH(1, (INDEX(ReferenceCard,,1)=Table1[[#This Row],[SAP No]]) * (INDEX(ReferenceCard,,2)=Table1[[#This Row],[Mould No]]), 0), 6),)</f>
        <v>PET</v>
      </c>
      <c r="E217">
        <v>324206</v>
      </c>
      <c r="F217">
        <v>0</v>
      </c>
      <c r="G217" t="str" cm="1">
        <f t="array" ref="G217">IFERROR(INDEX(ReferenceCard, MATCH(1, (INDEX(ReferenceCard,,1)=Table1[[#This Row],[SAP No]]) * (INDEX(ReferenceCard,,2)=Table1[[#This Row],[Mould No]]), 0), 3),)</f>
        <v>BX38-1000-HC-S-CL</v>
      </c>
      <c r="H217">
        <v>0</v>
      </c>
      <c r="I217" cm="1">
        <f t="array" ref="I217">IFERROR(INDEX(ReferenceCard, MATCH(1, (INDEX(ReferenceCard,,1)=Table1[[#This Row],[SAP No]]) * (INDEX(ReferenceCard,,2)=Table1[[#This Row],[Mould No]]), 0), 4),)</f>
        <v>4</v>
      </c>
      <c r="J217" s="4" cm="1">
        <f t="array" ref="J217">IFERROR(INDEX(ReferenceCard, MATCH(1, (INDEX(ReferenceCard,,1)=Table1[[#This Row],[SAP No]]) * (INDEX(ReferenceCard,,2)=Table1[[#This Row],[Mould No]]), 0), 9),)</f>
        <v>49</v>
      </c>
      <c r="K217" s="4" cm="1">
        <f t="array" ref="K217">IFERROR(INDEX(ReferenceCard, MATCH(1, (INDEX(ReferenceCard,,1)=Table1[[#This Row],[SAP No]]) * (INDEX(ReferenceCard,,2)=Table1[[#This Row],[Mould No]]), 0), 7),)</f>
        <v>48</v>
      </c>
      <c r="L217">
        <v>30</v>
      </c>
      <c r="M217">
        <v>0</v>
      </c>
      <c r="N217">
        <v>0</v>
      </c>
      <c r="O217">
        <v>0</v>
      </c>
      <c r="P217">
        <f>Table1[[#This Row],[Shot]]*Table1[[#This Row],[Cav]]</f>
        <v>120</v>
      </c>
      <c r="Q217">
        <v>0</v>
      </c>
      <c r="R217">
        <f>(Table1[[#This Row],[Part Weight (gm)]]*Table1[[#This Row],[Finish Good]])/1000</f>
        <v>0</v>
      </c>
      <c r="S217">
        <v>0</v>
      </c>
      <c r="T217">
        <f>IF(Table1[[#This Row],[Qty Order]]="Sample","-",IF(Table1[[#This Row],[Qty Order]]="RTFN","-",Table1[[#This Row],[Qty Order]]-Table1[[#This Row],[Qty Accumulate]]))</f>
        <v>0</v>
      </c>
      <c r="U217">
        <f>((Table1[[#This Row],[Shift Output]]*Table1[[#This Row],[Part Weight (gm)]])/1000)+Table1[[#This Row],[Reject Startup (kg)]]+Table1[[#This Row],[Reject Purging (kg)]]+Table1[[#This Row],[Reject Preform (kg)]]</f>
        <v>5.76</v>
      </c>
      <c r="V217" s="37">
        <f>(Table1[[#This Row],[Gross Weight (gm)]]-Table1[[#This Row],[Part Weight (gm)]])*Table1[[#This Row],[Shift Output]]/1000</f>
        <v>0.12</v>
      </c>
      <c r="W217" s="3">
        <v>0</v>
      </c>
      <c r="X217" s="36">
        <f>Table1[[#This Row],[Reject Startup (kg)]]/Table1[[#This Row],[Material Used]]</f>
        <v>0</v>
      </c>
      <c r="Y217" s="3">
        <v>0</v>
      </c>
      <c r="Z217" s="36">
        <f>Table1[[#This Row],[Reject Prod (kg)]]/Table1[[#This Row],[Material Used]]</f>
        <v>0</v>
      </c>
      <c r="AA217" s="4">
        <v>0</v>
      </c>
      <c r="AB217" s="5">
        <v>0.59999999999999898</v>
      </c>
      <c r="AC217" s="4" cm="1">
        <f t="array" ref="AC217">IFERROR(INDEX(ReferenceCard, MATCH(1, (INDEX(ReferenceCard,,1)=Table1[[#This Row],[SAP No]]) * (INDEX(ReferenceCard,,2)=Table1[[#This Row],[Mould No]]), 0), 9),)</f>
        <v>49</v>
      </c>
      <c r="AD217" s="5">
        <v>11.4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t="s">
        <v>53</v>
      </c>
      <c r="AL217" s="2"/>
      <c r="AM217" s="2"/>
      <c r="AN217" s="3">
        <v>0</v>
      </c>
      <c r="AO217" s="3">
        <v>0</v>
      </c>
      <c r="AP21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8" spans="1:42" x14ac:dyDescent="0.35">
      <c r="A218" s="1">
        <v>46016</v>
      </c>
      <c r="B218">
        <v>1</v>
      </c>
      <c r="C218" t="s">
        <v>7</v>
      </c>
      <c r="D218" t="str" cm="1">
        <f t="array" ref="D218">IFERROR(INDEX(ReferenceCard, MATCH(1, (INDEX(ReferenceCard,,1)=Table1[[#This Row],[SAP No]]) * (INDEX(ReferenceCard,,2)=Table1[[#This Row],[Mould No]]), 0), 6),)</f>
        <v>PET</v>
      </c>
      <c r="E218">
        <v>451191</v>
      </c>
      <c r="F218">
        <v>0</v>
      </c>
      <c r="G218" t="str" cm="1">
        <f t="array" ref="G218">IFERROR(INDEX(ReferenceCard, MATCH(1, (INDEX(ReferenceCard,,1)=Table1[[#This Row],[SAP No]]) * (INDEX(ReferenceCard,,2)=Table1[[#This Row],[Mould No]]), 0), 3),)</f>
        <v>BX38-0350-Z-C-CL</v>
      </c>
      <c r="H218">
        <v>0</v>
      </c>
      <c r="I218" cm="1">
        <f t="array" ref="I218">IFERROR(INDEX(ReferenceCard, MATCH(1, (INDEX(ReferenceCard,,1)=Table1[[#This Row],[SAP No]]) * (INDEX(ReferenceCard,,2)=Table1[[#This Row],[Mould No]]), 0), 4),)</f>
        <v>4</v>
      </c>
      <c r="J218" s="4" cm="1">
        <f t="array" ref="J218">IFERROR(INDEX(ReferenceCard, MATCH(1, (INDEX(ReferenceCard,,1)=Table1[[#This Row],[SAP No]]) * (INDEX(ReferenceCard,,2)=Table1[[#This Row],[Mould No]]), 0), 9),)</f>
        <v>29</v>
      </c>
      <c r="K218" s="4" cm="1">
        <f t="array" ref="K218">IFERROR(INDEX(ReferenceCard, MATCH(1, (INDEX(ReferenceCard,,1)=Table1[[#This Row],[SAP No]]) * (INDEX(ReferenceCard,,2)=Table1[[#This Row],[Mould No]]), 0), 7),)</f>
        <v>29</v>
      </c>
      <c r="L218">
        <v>1806</v>
      </c>
      <c r="M218">
        <v>0</v>
      </c>
      <c r="N218">
        <v>0</v>
      </c>
      <c r="O218">
        <v>0</v>
      </c>
      <c r="P218">
        <f>Table1[[#This Row],[Shot]]*Table1[[#This Row],[Cav]]</f>
        <v>7224</v>
      </c>
      <c r="Q218">
        <v>0</v>
      </c>
      <c r="R218">
        <f>(Table1[[#This Row],[Part Weight (gm)]]*Table1[[#This Row],[Finish Good]])/1000</f>
        <v>0</v>
      </c>
      <c r="S218">
        <v>0</v>
      </c>
      <c r="T218">
        <f>IF(Table1[[#This Row],[Qty Order]]="Sample","-",IF(Table1[[#This Row],[Qty Order]]="RTFN","-",Table1[[#This Row],[Qty Order]]-Table1[[#This Row],[Qty Accumulate]]))</f>
        <v>0</v>
      </c>
      <c r="U218">
        <f>((Table1[[#This Row],[Shift Output]]*Table1[[#This Row],[Part Weight (gm)]])/1000)+Table1[[#This Row],[Reject Startup (kg)]]+Table1[[#This Row],[Reject Purging (kg)]]+Table1[[#This Row],[Reject Preform (kg)]]</f>
        <v>209.49600000000001</v>
      </c>
      <c r="V218" s="37">
        <f>(Table1[[#This Row],[Gross Weight (gm)]]-Table1[[#This Row],[Part Weight (gm)]])*Table1[[#This Row],[Shift Output]]/1000</f>
        <v>0</v>
      </c>
      <c r="W218" s="3">
        <v>0</v>
      </c>
      <c r="X218" s="36">
        <f>Table1[[#This Row],[Reject Startup (kg)]]/Table1[[#This Row],[Material Used]]</f>
        <v>0</v>
      </c>
      <c r="Y218" s="3">
        <v>0</v>
      </c>
      <c r="Z218" s="36">
        <f>Table1[[#This Row],[Reject Prod (kg)]]/Table1[[#This Row],[Material Used]]</f>
        <v>0</v>
      </c>
      <c r="AA218" s="4">
        <v>23.924114227294901</v>
      </c>
      <c r="AB218" s="5">
        <v>12</v>
      </c>
      <c r="AC218" s="4" cm="1">
        <f t="array" ref="AC218">IFERROR(INDEX(ReferenceCard, MATCH(1, (INDEX(ReferenceCard,,1)=Table1[[#This Row],[SAP No]]) * (INDEX(ReferenceCard,,2)=Table1[[#This Row],[Mould No]]), 0), 9),)</f>
        <v>29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L218" s="2"/>
      <c r="AM218" s="2"/>
      <c r="AN218" s="3">
        <v>0</v>
      </c>
      <c r="AO218" s="3">
        <v>0</v>
      </c>
      <c r="AP21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19" spans="1:42" x14ac:dyDescent="0.35">
      <c r="A219" s="1">
        <v>46016</v>
      </c>
      <c r="B219">
        <v>1</v>
      </c>
      <c r="C219" t="s">
        <v>9</v>
      </c>
      <c r="D219" t="str" cm="1">
        <f t="array" ref="D219">IFERROR(INDEX(ReferenceCard, MATCH(1, (INDEX(ReferenceCard,,1)=Table1[[#This Row],[SAP No]]) * (INDEX(ReferenceCard,,2)=Table1[[#This Row],[Mould No]]), 0), 6),)</f>
        <v>PET</v>
      </c>
      <c r="E219">
        <v>322451</v>
      </c>
      <c r="F219">
        <v>0</v>
      </c>
      <c r="G219" t="str" cm="1">
        <f t="array" ref="G219">IFERROR(INDEX(ReferenceCard, MATCH(1, (INDEX(ReferenceCard,,1)=Table1[[#This Row],[SAP No]]) * (INDEX(ReferenceCard,,2)=Table1[[#This Row],[Mould No]]), 0), 3),)</f>
        <v>BC28-0500-WNHP-R-BR</v>
      </c>
      <c r="H219">
        <v>0</v>
      </c>
      <c r="I219" cm="1">
        <f t="array" ref="I219">IFERROR(INDEX(ReferenceCard, MATCH(1, (INDEX(ReferenceCard,,1)=Table1[[#This Row],[SAP No]]) * (INDEX(ReferenceCard,,2)=Table1[[#This Row],[Mould No]]), 0), 4),)</f>
        <v>4</v>
      </c>
      <c r="J219" s="4" cm="1">
        <f t="array" ref="J219">IFERROR(INDEX(ReferenceCard, MATCH(1, (INDEX(ReferenceCard,,1)=Table1[[#This Row],[SAP No]]) * (INDEX(ReferenceCard,,2)=Table1[[#This Row],[Mould No]]), 0), 9),)</f>
        <v>45.6</v>
      </c>
      <c r="K219" s="4" cm="1">
        <f t="array" ref="K219">IFERROR(INDEX(ReferenceCard, MATCH(1, (INDEX(ReferenceCard,,1)=Table1[[#This Row],[SAP No]]) * (INDEX(ReferenceCard,,2)=Table1[[#This Row],[Mould No]]), 0), 7),)</f>
        <v>45.6</v>
      </c>
      <c r="L219">
        <v>1777</v>
      </c>
      <c r="M219">
        <v>0</v>
      </c>
      <c r="N219">
        <v>0</v>
      </c>
      <c r="O219">
        <v>0</v>
      </c>
      <c r="P219">
        <f>Table1[[#This Row],[Shot]]*Table1[[#This Row],[Cav]]</f>
        <v>7108</v>
      </c>
      <c r="Q219">
        <v>0</v>
      </c>
      <c r="R219">
        <f>(Table1[[#This Row],[Part Weight (gm)]]*Table1[[#This Row],[Finish Good]])/1000</f>
        <v>0</v>
      </c>
      <c r="S219">
        <v>0</v>
      </c>
      <c r="T219">
        <f>IF(Table1[[#This Row],[Qty Order]]="Sample","-",IF(Table1[[#This Row],[Qty Order]]="RTFN","-",Table1[[#This Row],[Qty Order]]-Table1[[#This Row],[Qty Accumulate]]))</f>
        <v>0</v>
      </c>
      <c r="U219">
        <f>((Table1[[#This Row],[Shift Output]]*Table1[[#This Row],[Part Weight (gm)]])/1000)+Table1[[#This Row],[Reject Startup (kg)]]+Table1[[#This Row],[Reject Purging (kg)]]+Table1[[#This Row],[Reject Preform (kg)]]</f>
        <v>324.12479999999999</v>
      </c>
      <c r="V219" s="37">
        <f>(Table1[[#This Row],[Gross Weight (gm)]]-Table1[[#This Row],[Part Weight (gm)]])*Table1[[#This Row],[Shift Output]]/1000</f>
        <v>0</v>
      </c>
      <c r="W219" s="3">
        <v>0</v>
      </c>
      <c r="X219" s="36">
        <f>Table1[[#This Row],[Reject Startup (kg)]]/Table1[[#This Row],[Material Used]]</f>
        <v>0</v>
      </c>
      <c r="Y219" s="3">
        <v>0</v>
      </c>
      <c r="Z219" s="36">
        <f>Table1[[#This Row],[Reject Prod (kg)]]/Table1[[#This Row],[Material Used]]</f>
        <v>0</v>
      </c>
      <c r="AA219" s="4">
        <v>0</v>
      </c>
      <c r="AB219" s="5">
        <v>0.16</v>
      </c>
      <c r="AC219" s="4" cm="1">
        <f t="array" ref="AC219">IFERROR(INDEX(ReferenceCard, MATCH(1, (INDEX(ReferenceCard,,1)=Table1[[#This Row],[SAP No]]) * (INDEX(ReferenceCard,,2)=Table1[[#This Row],[Mould No]]), 0), 9),)</f>
        <v>45.6</v>
      </c>
      <c r="AD219" s="5">
        <v>11.84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t="s">
        <v>54</v>
      </c>
      <c r="AL219" s="2" t="s">
        <v>55</v>
      </c>
      <c r="AM219" s="2" t="s">
        <v>56</v>
      </c>
      <c r="AN219" s="3">
        <v>0</v>
      </c>
      <c r="AO219" s="3">
        <v>0</v>
      </c>
      <c r="AP21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0" spans="1:42" x14ac:dyDescent="0.35">
      <c r="A220" s="1">
        <v>46016</v>
      </c>
      <c r="B220">
        <v>1</v>
      </c>
      <c r="C220" t="s">
        <v>11</v>
      </c>
      <c r="D220" t="str" cm="1">
        <f t="array" ref="D220">IFERROR(INDEX(ReferenceCard, MATCH(1, (INDEX(ReferenceCard,,1)=Table1[[#This Row],[SAP No]]) * (INDEX(ReferenceCard,,2)=Table1[[#This Row],[Mould No]]), 0), 6),)</f>
        <v>rPET</v>
      </c>
      <c r="E220">
        <v>620994</v>
      </c>
      <c r="F220">
        <v>0</v>
      </c>
      <c r="G220" t="str" cm="1">
        <f t="array" ref="G220">IFERROR(INDEX(ReferenceCard, MATCH(1, (INDEX(ReferenceCard,,1)=Table1[[#This Row],[SAP No]]) * (INDEX(ReferenceCard,,2)=Table1[[#This Row],[Mould No]]), 0), 3),)</f>
        <v>JJ63-0400-SH-S-CL-rPET</v>
      </c>
      <c r="H220">
        <v>0</v>
      </c>
      <c r="I220" cm="1">
        <f t="array" ref="I220">IFERROR(INDEX(ReferenceCard, MATCH(1, (INDEX(ReferenceCard,,1)=Table1[[#This Row],[SAP No]]) * (INDEX(ReferenceCard,,2)=Table1[[#This Row],[Mould No]]), 0), 4),)</f>
        <v>4</v>
      </c>
      <c r="J220" s="4" cm="1">
        <f t="array" ref="J220">IFERROR(INDEX(ReferenceCard, MATCH(1, (INDEX(ReferenceCard,,1)=Table1[[#This Row],[SAP No]]) * (INDEX(ReferenceCard,,2)=Table1[[#This Row],[Mould No]]), 0), 9),)</f>
        <v>32.74</v>
      </c>
      <c r="K220" s="4" cm="1">
        <f t="array" ref="K220">IFERROR(INDEX(ReferenceCard, MATCH(1, (INDEX(ReferenceCard,,1)=Table1[[#This Row],[SAP No]]) * (INDEX(ReferenceCard,,2)=Table1[[#This Row],[Mould No]]), 0), 7),)</f>
        <v>33</v>
      </c>
      <c r="L220">
        <v>3040</v>
      </c>
      <c r="M220">
        <v>0</v>
      </c>
      <c r="N220">
        <v>0</v>
      </c>
      <c r="O220">
        <v>0</v>
      </c>
      <c r="P220">
        <f>Table1[[#This Row],[Shot]]*Table1[[#This Row],[Cav]]</f>
        <v>12160</v>
      </c>
      <c r="Q220">
        <v>0</v>
      </c>
      <c r="R220">
        <f>(Table1[[#This Row],[Part Weight (gm)]]*Table1[[#This Row],[Finish Good]])/1000</f>
        <v>0</v>
      </c>
      <c r="S220">
        <v>0</v>
      </c>
      <c r="T220">
        <f>IF(Table1[[#This Row],[Qty Order]]="Sample","-",IF(Table1[[#This Row],[Qty Order]]="RTFN","-",Table1[[#This Row],[Qty Order]]-Table1[[#This Row],[Qty Accumulate]]))</f>
        <v>0</v>
      </c>
      <c r="U220">
        <f>((Table1[[#This Row],[Shift Output]]*Table1[[#This Row],[Part Weight (gm)]])/1000)+Table1[[#This Row],[Reject Startup (kg)]]+Table1[[#This Row],[Reject Purging (kg)]]+Table1[[#This Row],[Reject Preform (kg)]]</f>
        <v>401.28</v>
      </c>
      <c r="V220" s="37">
        <f>(Table1[[#This Row],[Gross Weight (gm)]]-Table1[[#This Row],[Part Weight (gm)]])*Table1[[#This Row],[Shift Output]]/1000</f>
        <v>-3.161599999999976</v>
      </c>
      <c r="W220" s="3">
        <v>0</v>
      </c>
      <c r="X220" s="36">
        <f>Table1[[#This Row],[Reject Startup (kg)]]/Table1[[#This Row],[Material Used]]</f>
        <v>0</v>
      </c>
      <c r="Y220" s="3">
        <v>0</v>
      </c>
      <c r="Z220" s="36">
        <f>Table1[[#This Row],[Reject Prod (kg)]]/Table1[[#This Row],[Material Used]]</f>
        <v>0</v>
      </c>
      <c r="AA220" s="4">
        <v>35.502388000488203</v>
      </c>
      <c r="AB220" s="5">
        <v>11.99</v>
      </c>
      <c r="AC220" s="4" cm="1">
        <f t="array" ref="AC220">IFERROR(INDEX(ReferenceCard, MATCH(1, (INDEX(ReferenceCard,,1)=Table1[[#This Row],[SAP No]]) * (INDEX(ReferenceCard,,2)=Table1[[#This Row],[Mould No]]), 0), 9),)</f>
        <v>32.74</v>
      </c>
      <c r="AD220" s="5">
        <v>0</v>
      </c>
      <c r="AE220" s="5">
        <v>0</v>
      </c>
      <c r="AF220" s="5">
        <v>0</v>
      </c>
      <c r="AG220" s="5">
        <v>0</v>
      </c>
      <c r="AH220" s="5">
        <v>0.01</v>
      </c>
      <c r="AI220" s="5">
        <v>0</v>
      </c>
      <c r="AJ220" s="5">
        <v>0</v>
      </c>
      <c r="AL220" s="2"/>
      <c r="AM220" s="2"/>
      <c r="AN220" s="3">
        <v>0</v>
      </c>
      <c r="AO220" s="3">
        <v>0</v>
      </c>
      <c r="AP22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1" spans="1:42" x14ac:dyDescent="0.35">
      <c r="A221" s="1">
        <v>46016</v>
      </c>
      <c r="B221">
        <v>1</v>
      </c>
      <c r="C221" t="s">
        <v>14</v>
      </c>
      <c r="D221" t="str" cm="1">
        <f t="array" ref="D221">IFERROR(INDEX(ReferenceCard, MATCH(1, (INDEX(ReferenceCard,,1)=Table1[[#This Row],[SAP No]]) * (INDEX(ReferenceCard,,2)=Table1[[#This Row],[Mould No]]), 0), 6),)</f>
        <v>PET</v>
      </c>
      <c r="E221">
        <v>322444</v>
      </c>
      <c r="F221">
        <v>0</v>
      </c>
      <c r="G221" t="str" cm="1">
        <f t="array" ref="G221">IFERROR(INDEX(ReferenceCard, MATCH(1, (INDEX(ReferenceCard,,1)=Table1[[#This Row],[SAP No]]) * (INDEX(ReferenceCard,,2)=Table1[[#This Row],[Mould No]]), 0), 3),)</f>
        <v>JJ63-0400-RH-R-CL</v>
      </c>
      <c r="H221">
        <v>0</v>
      </c>
      <c r="I221" cm="1">
        <f t="array" ref="I221">IFERROR(INDEX(ReferenceCard, MATCH(1, (INDEX(ReferenceCard,,1)=Table1[[#This Row],[SAP No]]) * (INDEX(ReferenceCard,,2)=Table1[[#This Row],[Mould No]]), 0), 4),)</f>
        <v>4</v>
      </c>
      <c r="J221" s="4" cm="1">
        <f t="array" ref="J221">IFERROR(INDEX(ReferenceCard, MATCH(1, (INDEX(ReferenceCard,,1)=Table1[[#This Row],[SAP No]]) * (INDEX(ReferenceCard,,2)=Table1[[#This Row],[Mould No]]), 0), 9),)</f>
        <v>32.74</v>
      </c>
      <c r="K221" s="4" cm="1">
        <f t="array" ref="K221">IFERROR(INDEX(ReferenceCard, MATCH(1, (INDEX(ReferenceCard,,1)=Table1[[#This Row],[SAP No]]) * (INDEX(ReferenceCard,,2)=Table1[[#This Row],[Mould No]]), 0), 7),)</f>
        <v>34.5</v>
      </c>
      <c r="L221">
        <v>1923</v>
      </c>
      <c r="M221">
        <v>0</v>
      </c>
      <c r="N221">
        <v>0</v>
      </c>
      <c r="O221">
        <v>0</v>
      </c>
      <c r="P221">
        <f>Table1[[#This Row],[Shot]]*Table1[[#This Row],[Cav]]</f>
        <v>7692</v>
      </c>
      <c r="Q221">
        <v>0</v>
      </c>
      <c r="R221">
        <f>(Table1[[#This Row],[Part Weight (gm)]]*Table1[[#This Row],[Finish Good]])/1000</f>
        <v>0</v>
      </c>
      <c r="S221">
        <v>0</v>
      </c>
      <c r="T221">
        <f>IF(Table1[[#This Row],[Qty Order]]="Sample","-",IF(Table1[[#This Row],[Qty Order]]="RTFN","-",Table1[[#This Row],[Qty Order]]-Table1[[#This Row],[Qty Accumulate]]))</f>
        <v>0</v>
      </c>
      <c r="U221">
        <f>((Table1[[#This Row],[Shift Output]]*Table1[[#This Row],[Part Weight (gm)]])/1000)+Table1[[#This Row],[Reject Startup (kg)]]+Table1[[#This Row],[Reject Purging (kg)]]+Table1[[#This Row],[Reject Preform (kg)]]</f>
        <v>265.37400000000002</v>
      </c>
      <c r="V221" s="37">
        <f>(Table1[[#This Row],[Gross Weight (gm)]]-Table1[[#This Row],[Part Weight (gm)]])*Table1[[#This Row],[Shift Output]]/1000</f>
        <v>-13.537919999999986</v>
      </c>
      <c r="W221" s="3">
        <v>0</v>
      </c>
      <c r="X221" s="36">
        <f>Table1[[#This Row],[Reject Startup (kg)]]/Table1[[#This Row],[Material Used]]</f>
        <v>0</v>
      </c>
      <c r="Y221" s="3">
        <v>0</v>
      </c>
      <c r="Z221" s="36">
        <f>Table1[[#This Row],[Reject Prod (kg)]]/Table1[[#This Row],[Material Used]]</f>
        <v>0</v>
      </c>
      <c r="AA221" s="4">
        <v>22.539772033691399</v>
      </c>
      <c r="AB221" s="5">
        <v>11.18</v>
      </c>
      <c r="AC221" s="4" cm="1">
        <f t="array" ref="AC221">IFERROR(INDEX(ReferenceCard, MATCH(1, (INDEX(ReferenceCard,,1)=Table1[[#This Row],[SAP No]]) * (INDEX(ReferenceCard,,2)=Table1[[#This Row],[Mould No]]), 0), 9),)</f>
        <v>32.74</v>
      </c>
      <c r="AD221" s="5">
        <v>0.81999999999999895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t="s">
        <v>57</v>
      </c>
      <c r="AL221" s="2" t="s">
        <v>58</v>
      </c>
      <c r="AM221" s="2"/>
      <c r="AN221" s="3">
        <v>0</v>
      </c>
      <c r="AO221" s="3">
        <v>0</v>
      </c>
      <c r="AP22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2" spans="1:42" x14ac:dyDescent="0.35">
      <c r="A222" s="1">
        <v>46016</v>
      </c>
      <c r="B222">
        <v>1</v>
      </c>
      <c r="C222" t="s">
        <v>16</v>
      </c>
      <c r="D222" t="str" cm="1">
        <f t="array" ref="D222">IFERROR(INDEX(ReferenceCard, MATCH(1, (INDEX(ReferenceCard,,1)=Table1[[#This Row],[SAP No]]) * (INDEX(ReferenceCard,,2)=Table1[[#This Row],[Mould No]]), 0), 6),)</f>
        <v>PET</v>
      </c>
      <c r="E222">
        <v>324206</v>
      </c>
      <c r="F222">
        <v>0</v>
      </c>
      <c r="G222" t="str" cm="1">
        <f t="array" ref="G222">IFERROR(INDEX(ReferenceCard, MATCH(1, (INDEX(ReferenceCard,,1)=Table1[[#This Row],[SAP No]]) * (INDEX(ReferenceCard,,2)=Table1[[#This Row],[Mould No]]), 0), 3),)</f>
        <v>BX38-1000-HC-S-CL</v>
      </c>
      <c r="H222">
        <v>0</v>
      </c>
      <c r="I222" cm="1">
        <f t="array" ref="I222">IFERROR(INDEX(ReferenceCard, MATCH(1, (INDEX(ReferenceCard,,1)=Table1[[#This Row],[SAP No]]) * (INDEX(ReferenceCard,,2)=Table1[[#This Row],[Mould No]]), 0), 4),)</f>
        <v>4</v>
      </c>
      <c r="J222" s="4" cm="1">
        <f t="array" ref="J222">IFERROR(INDEX(ReferenceCard, MATCH(1, (INDEX(ReferenceCard,,1)=Table1[[#This Row],[SAP No]]) * (INDEX(ReferenceCard,,2)=Table1[[#This Row],[Mould No]]), 0), 9),)</f>
        <v>49</v>
      </c>
      <c r="K222" s="4" cm="1">
        <f t="array" ref="K222">IFERROR(INDEX(ReferenceCard, MATCH(1, (INDEX(ReferenceCard,,1)=Table1[[#This Row],[SAP No]]) * (INDEX(ReferenceCard,,2)=Table1[[#This Row],[Mould No]]), 0), 7),)</f>
        <v>48</v>
      </c>
      <c r="L222">
        <v>1343</v>
      </c>
      <c r="M222">
        <v>0</v>
      </c>
      <c r="N222">
        <v>0</v>
      </c>
      <c r="O222">
        <v>0</v>
      </c>
      <c r="P222">
        <f>Table1[[#This Row],[Shot]]*Table1[[#This Row],[Cav]]</f>
        <v>5372</v>
      </c>
      <c r="Q222">
        <v>0</v>
      </c>
      <c r="R222">
        <f>(Table1[[#This Row],[Part Weight (gm)]]*Table1[[#This Row],[Finish Good]])/1000</f>
        <v>0</v>
      </c>
      <c r="S222">
        <v>0</v>
      </c>
      <c r="T222">
        <f>IF(Table1[[#This Row],[Qty Order]]="Sample","-",IF(Table1[[#This Row],[Qty Order]]="RTFN","-",Table1[[#This Row],[Qty Order]]-Table1[[#This Row],[Qty Accumulate]]))</f>
        <v>0</v>
      </c>
      <c r="U222">
        <f>((Table1[[#This Row],[Shift Output]]*Table1[[#This Row],[Part Weight (gm)]])/1000)+Table1[[#This Row],[Reject Startup (kg)]]+Table1[[#This Row],[Reject Purging (kg)]]+Table1[[#This Row],[Reject Preform (kg)]]</f>
        <v>257.85599999999999</v>
      </c>
      <c r="V222" s="37">
        <f>(Table1[[#This Row],[Gross Weight (gm)]]-Table1[[#This Row],[Part Weight (gm)]])*Table1[[#This Row],[Shift Output]]/1000</f>
        <v>5.3719999999999999</v>
      </c>
      <c r="W222" s="3">
        <v>0</v>
      </c>
      <c r="X222" s="36">
        <f>Table1[[#This Row],[Reject Startup (kg)]]/Table1[[#This Row],[Material Used]]</f>
        <v>0</v>
      </c>
      <c r="Y222" s="3">
        <v>0</v>
      </c>
      <c r="Z222" s="36">
        <f>Table1[[#This Row],[Reject Prod (kg)]]/Table1[[#This Row],[Material Used]]</f>
        <v>0</v>
      </c>
      <c r="AA222" s="4">
        <v>0</v>
      </c>
      <c r="AB222" s="5">
        <v>10.58</v>
      </c>
      <c r="AC222" s="4" cm="1">
        <f t="array" ref="AC222">IFERROR(INDEX(ReferenceCard, MATCH(1, (INDEX(ReferenceCard,,1)=Table1[[#This Row],[SAP No]]) * (INDEX(ReferenceCard,,2)=Table1[[#This Row],[Mould No]]), 0), 9),)</f>
        <v>49</v>
      </c>
      <c r="AD222" s="5">
        <v>1.4199999999999899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t="s">
        <v>59</v>
      </c>
      <c r="AL222" s="2"/>
      <c r="AM222" s="2"/>
      <c r="AN222" s="3">
        <v>0</v>
      </c>
      <c r="AO222" s="3">
        <v>0</v>
      </c>
      <c r="AP22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3" spans="1:42" x14ac:dyDescent="0.35">
      <c r="A223" s="1">
        <v>46016</v>
      </c>
      <c r="B223">
        <v>1</v>
      </c>
      <c r="C223" t="s">
        <v>23</v>
      </c>
      <c r="D223" t="str" cm="1">
        <f t="array" ref="D223">IFERROR(INDEX(ReferenceCard, MATCH(1, (INDEX(ReferenceCard,,1)=Table1[[#This Row],[SAP No]]) * (INDEX(ReferenceCard,,2)=Table1[[#This Row],[Mould No]]), 0), 6),)</f>
        <v>PPSB520Y</v>
      </c>
      <c r="E223">
        <v>586276</v>
      </c>
      <c r="F223">
        <v>2</v>
      </c>
      <c r="G223" t="str" cm="1">
        <f t="array" ref="G223">IFERROR(INDEX(ReferenceCard, MATCH(1, (INDEX(ReferenceCard,,1)=Table1[[#This Row],[SAP No]]) * (INDEX(ReferenceCard,,2)=Table1[[#This Row],[Mould No]]), 0), 3),)</f>
        <v>BC28-0056-D-APH-LEB-604001-MOLD2</v>
      </c>
      <c r="H223">
        <v>0</v>
      </c>
      <c r="I223" cm="1">
        <f t="array" ref="I223">IFERROR(INDEX(ReferenceCard, MATCH(1, (INDEX(ReferenceCard,,1)=Table1[[#This Row],[SAP No]]) * (INDEX(ReferenceCard,,2)=Table1[[#This Row],[Mould No]]), 0), 4),)</f>
        <v>6</v>
      </c>
      <c r="J223" s="4" cm="1">
        <f t="array" ref="J223">IFERROR(INDEX(ReferenceCard, MATCH(1, (INDEX(ReferenceCard,,1)=Table1[[#This Row],[SAP No]]) * (INDEX(ReferenceCard,,2)=Table1[[#This Row],[Mould No]]), 0), 9),)</f>
        <v>12.3</v>
      </c>
      <c r="K223" s="4" cm="1">
        <f t="array" ref="K223">IFERROR(INDEX(ReferenceCard, MATCH(1, (INDEX(ReferenceCard,,1)=Table1[[#This Row],[SAP No]]) * (INDEX(ReferenceCard,,2)=Table1[[#This Row],[Mould No]]), 0), 7),)</f>
        <v>12.3</v>
      </c>
      <c r="L223">
        <v>1883</v>
      </c>
      <c r="M223">
        <v>0</v>
      </c>
      <c r="N223">
        <v>0</v>
      </c>
      <c r="O223">
        <v>0</v>
      </c>
      <c r="P223">
        <f>Table1[[#This Row],[Shot]]*Table1[[#This Row],[Cav]]</f>
        <v>11298</v>
      </c>
      <c r="Q223">
        <v>0</v>
      </c>
      <c r="R223">
        <f>(Table1[[#This Row],[Part Weight (gm)]]*Table1[[#This Row],[Finish Good]])/1000</f>
        <v>0</v>
      </c>
      <c r="S223">
        <v>0</v>
      </c>
      <c r="T223">
        <f>IF(Table1[[#This Row],[Qty Order]]="Sample","-",IF(Table1[[#This Row],[Qty Order]]="RTFN","-",Table1[[#This Row],[Qty Order]]-Table1[[#This Row],[Qty Accumulate]]))</f>
        <v>0</v>
      </c>
      <c r="U223">
        <f>((Table1[[#This Row],[Shift Output]]*Table1[[#This Row],[Part Weight (gm)]])/1000)+Table1[[#This Row],[Reject Startup (kg)]]+Table1[[#This Row],[Reject Purging (kg)]]+Table1[[#This Row],[Reject Preform (kg)]]</f>
        <v>138.96539999999999</v>
      </c>
      <c r="V223" s="37">
        <f>(Table1[[#This Row],[Gross Weight (gm)]]-Table1[[#This Row],[Part Weight (gm)]])*Table1[[#This Row],[Shift Output]]/1000</f>
        <v>0</v>
      </c>
      <c r="W223" s="3">
        <v>0</v>
      </c>
      <c r="X223" s="36">
        <f>Table1[[#This Row],[Reject Startup (kg)]]/Table1[[#This Row],[Material Used]]</f>
        <v>0</v>
      </c>
      <c r="Y223" s="3">
        <v>0</v>
      </c>
      <c r="Z223" s="36">
        <f>Table1[[#This Row],[Reject Prod (kg)]]/Table1[[#This Row],[Material Used]]</f>
        <v>0</v>
      </c>
      <c r="AA223" s="4">
        <v>34.253177642822202</v>
      </c>
      <c r="AB223" s="5">
        <v>11.99</v>
      </c>
      <c r="AC223" s="4" cm="1">
        <f t="array" ref="AC223">IFERROR(INDEX(ReferenceCard, MATCH(1, (INDEX(ReferenceCard,,1)=Table1[[#This Row],[SAP No]]) * (INDEX(ReferenceCard,,2)=Table1[[#This Row],[Mould No]]), 0), 9),)</f>
        <v>12.3</v>
      </c>
      <c r="AD223" s="5">
        <v>0</v>
      </c>
      <c r="AE223" s="5">
        <v>0</v>
      </c>
      <c r="AF223" s="5">
        <v>0</v>
      </c>
      <c r="AG223" s="5">
        <v>0</v>
      </c>
      <c r="AH223" s="5">
        <v>0.01</v>
      </c>
      <c r="AI223" s="5">
        <v>0</v>
      </c>
      <c r="AJ223" s="5">
        <v>0</v>
      </c>
      <c r="AL223" s="2"/>
      <c r="AM223" s="2"/>
      <c r="AN223" s="3">
        <v>0</v>
      </c>
      <c r="AO223" s="3">
        <v>0</v>
      </c>
      <c r="AP22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4" spans="1:42" x14ac:dyDescent="0.35">
      <c r="A224" s="1">
        <v>46016</v>
      </c>
      <c r="B224">
        <v>1</v>
      </c>
      <c r="C224" t="s">
        <v>25</v>
      </c>
      <c r="D224" t="str" cm="1">
        <f t="array" ref="D224">IFERROR(INDEX(ReferenceCard, MATCH(1, (INDEX(ReferenceCard,,1)=Table1[[#This Row],[SAP No]]) * (INDEX(ReferenceCard,,2)=Table1[[#This Row],[Mould No]]), 0), 6),)</f>
        <v>PET</v>
      </c>
      <c r="E224">
        <v>323133</v>
      </c>
      <c r="F224">
        <v>0</v>
      </c>
      <c r="G224" t="str" cm="1">
        <f t="array" ref="G224">IFERROR(INDEX(ReferenceCard, MATCH(1, (INDEX(ReferenceCard,,1)=Table1[[#This Row],[SAP No]]) * (INDEX(ReferenceCard,,2)=Table1[[#This Row],[Mould No]]), 0), 3),)</f>
        <v>BX38-2000-RH-R-CL(GREEN) (ASEM)</v>
      </c>
      <c r="H224">
        <v>0</v>
      </c>
      <c r="I224" cm="1">
        <f t="array" ref="I224">IFERROR(INDEX(ReferenceCard, MATCH(1, (INDEX(ReferenceCard,,1)=Table1[[#This Row],[SAP No]]) * (INDEX(ReferenceCard,,2)=Table1[[#This Row],[Mould No]]), 0), 4),)</f>
        <v>4</v>
      </c>
      <c r="J224" s="4" cm="1">
        <f t="array" ref="J224">IFERROR(INDEX(ReferenceCard, MATCH(1, (INDEX(ReferenceCard,,1)=Table1[[#This Row],[SAP No]]) * (INDEX(ReferenceCard,,2)=Table1[[#This Row],[Mould No]]), 0), 9),)</f>
        <v>77</v>
      </c>
      <c r="K224" s="4" cm="1">
        <f t="array" ref="K224">IFERROR(INDEX(ReferenceCard, MATCH(1, (INDEX(ReferenceCard,,1)=Table1[[#This Row],[SAP No]]) * (INDEX(ReferenceCard,,2)=Table1[[#This Row],[Mould No]]), 0), 7),)</f>
        <v>77</v>
      </c>
      <c r="L224">
        <v>0</v>
      </c>
      <c r="M224">
        <v>0</v>
      </c>
      <c r="N224">
        <v>0</v>
      </c>
      <c r="O224">
        <v>0</v>
      </c>
      <c r="P224">
        <f>Table1[[#This Row],[Shot]]*Table1[[#This Row],[Cav]]</f>
        <v>0</v>
      </c>
      <c r="Q224">
        <v>0</v>
      </c>
      <c r="R224">
        <f>(Table1[[#This Row],[Part Weight (gm)]]*Table1[[#This Row],[Finish Good]])/1000</f>
        <v>0</v>
      </c>
      <c r="S224">
        <v>0</v>
      </c>
      <c r="T224">
        <f>IF(Table1[[#This Row],[Qty Order]]="Sample","-",IF(Table1[[#This Row],[Qty Order]]="RTFN","-",Table1[[#This Row],[Qty Order]]-Table1[[#This Row],[Qty Accumulate]]))</f>
        <v>0</v>
      </c>
      <c r="U224">
        <f>((Table1[[#This Row],[Shift Output]]*Table1[[#This Row],[Part Weight (gm)]])/1000)+Table1[[#This Row],[Reject Startup (kg)]]+Table1[[#This Row],[Reject Purging (kg)]]+Table1[[#This Row],[Reject Preform (kg)]]</f>
        <v>0</v>
      </c>
      <c r="V224" s="37">
        <f>(Table1[[#This Row],[Gross Weight (gm)]]-Table1[[#This Row],[Part Weight (gm)]])*Table1[[#This Row],[Shift Output]]/1000</f>
        <v>0</v>
      </c>
      <c r="W224" s="3">
        <v>0</v>
      </c>
      <c r="X224" s="36" t="e">
        <f>Table1[[#This Row],[Reject Startup (kg)]]/Table1[[#This Row],[Material Used]]</f>
        <v>#DIV/0!</v>
      </c>
      <c r="Y224" s="3">
        <v>0</v>
      </c>
      <c r="Z224" s="36" t="e">
        <f>Table1[[#This Row],[Reject Prod (kg)]]/Table1[[#This Row],[Material Used]]</f>
        <v>#DIV/0!</v>
      </c>
      <c r="AA224" s="4">
        <v>0</v>
      </c>
      <c r="AB224" s="5">
        <v>0</v>
      </c>
      <c r="AC224" s="4" cm="1">
        <f t="array" ref="AC224">IFERROR(INDEX(ReferenceCard, MATCH(1, (INDEX(ReferenceCard,,1)=Table1[[#This Row],[SAP No]]) * (INDEX(ReferenceCard,,2)=Table1[[#This Row],[Mould No]]), 0), 9),)</f>
        <v>77</v>
      </c>
      <c r="AD224" s="5">
        <v>0</v>
      </c>
      <c r="AE224" s="5">
        <v>0</v>
      </c>
      <c r="AF224" s="5">
        <v>0</v>
      </c>
      <c r="AG224" s="5">
        <v>12</v>
      </c>
      <c r="AH224" s="5">
        <v>0</v>
      </c>
      <c r="AI224" s="5">
        <v>0</v>
      </c>
      <c r="AJ224" s="5">
        <v>0</v>
      </c>
      <c r="AK224" t="s">
        <v>44</v>
      </c>
      <c r="AL224" s="2"/>
      <c r="AM224" s="2"/>
      <c r="AN224" s="3">
        <v>0</v>
      </c>
      <c r="AO224" s="3">
        <v>0</v>
      </c>
      <c r="AP22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5" spans="1:42" x14ac:dyDescent="0.35">
      <c r="A225" s="1">
        <v>46016</v>
      </c>
      <c r="B225">
        <v>1</v>
      </c>
      <c r="C225" t="s">
        <v>27</v>
      </c>
      <c r="D225" t="str" cm="1">
        <f t="array" ref="D225">IFERROR(INDEX(ReferenceCard, MATCH(1, (INDEX(ReferenceCard,,1)=Table1[[#This Row],[SAP No]]) * (INDEX(ReferenceCard,,2)=Table1[[#This Row],[Mould No]]), 0), 6),)</f>
        <v>PPSB520Y</v>
      </c>
      <c r="E225">
        <v>552181</v>
      </c>
      <c r="F225">
        <v>4</v>
      </c>
      <c r="G225" t="str" cm="1">
        <f t="array" ref="G225">IFERROR(INDEX(ReferenceCard, MATCH(1, (INDEX(ReferenceCard,,1)=Table1[[#This Row],[SAP No]]) * (INDEX(ReferenceCard,,2)=Table1[[#This Row],[Mould No]]), 0), 3),)</f>
        <v>BC28-0090-D-APH-5180-3538-PP-6 NOTCHES-MOLD4</v>
      </c>
      <c r="H225">
        <v>0</v>
      </c>
      <c r="I225" cm="1">
        <f t="array" ref="I225">IFERROR(INDEX(ReferenceCard, MATCH(1, (INDEX(ReferenceCard,,1)=Table1[[#This Row],[SAP No]]) * (INDEX(ReferenceCard,,2)=Table1[[#This Row],[Mould No]]), 0), 4),)</f>
        <v>6</v>
      </c>
      <c r="J225" s="4" cm="1">
        <f t="array" ref="J225">IFERROR(INDEX(ReferenceCard, MATCH(1, (INDEX(ReferenceCard,,1)=Table1[[#This Row],[SAP No]]) * (INDEX(ReferenceCard,,2)=Table1[[#This Row],[Mould No]]), 0), 9),)</f>
        <v>18.8</v>
      </c>
      <c r="K225" s="4" cm="1">
        <f t="array" ref="K225">IFERROR(INDEX(ReferenceCard, MATCH(1, (INDEX(ReferenceCard,,1)=Table1[[#This Row],[SAP No]]) * (INDEX(ReferenceCard,,2)=Table1[[#This Row],[Mould No]]), 0), 7),)</f>
        <v>18.8</v>
      </c>
      <c r="L225">
        <v>1557</v>
      </c>
      <c r="M225">
        <v>0</v>
      </c>
      <c r="N225">
        <v>0</v>
      </c>
      <c r="O225">
        <v>0</v>
      </c>
      <c r="P225">
        <f>Table1[[#This Row],[Shot]]*Table1[[#This Row],[Cav]]</f>
        <v>9342</v>
      </c>
      <c r="Q225">
        <v>0</v>
      </c>
      <c r="R225">
        <f>(Table1[[#This Row],[Part Weight (gm)]]*Table1[[#This Row],[Finish Good]])/1000</f>
        <v>0</v>
      </c>
      <c r="S225">
        <v>0</v>
      </c>
      <c r="T225">
        <f>IF(Table1[[#This Row],[Qty Order]]="Sample","-",IF(Table1[[#This Row],[Qty Order]]="RTFN","-",Table1[[#This Row],[Qty Order]]-Table1[[#This Row],[Qty Accumulate]]))</f>
        <v>0</v>
      </c>
      <c r="U225">
        <f>((Table1[[#This Row],[Shift Output]]*Table1[[#This Row],[Part Weight (gm)]])/1000)+Table1[[#This Row],[Reject Startup (kg)]]+Table1[[#This Row],[Reject Purging (kg)]]+Table1[[#This Row],[Reject Preform (kg)]]</f>
        <v>175.62960000000001</v>
      </c>
      <c r="V225" s="37">
        <f>(Table1[[#This Row],[Gross Weight (gm)]]-Table1[[#This Row],[Part Weight (gm)]])*Table1[[#This Row],[Shift Output]]/1000</f>
        <v>0</v>
      </c>
      <c r="W225" s="3">
        <v>0</v>
      </c>
      <c r="X225" s="36">
        <f>Table1[[#This Row],[Reject Startup (kg)]]/Table1[[#This Row],[Material Used]]</f>
        <v>0</v>
      </c>
      <c r="Y225" s="3">
        <v>0</v>
      </c>
      <c r="Z225" s="36">
        <f>Table1[[#This Row],[Reject Prod (kg)]]/Table1[[#This Row],[Material Used]]</f>
        <v>0</v>
      </c>
      <c r="AA225" s="4">
        <v>27.736083984375</v>
      </c>
      <c r="AB225" s="5">
        <v>12</v>
      </c>
      <c r="AC225" s="4" cm="1">
        <f t="array" ref="AC225">IFERROR(INDEX(ReferenceCard, MATCH(1, (INDEX(ReferenceCard,,1)=Table1[[#This Row],[SAP No]]) * (INDEX(ReferenceCard,,2)=Table1[[#This Row],[Mould No]]), 0), 9),)</f>
        <v>18.8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L225" s="2"/>
      <c r="AM225" s="2"/>
      <c r="AN225" s="3">
        <v>0</v>
      </c>
      <c r="AO225" s="3">
        <v>0</v>
      </c>
      <c r="AP22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6" spans="1:42" x14ac:dyDescent="0.35">
      <c r="A226" s="1">
        <v>46016</v>
      </c>
      <c r="B226">
        <v>1</v>
      </c>
      <c r="C226" t="s">
        <v>29</v>
      </c>
      <c r="D226" t="str" cm="1">
        <f t="array" ref="D226">IFERROR(INDEX(ReferenceCard, MATCH(1, (INDEX(ReferenceCard,,1)=Table1[[#This Row],[SAP No]]) * (INDEX(ReferenceCard,,2)=Table1[[#This Row],[Mould No]]), 0), 6),)</f>
        <v>PET</v>
      </c>
      <c r="E226">
        <v>620599</v>
      </c>
      <c r="F226">
        <v>0</v>
      </c>
      <c r="G226" t="str" cm="1">
        <f t="array" ref="G226">IFERROR(INDEX(ReferenceCard, MATCH(1, (INDEX(ReferenceCard,,1)=Table1[[#This Row],[SAP No]]) * (INDEX(ReferenceCard,,2)=Table1[[#This Row],[Mould No]]), 0), 3),)</f>
        <v>BC28-0750-K4-R-CL (55g)</v>
      </c>
      <c r="H226">
        <v>0</v>
      </c>
      <c r="I226" cm="1">
        <f t="array" ref="I226">IFERROR(INDEX(ReferenceCard, MATCH(1, (INDEX(ReferenceCard,,1)=Table1[[#This Row],[SAP No]]) * (INDEX(ReferenceCard,,2)=Table1[[#This Row],[Mould No]]), 0), 4),)</f>
        <v>4</v>
      </c>
      <c r="J226" s="4" cm="1">
        <f t="array" ref="J226">IFERROR(INDEX(ReferenceCard, MATCH(1, (INDEX(ReferenceCard,,1)=Table1[[#This Row],[SAP No]]) * (INDEX(ReferenceCard,,2)=Table1[[#This Row],[Mould No]]), 0), 9),)</f>
        <v>55</v>
      </c>
      <c r="K226" s="4" cm="1">
        <f t="array" ref="K226">IFERROR(INDEX(ReferenceCard, MATCH(1, (INDEX(ReferenceCard,,1)=Table1[[#This Row],[SAP No]]) * (INDEX(ReferenceCard,,2)=Table1[[#This Row],[Mould No]]), 0), 7),)</f>
        <v>55</v>
      </c>
      <c r="L226">
        <v>1542</v>
      </c>
      <c r="M226">
        <v>0</v>
      </c>
      <c r="N226">
        <v>0</v>
      </c>
      <c r="O226">
        <v>0</v>
      </c>
      <c r="P226">
        <f>Table1[[#This Row],[Shot]]*Table1[[#This Row],[Cav]]</f>
        <v>6168</v>
      </c>
      <c r="Q226">
        <v>0</v>
      </c>
      <c r="R226">
        <f>(Table1[[#This Row],[Part Weight (gm)]]*Table1[[#This Row],[Finish Good]])/1000</f>
        <v>0</v>
      </c>
      <c r="S226">
        <v>0</v>
      </c>
      <c r="T226">
        <f>IF(Table1[[#This Row],[Qty Order]]="Sample","-",IF(Table1[[#This Row],[Qty Order]]="RTFN","-",Table1[[#This Row],[Qty Order]]-Table1[[#This Row],[Qty Accumulate]]))</f>
        <v>0</v>
      </c>
      <c r="U226">
        <f>((Table1[[#This Row],[Shift Output]]*Table1[[#This Row],[Part Weight (gm)]])/1000)+Table1[[#This Row],[Reject Startup (kg)]]+Table1[[#This Row],[Reject Purging (kg)]]+Table1[[#This Row],[Reject Preform (kg)]]</f>
        <v>339.24</v>
      </c>
      <c r="V226" s="37">
        <f>(Table1[[#This Row],[Gross Weight (gm)]]-Table1[[#This Row],[Part Weight (gm)]])*Table1[[#This Row],[Shift Output]]/1000</f>
        <v>0</v>
      </c>
      <c r="W226" s="3">
        <v>0</v>
      </c>
      <c r="X226" s="36">
        <f>Table1[[#This Row],[Reject Startup (kg)]]/Table1[[#This Row],[Material Used]]</f>
        <v>0</v>
      </c>
      <c r="Y226" s="3">
        <v>0</v>
      </c>
      <c r="Z226" s="36">
        <f>Table1[[#This Row],[Reject Prod (kg)]]/Table1[[#This Row],[Material Used]]</f>
        <v>0</v>
      </c>
      <c r="AA226" s="4">
        <v>27.991804122924801</v>
      </c>
      <c r="AB226" s="5">
        <v>12</v>
      </c>
      <c r="AC226" s="4" cm="1">
        <f t="array" ref="AC226">IFERROR(INDEX(ReferenceCard, MATCH(1, (INDEX(ReferenceCard,,1)=Table1[[#This Row],[SAP No]]) * (INDEX(ReferenceCard,,2)=Table1[[#This Row],[Mould No]]), 0), 9),)</f>
        <v>55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L226" s="2"/>
      <c r="AM226" s="2"/>
      <c r="AN226" s="3">
        <v>0</v>
      </c>
      <c r="AO226" s="3">
        <v>0</v>
      </c>
      <c r="AP22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7" spans="1:42" x14ac:dyDescent="0.35">
      <c r="A227" s="1">
        <v>46016</v>
      </c>
      <c r="B227">
        <v>1</v>
      </c>
      <c r="C227" t="s">
        <v>31</v>
      </c>
      <c r="D227" t="str" cm="1">
        <f t="array" ref="D227">IFERROR(INDEX(ReferenceCard, MATCH(1, (INDEX(ReferenceCard,,1)=Table1[[#This Row],[SAP No]]) * (INDEX(ReferenceCard,,2)=Table1[[#This Row],[Mould No]]), 0), 6),)</f>
        <v>PPSB520Y</v>
      </c>
      <c r="E227">
        <v>586276</v>
      </c>
      <c r="F227">
        <v>4</v>
      </c>
      <c r="G227" t="str" cm="1">
        <f t="array" ref="G227">IFERROR(INDEX(ReferenceCard, MATCH(1, (INDEX(ReferenceCard,,1)=Table1[[#This Row],[SAP No]]) * (INDEX(ReferenceCard,,2)=Table1[[#This Row],[Mould No]]), 0), 3),)</f>
        <v>BC28-0056-D-APH-LEB-604001-MOLD4</v>
      </c>
      <c r="H227">
        <v>0</v>
      </c>
      <c r="I227" cm="1">
        <f t="array" ref="I227">IFERROR(INDEX(ReferenceCard, MATCH(1, (INDEX(ReferenceCard,,1)=Table1[[#This Row],[SAP No]]) * (INDEX(ReferenceCard,,2)=Table1[[#This Row],[Mould No]]), 0), 4),)</f>
        <v>6</v>
      </c>
      <c r="J227" s="4" cm="1">
        <f t="array" ref="J227">IFERROR(INDEX(ReferenceCard, MATCH(1, (INDEX(ReferenceCard,,1)=Table1[[#This Row],[SAP No]]) * (INDEX(ReferenceCard,,2)=Table1[[#This Row],[Mould No]]), 0), 9),)</f>
        <v>12.3</v>
      </c>
      <c r="K227" s="4" cm="1">
        <f t="array" ref="K227">IFERROR(INDEX(ReferenceCard, MATCH(1, (INDEX(ReferenceCard,,1)=Table1[[#This Row],[SAP No]]) * (INDEX(ReferenceCard,,2)=Table1[[#This Row],[Mould No]]), 0), 7),)</f>
        <v>12.3</v>
      </c>
      <c r="L227">
        <v>1645</v>
      </c>
      <c r="M227">
        <v>0</v>
      </c>
      <c r="N227">
        <v>0</v>
      </c>
      <c r="O227">
        <v>0</v>
      </c>
      <c r="P227">
        <f>Table1[[#This Row],[Shot]]*Table1[[#This Row],[Cav]]</f>
        <v>9870</v>
      </c>
      <c r="Q227">
        <v>0</v>
      </c>
      <c r="R227">
        <f>(Table1[[#This Row],[Part Weight (gm)]]*Table1[[#This Row],[Finish Good]])/1000</f>
        <v>0</v>
      </c>
      <c r="S227">
        <v>0</v>
      </c>
      <c r="T227">
        <f>IF(Table1[[#This Row],[Qty Order]]="Sample","-",IF(Table1[[#This Row],[Qty Order]]="RTFN","-",Table1[[#This Row],[Qty Order]]-Table1[[#This Row],[Qty Accumulate]]))</f>
        <v>0</v>
      </c>
      <c r="U227">
        <f>((Table1[[#This Row],[Shift Output]]*Table1[[#This Row],[Part Weight (gm)]])/1000)+Table1[[#This Row],[Reject Startup (kg)]]+Table1[[#This Row],[Reject Purging (kg)]]+Table1[[#This Row],[Reject Preform (kg)]]</f>
        <v>121.401</v>
      </c>
      <c r="V227" s="37">
        <f>(Table1[[#This Row],[Gross Weight (gm)]]-Table1[[#This Row],[Part Weight (gm)]])*Table1[[#This Row],[Shift Output]]/1000</f>
        <v>0</v>
      </c>
      <c r="W227" s="3">
        <v>0</v>
      </c>
      <c r="X227" s="36">
        <f>Table1[[#This Row],[Reject Startup (kg)]]/Table1[[#This Row],[Material Used]]</f>
        <v>0</v>
      </c>
      <c r="Y227" s="3">
        <v>0</v>
      </c>
      <c r="Z227" s="36">
        <f>Table1[[#This Row],[Reject Prod (kg)]]/Table1[[#This Row],[Material Used]]</f>
        <v>0</v>
      </c>
      <c r="AA227" s="4">
        <v>26.252376556396399</v>
      </c>
      <c r="AB227" s="5">
        <v>12</v>
      </c>
      <c r="AC227" s="4" cm="1">
        <f t="array" ref="AC227">IFERROR(INDEX(ReferenceCard, MATCH(1, (INDEX(ReferenceCard,,1)=Table1[[#This Row],[SAP No]]) * (INDEX(ReferenceCard,,2)=Table1[[#This Row],[Mould No]]), 0), 9),)</f>
        <v>12.3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L227" s="2"/>
      <c r="AM227" s="2"/>
      <c r="AN227" s="3">
        <v>0</v>
      </c>
      <c r="AO227" s="3">
        <v>0</v>
      </c>
      <c r="AP22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8" spans="1:42" x14ac:dyDescent="0.35">
      <c r="A228" s="1">
        <v>46016</v>
      </c>
      <c r="B228">
        <v>1</v>
      </c>
      <c r="C228" t="s">
        <v>33</v>
      </c>
      <c r="D228" t="str" cm="1">
        <f t="array" ref="D228">IFERROR(INDEX(ReferenceCard, MATCH(1, (INDEX(ReferenceCard,,1)=Table1[[#This Row],[SAP No]]) * (INDEX(ReferenceCard,,2)=Table1[[#This Row],[Mould No]]), 0), 6),)</f>
        <v>PET</v>
      </c>
      <c r="E228">
        <v>541381</v>
      </c>
      <c r="F228">
        <v>0</v>
      </c>
      <c r="G228" t="str" cm="1">
        <f t="array" ref="G228">IFERROR(INDEX(ReferenceCard, MATCH(1, (INDEX(ReferenceCard,,1)=Table1[[#This Row],[SAP No]]) * (INDEX(ReferenceCard,,2)=Table1[[#This Row],[Mould No]]), 0), 3),)</f>
        <v>BC28-1200-K-R-CL</v>
      </c>
      <c r="H228">
        <v>0</v>
      </c>
      <c r="I228" cm="1">
        <f t="array" ref="I228">IFERROR(INDEX(ReferenceCard, MATCH(1, (INDEX(ReferenceCard,,1)=Table1[[#This Row],[SAP No]]) * (INDEX(ReferenceCard,,2)=Table1[[#This Row],[Mould No]]), 0), 4),)</f>
        <v>4</v>
      </c>
      <c r="J228" s="4" cm="1">
        <f t="array" ref="J228">IFERROR(INDEX(ReferenceCard, MATCH(1, (INDEX(ReferenceCard,,1)=Table1[[#This Row],[SAP No]]) * (INDEX(ReferenceCard,,2)=Table1[[#This Row],[Mould No]]), 0), 9),)</f>
        <v>55</v>
      </c>
      <c r="K228" s="4" cm="1">
        <f t="array" ref="K228">IFERROR(INDEX(ReferenceCard, MATCH(1, (INDEX(ReferenceCard,,1)=Table1[[#This Row],[SAP No]]) * (INDEX(ReferenceCard,,2)=Table1[[#This Row],[Mould No]]), 0), 7),)</f>
        <v>55</v>
      </c>
      <c r="L228">
        <v>967</v>
      </c>
      <c r="M228">
        <v>0</v>
      </c>
      <c r="N228">
        <v>0</v>
      </c>
      <c r="O228">
        <v>0</v>
      </c>
      <c r="P228">
        <f>Table1[[#This Row],[Shot]]*Table1[[#This Row],[Cav]]</f>
        <v>3868</v>
      </c>
      <c r="Q228">
        <v>0</v>
      </c>
      <c r="R228">
        <f>(Table1[[#This Row],[Part Weight (gm)]]*Table1[[#This Row],[Finish Good]])/1000</f>
        <v>0</v>
      </c>
      <c r="S228">
        <v>0</v>
      </c>
      <c r="T228">
        <f>IF(Table1[[#This Row],[Qty Order]]="Sample","-",IF(Table1[[#This Row],[Qty Order]]="RTFN","-",Table1[[#This Row],[Qty Order]]-Table1[[#This Row],[Qty Accumulate]]))</f>
        <v>0</v>
      </c>
      <c r="U228">
        <f>((Table1[[#This Row],[Shift Output]]*Table1[[#This Row],[Part Weight (gm)]])/1000)+Table1[[#This Row],[Reject Startup (kg)]]+Table1[[#This Row],[Reject Purging (kg)]]+Table1[[#This Row],[Reject Preform (kg)]]</f>
        <v>212.74</v>
      </c>
      <c r="V228" s="37">
        <f>(Table1[[#This Row],[Gross Weight (gm)]]-Table1[[#This Row],[Part Weight (gm)]])*Table1[[#This Row],[Shift Output]]/1000</f>
        <v>0</v>
      </c>
      <c r="W228" s="3">
        <v>0</v>
      </c>
      <c r="X228" s="36">
        <f>Table1[[#This Row],[Reject Startup (kg)]]/Table1[[#This Row],[Material Used]]</f>
        <v>0</v>
      </c>
      <c r="Y228" s="3">
        <v>0</v>
      </c>
      <c r="Z228" s="36">
        <f>Table1[[#This Row],[Reject Prod (kg)]]/Table1[[#This Row],[Material Used]]</f>
        <v>0</v>
      </c>
      <c r="AA228" s="4">
        <v>42.6981201171875</v>
      </c>
      <c r="AB228" s="5">
        <v>11.56</v>
      </c>
      <c r="AC228" s="4" cm="1">
        <f t="array" ref="AC228">IFERROR(INDEX(ReferenceCard, MATCH(1, (INDEX(ReferenceCard,,1)=Table1[[#This Row],[SAP No]]) * (INDEX(ReferenceCard,,2)=Table1[[#This Row],[Mould No]]), 0), 9),)</f>
        <v>55</v>
      </c>
      <c r="AD228" s="5">
        <v>0</v>
      </c>
      <c r="AE228" s="5">
        <v>0</v>
      </c>
      <c r="AF228" s="5">
        <v>0</v>
      </c>
      <c r="AG228" s="5">
        <v>0</v>
      </c>
      <c r="AH228" s="5">
        <v>0.44</v>
      </c>
      <c r="AI228" s="5">
        <v>0</v>
      </c>
      <c r="AJ228" s="5">
        <v>0</v>
      </c>
      <c r="AK228" t="s">
        <v>60</v>
      </c>
      <c r="AL228" s="2"/>
      <c r="AM228" s="2"/>
      <c r="AN228" s="3">
        <v>0</v>
      </c>
      <c r="AO228" s="3">
        <v>0</v>
      </c>
      <c r="AP22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29" spans="1:42" x14ac:dyDescent="0.35">
      <c r="A229" s="1">
        <v>46016</v>
      </c>
      <c r="B229">
        <v>1</v>
      </c>
      <c r="C229" t="s">
        <v>35</v>
      </c>
      <c r="D229" t="str" cm="1">
        <f t="array" ref="D229">IFERROR(INDEX(ReferenceCard, MATCH(1, (INDEX(ReferenceCard,,1)=Table1[[#This Row],[SAP No]]) * (INDEX(ReferenceCard,,2)=Table1[[#This Row],[Mould No]]), 0), 6),)</f>
        <v>PPSB520Y</v>
      </c>
      <c r="E229">
        <v>552181</v>
      </c>
      <c r="F229">
        <v>1</v>
      </c>
      <c r="G229" t="str" cm="1">
        <f t="array" ref="G229">IFERROR(INDEX(ReferenceCard, MATCH(1, (INDEX(ReferenceCard,,1)=Table1[[#This Row],[SAP No]]) * (INDEX(ReferenceCard,,2)=Table1[[#This Row],[Mould No]]), 0), 3),)</f>
        <v>BC28-0090-D-APH-5180-3538-PP-6 NOTCHES-MOLD1</v>
      </c>
      <c r="H229">
        <v>0</v>
      </c>
      <c r="I229" cm="1">
        <f t="array" ref="I229">IFERROR(INDEX(ReferenceCard, MATCH(1, (INDEX(ReferenceCard,,1)=Table1[[#This Row],[SAP No]]) * (INDEX(ReferenceCard,,2)=Table1[[#This Row],[Mould No]]), 0), 4),)</f>
        <v>6</v>
      </c>
      <c r="J229" s="4" cm="1">
        <f t="array" ref="J229">IFERROR(INDEX(ReferenceCard, MATCH(1, (INDEX(ReferenceCard,,1)=Table1[[#This Row],[SAP No]]) * (INDEX(ReferenceCard,,2)=Table1[[#This Row],[Mould No]]), 0), 9),)</f>
        <v>18.8</v>
      </c>
      <c r="K229" s="4" cm="1">
        <f t="array" ref="K229">IFERROR(INDEX(ReferenceCard, MATCH(1, (INDEX(ReferenceCard,,1)=Table1[[#This Row],[SAP No]]) * (INDEX(ReferenceCard,,2)=Table1[[#This Row],[Mould No]]), 0), 7),)</f>
        <v>18.8</v>
      </c>
      <c r="L229">
        <v>1379</v>
      </c>
      <c r="M229">
        <v>0</v>
      </c>
      <c r="N229">
        <v>0</v>
      </c>
      <c r="O229">
        <v>0</v>
      </c>
      <c r="P229">
        <f>Table1[[#This Row],[Shot]]*Table1[[#This Row],[Cav]]</f>
        <v>8274</v>
      </c>
      <c r="Q229">
        <v>0</v>
      </c>
      <c r="R229">
        <f>(Table1[[#This Row],[Part Weight (gm)]]*Table1[[#This Row],[Finish Good]])/1000</f>
        <v>0</v>
      </c>
      <c r="S229">
        <v>0</v>
      </c>
      <c r="T229">
        <f>IF(Table1[[#This Row],[Qty Order]]="Sample","-",IF(Table1[[#This Row],[Qty Order]]="RTFN","-",Table1[[#This Row],[Qty Order]]-Table1[[#This Row],[Qty Accumulate]]))</f>
        <v>0</v>
      </c>
      <c r="U229">
        <f>((Table1[[#This Row],[Shift Output]]*Table1[[#This Row],[Part Weight (gm)]])/1000)+Table1[[#This Row],[Reject Startup (kg)]]+Table1[[#This Row],[Reject Purging (kg)]]+Table1[[#This Row],[Reject Preform (kg)]]</f>
        <v>155.55120000000002</v>
      </c>
      <c r="V229" s="37">
        <f>(Table1[[#This Row],[Gross Weight (gm)]]-Table1[[#This Row],[Part Weight (gm)]])*Table1[[#This Row],[Shift Output]]/1000</f>
        <v>0</v>
      </c>
      <c r="W229" s="3">
        <v>0</v>
      </c>
      <c r="X229" s="36">
        <f>Table1[[#This Row],[Reject Startup (kg)]]/Table1[[#This Row],[Material Used]]</f>
        <v>0</v>
      </c>
      <c r="Y229" s="3">
        <v>0</v>
      </c>
      <c r="Z229" s="36">
        <f>Table1[[#This Row],[Reject Prod (kg)]]/Table1[[#This Row],[Material Used]]</f>
        <v>0</v>
      </c>
      <c r="AA229" s="4">
        <v>31.313837051391602</v>
      </c>
      <c r="AB229" s="5">
        <v>12</v>
      </c>
      <c r="AC229" s="4" cm="1">
        <f t="array" ref="AC229">IFERROR(INDEX(ReferenceCard, MATCH(1, (INDEX(ReferenceCard,,1)=Table1[[#This Row],[SAP No]]) * (INDEX(ReferenceCard,,2)=Table1[[#This Row],[Mould No]]), 0), 9),)</f>
        <v>18.8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L229" s="2"/>
      <c r="AM229" s="2"/>
      <c r="AN229" s="3">
        <v>0</v>
      </c>
      <c r="AO229" s="3">
        <v>0</v>
      </c>
      <c r="AP22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0" spans="1:42" x14ac:dyDescent="0.35">
      <c r="A230" s="1">
        <v>46016</v>
      </c>
      <c r="B230">
        <v>1</v>
      </c>
      <c r="C230" t="s">
        <v>18</v>
      </c>
      <c r="D230" t="str" cm="1">
        <f t="array" ref="D230">IFERROR(INDEX(ReferenceCard, MATCH(1, (INDEX(ReferenceCard,,1)=Table1[[#This Row],[SAP No]]) * (INDEX(ReferenceCard,,2)=Table1[[#This Row],[Mould No]]), 0), 6),)</f>
        <v>PPSB520Y</v>
      </c>
      <c r="E230">
        <v>555979</v>
      </c>
      <c r="F230">
        <v>4</v>
      </c>
      <c r="G230" t="str" cm="1">
        <f t="array" ref="G230">IFERROR(INDEX(ReferenceCard, MATCH(1, (INDEX(ReferenceCard,,1)=Table1[[#This Row],[SAP No]]) * (INDEX(ReferenceCard,,2)=Table1[[#This Row],[Mould No]]), 0), 3),)</f>
        <v>BC28-0170-D-APH-5180-3539-PP-6 NOTCHES-MOLD4</v>
      </c>
      <c r="H230">
        <v>0</v>
      </c>
      <c r="I230" cm="1">
        <f t="array" ref="I230">IFERROR(INDEX(ReferenceCard, MATCH(1, (INDEX(ReferenceCard,,1)=Table1[[#This Row],[SAP No]]) * (INDEX(ReferenceCard,,2)=Table1[[#This Row],[Mould No]]), 0), 4),)</f>
        <v>6</v>
      </c>
      <c r="J230" s="4" cm="1">
        <f t="array" ref="J230">IFERROR(INDEX(ReferenceCard, MATCH(1, (INDEX(ReferenceCard,,1)=Table1[[#This Row],[SAP No]]) * (INDEX(ReferenceCard,,2)=Table1[[#This Row],[Mould No]]), 0), 9),)</f>
        <v>28</v>
      </c>
      <c r="K230" s="4" cm="1">
        <f t="array" ref="K230">IFERROR(INDEX(ReferenceCard, MATCH(1, (INDEX(ReferenceCard,,1)=Table1[[#This Row],[SAP No]]) * (INDEX(ReferenceCard,,2)=Table1[[#This Row],[Mould No]]), 0), 7),)</f>
        <v>28</v>
      </c>
      <c r="L230">
        <v>986</v>
      </c>
      <c r="M230">
        <v>0</v>
      </c>
      <c r="N230">
        <v>0</v>
      </c>
      <c r="O230">
        <v>0</v>
      </c>
      <c r="P230">
        <f>Table1[[#This Row],[Shot]]*Table1[[#This Row],[Cav]]</f>
        <v>5916</v>
      </c>
      <c r="Q230">
        <v>0</v>
      </c>
      <c r="R230">
        <f>(Table1[[#This Row],[Part Weight (gm)]]*Table1[[#This Row],[Finish Good]])/1000</f>
        <v>0</v>
      </c>
      <c r="S230">
        <v>0</v>
      </c>
      <c r="T230">
        <f>IF(Table1[[#This Row],[Qty Order]]="Sample","-",IF(Table1[[#This Row],[Qty Order]]="RTFN","-",Table1[[#This Row],[Qty Order]]-Table1[[#This Row],[Qty Accumulate]]))</f>
        <v>0</v>
      </c>
      <c r="U230">
        <f>((Table1[[#This Row],[Shift Output]]*Table1[[#This Row],[Part Weight (gm)]])/1000)+Table1[[#This Row],[Reject Startup (kg)]]+Table1[[#This Row],[Reject Purging (kg)]]+Table1[[#This Row],[Reject Preform (kg)]]</f>
        <v>165.648</v>
      </c>
      <c r="V230" s="37">
        <f>(Table1[[#This Row],[Gross Weight (gm)]]-Table1[[#This Row],[Part Weight (gm)]])*Table1[[#This Row],[Shift Output]]/1000</f>
        <v>0</v>
      </c>
      <c r="W230" s="3">
        <v>0</v>
      </c>
      <c r="X230" s="36">
        <f>Table1[[#This Row],[Reject Startup (kg)]]/Table1[[#This Row],[Material Used]]</f>
        <v>0</v>
      </c>
      <c r="Y230" s="3">
        <v>0</v>
      </c>
      <c r="Z230" s="36">
        <f>Table1[[#This Row],[Reject Prod (kg)]]/Table1[[#This Row],[Material Used]]</f>
        <v>0</v>
      </c>
      <c r="AA230" s="4">
        <v>43.5</v>
      </c>
      <c r="AB230" s="5">
        <v>12</v>
      </c>
      <c r="AC230" s="4" cm="1">
        <f t="array" ref="AC230">IFERROR(INDEX(ReferenceCard, MATCH(1, (INDEX(ReferenceCard,,1)=Table1[[#This Row],[SAP No]]) * (INDEX(ReferenceCard,,2)=Table1[[#This Row],[Mould No]]), 0), 9),)</f>
        <v>28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L230" s="2"/>
      <c r="AM230" s="2"/>
      <c r="AN230" s="3">
        <v>0</v>
      </c>
      <c r="AO230" s="3">
        <v>0</v>
      </c>
      <c r="AP23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1" spans="1:42" x14ac:dyDescent="0.35">
      <c r="A231" s="1">
        <v>46016</v>
      </c>
      <c r="B231">
        <v>1</v>
      </c>
      <c r="C231" t="s">
        <v>0</v>
      </c>
      <c r="D231" t="str" cm="1">
        <f t="array" ref="D231">IFERROR(INDEX(ReferenceCard, MATCH(1, (INDEX(ReferenceCard,,1)=Table1[[#This Row],[SAP No]]) * (INDEX(ReferenceCard,,2)=Table1[[#This Row],[Mould No]]), 0), 6),)</f>
        <v>PET</v>
      </c>
      <c r="E231">
        <v>347623</v>
      </c>
      <c r="F231">
        <v>0</v>
      </c>
      <c r="G231" t="str" cm="1">
        <f t="array" ref="G231">IFERROR(INDEX(ReferenceCard, MATCH(1, (INDEX(ReferenceCard,,1)=Table1[[#This Row],[SAP No]]) * (INDEX(ReferenceCard,,2)=Table1[[#This Row],[Mould No]]), 0), 3),)</f>
        <v>BC28-0375-K-R-CL</v>
      </c>
      <c r="H231">
        <v>0</v>
      </c>
      <c r="I231" cm="1">
        <f t="array" ref="I231">IFERROR(INDEX(ReferenceCard, MATCH(1, (INDEX(ReferenceCard,,1)=Table1[[#This Row],[SAP No]]) * (INDEX(ReferenceCard,,2)=Table1[[#This Row],[Mould No]]), 0), 4),)</f>
        <v>4</v>
      </c>
      <c r="J231" s="4" cm="1">
        <f t="array" ref="J231">IFERROR(INDEX(ReferenceCard, MATCH(1, (INDEX(ReferenceCard,,1)=Table1[[#This Row],[SAP No]]) * (INDEX(ReferenceCard,,2)=Table1[[#This Row],[Mould No]]), 0), 9),)</f>
        <v>35.6</v>
      </c>
      <c r="K231" s="4" cm="1">
        <f t="array" ref="K231">IFERROR(INDEX(ReferenceCard, MATCH(1, (INDEX(ReferenceCard,,1)=Table1[[#This Row],[SAP No]]) * (INDEX(ReferenceCard,,2)=Table1[[#This Row],[Mould No]]), 0), 7),)</f>
        <v>35.6</v>
      </c>
      <c r="L231">
        <v>2522</v>
      </c>
      <c r="M231">
        <v>0</v>
      </c>
      <c r="N231">
        <v>0</v>
      </c>
      <c r="O231">
        <v>0</v>
      </c>
      <c r="P231">
        <f>Table1[[#This Row],[Shot]]*Table1[[#This Row],[Cav]]</f>
        <v>10088</v>
      </c>
      <c r="Q231">
        <v>0</v>
      </c>
      <c r="R231">
        <f>(Table1[[#This Row],[Part Weight (gm)]]*Table1[[#This Row],[Finish Good]])/1000</f>
        <v>0</v>
      </c>
      <c r="S231">
        <v>0</v>
      </c>
      <c r="T231">
        <f>IF(Table1[[#This Row],[Qty Order]]="Sample","-",IF(Table1[[#This Row],[Qty Order]]="RTFN","-",Table1[[#This Row],[Qty Order]]-Table1[[#This Row],[Qty Accumulate]]))</f>
        <v>0</v>
      </c>
      <c r="U231">
        <f>((Table1[[#This Row],[Shift Output]]*Table1[[#This Row],[Part Weight (gm)]])/1000)+Table1[[#This Row],[Reject Startup (kg)]]+Table1[[#This Row],[Reject Purging (kg)]]+Table1[[#This Row],[Reject Preform (kg)]]</f>
        <v>359.13279999999997</v>
      </c>
      <c r="V231" s="37">
        <f>(Table1[[#This Row],[Gross Weight (gm)]]-Table1[[#This Row],[Part Weight (gm)]])*Table1[[#This Row],[Shift Output]]/1000</f>
        <v>0</v>
      </c>
      <c r="W231" s="3">
        <v>0</v>
      </c>
      <c r="X231" s="36">
        <f>Table1[[#This Row],[Reject Startup (kg)]]/Table1[[#This Row],[Material Used]]</f>
        <v>0</v>
      </c>
      <c r="Y231" s="3">
        <v>0</v>
      </c>
      <c r="Z231" s="36">
        <f>Table1[[#This Row],[Reject Prod (kg)]]/Table1[[#This Row],[Material Used]]</f>
        <v>0</v>
      </c>
      <c r="AA231" s="4">
        <v>35.503349304199197</v>
      </c>
      <c r="AB231" s="5">
        <v>11.99</v>
      </c>
      <c r="AC231" s="4" cm="1">
        <f t="array" ref="AC231">IFERROR(INDEX(ReferenceCard, MATCH(1, (INDEX(ReferenceCard,,1)=Table1[[#This Row],[SAP No]]) * (INDEX(ReferenceCard,,2)=Table1[[#This Row],[Mould No]]), 0), 9),)</f>
        <v>35.6</v>
      </c>
      <c r="AD231" s="5">
        <v>0</v>
      </c>
      <c r="AE231" s="5">
        <v>0</v>
      </c>
      <c r="AF231" s="5">
        <v>0</v>
      </c>
      <c r="AG231" s="5">
        <v>0</v>
      </c>
      <c r="AH231" s="5">
        <v>0.01</v>
      </c>
      <c r="AI231" s="5">
        <v>0</v>
      </c>
      <c r="AJ231" s="5">
        <v>0</v>
      </c>
      <c r="AL231" s="2"/>
      <c r="AM231" s="2"/>
      <c r="AN231" s="3">
        <v>0</v>
      </c>
      <c r="AO231" s="3">
        <v>0</v>
      </c>
      <c r="AP23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2" spans="1:42" x14ac:dyDescent="0.35">
      <c r="A232" s="1">
        <v>46016</v>
      </c>
      <c r="B232">
        <v>1</v>
      </c>
      <c r="C232" t="s">
        <v>3</v>
      </c>
      <c r="D232" t="str" cm="1">
        <f t="array" ref="D232">IFERROR(INDEX(ReferenceCard, MATCH(1, (INDEX(ReferenceCard,,1)=Table1[[#This Row],[SAP No]]) * (INDEX(ReferenceCard,,2)=Table1[[#This Row],[Mould No]]), 0), 6),)</f>
        <v>PET</v>
      </c>
      <c r="E232">
        <v>423215</v>
      </c>
      <c r="F232">
        <v>0</v>
      </c>
      <c r="G232" t="str" cm="1">
        <f t="array" ref="G232">IFERROR(INDEX(ReferenceCard, MATCH(1, (INDEX(ReferenceCard,,1)=Table1[[#This Row],[SAP No]]) * (INDEX(ReferenceCard,,2)=Table1[[#This Row],[Mould No]]), 0), 3),)</f>
        <v>BC28-0355-SCC-A-Q-CL</v>
      </c>
      <c r="H232">
        <v>0</v>
      </c>
      <c r="I232" cm="1">
        <f t="array" ref="I232">IFERROR(INDEX(ReferenceCard, MATCH(1, (INDEX(ReferenceCard,,1)=Table1[[#This Row],[SAP No]]) * (INDEX(ReferenceCard,,2)=Table1[[#This Row],[Mould No]]), 0), 4),)</f>
        <v>4</v>
      </c>
      <c r="J232" s="4" cm="1">
        <f t="array" ref="J232">IFERROR(INDEX(ReferenceCard, MATCH(1, (INDEX(ReferenceCard,,1)=Table1[[#This Row],[SAP No]]) * (INDEX(ReferenceCard,,2)=Table1[[#This Row],[Mould No]]), 0), 9),)</f>
        <v>24</v>
      </c>
      <c r="K232" s="4" cm="1">
        <f t="array" ref="K232">IFERROR(INDEX(ReferenceCard, MATCH(1, (INDEX(ReferenceCard,,1)=Table1[[#This Row],[SAP No]]) * (INDEX(ReferenceCard,,2)=Table1[[#This Row],[Mould No]]), 0), 7),)</f>
        <v>24</v>
      </c>
      <c r="L232">
        <v>869</v>
      </c>
      <c r="M232">
        <v>0</v>
      </c>
      <c r="N232">
        <v>0</v>
      </c>
      <c r="O232">
        <v>0</v>
      </c>
      <c r="P232">
        <f>Table1[[#This Row],[Shot]]*Table1[[#This Row],[Cav]]</f>
        <v>3476</v>
      </c>
      <c r="Q232">
        <v>0</v>
      </c>
      <c r="R232">
        <f>(Table1[[#This Row],[Part Weight (gm)]]*Table1[[#This Row],[Finish Good]])/1000</f>
        <v>0</v>
      </c>
      <c r="S232">
        <v>0</v>
      </c>
      <c r="T232">
        <f>IF(Table1[[#This Row],[Qty Order]]="Sample","-",IF(Table1[[#This Row],[Qty Order]]="RTFN","-",Table1[[#This Row],[Qty Order]]-Table1[[#This Row],[Qty Accumulate]]))</f>
        <v>0</v>
      </c>
      <c r="U232">
        <f>((Table1[[#This Row],[Shift Output]]*Table1[[#This Row],[Part Weight (gm)]])/1000)+Table1[[#This Row],[Reject Startup (kg)]]+Table1[[#This Row],[Reject Purging (kg)]]+Table1[[#This Row],[Reject Preform (kg)]]</f>
        <v>83.424000000000007</v>
      </c>
      <c r="V232" s="37">
        <f>(Table1[[#This Row],[Gross Weight (gm)]]-Table1[[#This Row],[Part Weight (gm)]])*Table1[[#This Row],[Shift Output]]/1000</f>
        <v>0</v>
      </c>
      <c r="W232" s="3">
        <v>0</v>
      </c>
      <c r="X232" s="36">
        <f>Table1[[#This Row],[Reject Startup (kg)]]/Table1[[#This Row],[Material Used]]</f>
        <v>0</v>
      </c>
      <c r="Y232" s="3">
        <v>0</v>
      </c>
      <c r="Z232" s="36">
        <f>Table1[[#This Row],[Reject Prod (kg)]]/Table1[[#This Row],[Material Used]]</f>
        <v>0</v>
      </c>
      <c r="AA232" s="4">
        <v>0</v>
      </c>
      <c r="AB232" s="5">
        <v>5.7999999999999901</v>
      </c>
      <c r="AC232" s="4" cm="1">
        <f t="array" ref="AC232">IFERROR(INDEX(ReferenceCard, MATCH(1, (INDEX(ReferenceCard,,1)=Table1[[#This Row],[SAP No]]) * (INDEX(ReferenceCard,,2)=Table1[[#This Row],[Mould No]]), 0), 9),)</f>
        <v>24</v>
      </c>
      <c r="AD232" s="5">
        <v>0</v>
      </c>
      <c r="AE232" s="5">
        <v>6.2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t="s">
        <v>61</v>
      </c>
      <c r="AL232" s="2"/>
      <c r="AM232" s="2"/>
      <c r="AN232" s="3">
        <v>0</v>
      </c>
      <c r="AO232" s="3">
        <v>0</v>
      </c>
      <c r="AP23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3" spans="1:42" x14ac:dyDescent="0.35">
      <c r="A233" s="1">
        <v>46016</v>
      </c>
      <c r="B233">
        <v>1</v>
      </c>
      <c r="C233" t="s">
        <v>5</v>
      </c>
      <c r="D233" t="str" cm="1">
        <f t="array" ref="D233">IFERROR(INDEX(ReferenceCard, MATCH(1, (INDEX(ReferenceCard,,1)=Table1[[#This Row],[SAP No]]) * (INDEX(ReferenceCard,,2)=Table1[[#This Row],[Mould No]]), 0), 6),)</f>
        <v>PET</v>
      </c>
      <c r="E233">
        <v>543590</v>
      </c>
      <c r="F233">
        <v>0</v>
      </c>
      <c r="G233" t="str" cm="1">
        <f t="array" ref="G233">IFERROR(INDEX(ReferenceCard, MATCH(1, (INDEX(ReferenceCard,,1)=Table1[[#This Row],[SAP No]]) * (INDEX(ReferenceCard,,2)=Table1[[#This Row],[Mould No]]), 0), 3),)</f>
        <v>BC28-0130-R-R-AM</v>
      </c>
      <c r="H233">
        <v>0</v>
      </c>
      <c r="I233" cm="1">
        <f t="array" ref="I233">IFERROR(INDEX(ReferenceCard, MATCH(1, (INDEX(ReferenceCard,,1)=Table1[[#This Row],[SAP No]]) * (INDEX(ReferenceCard,,2)=Table1[[#This Row],[Mould No]]), 0), 4),)</f>
        <v>4</v>
      </c>
      <c r="J233" s="4" cm="1">
        <f t="array" ref="J233">IFERROR(INDEX(ReferenceCard, MATCH(1, (INDEX(ReferenceCard,,1)=Table1[[#This Row],[SAP No]]) * (INDEX(ReferenceCard,,2)=Table1[[#This Row],[Mould No]]), 0), 9),)</f>
        <v>19</v>
      </c>
      <c r="K233" s="4" cm="1">
        <f t="array" ref="K233">IFERROR(INDEX(ReferenceCard, MATCH(1, (INDEX(ReferenceCard,,1)=Table1[[#This Row],[SAP No]]) * (INDEX(ReferenceCard,,2)=Table1[[#This Row],[Mould No]]), 0), 7),)</f>
        <v>19</v>
      </c>
      <c r="L233">
        <v>1311</v>
      </c>
      <c r="M233">
        <v>0</v>
      </c>
      <c r="N233">
        <v>0</v>
      </c>
      <c r="O233">
        <v>0</v>
      </c>
      <c r="P233">
        <f>Table1[[#This Row],[Shot]]*Table1[[#This Row],[Cav]]</f>
        <v>5244</v>
      </c>
      <c r="Q233">
        <v>0</v>
      </c>
      <c r="R233">
        <f>(Table1[[#This Row],[Part Weight (gm)]]*Table1[[#This Row],[Finish Good]])/1000</f>
        <v>0</v>
      </c>
      <c r="S233">
        <v>0</v>
      </c>
      <c r="T233">
        <f>IF(Table1[[#This Row],[Qty Order]]="Sample","-",IF(Table1[[#This Row],[Qty Order]]="RTFN","-",Table1[[#This Row],[Qty Order]]-Table1[[#This Row],[Qty Accumulate]]))</f>
        <v>0</v>
      </c>
      <c r="U233">
        <f>((Table1[[#This Row],[Shift Output]]*Table1[[#This Row],[Part Weight (gm)]])/1000)+Table1[[#This Row],[Reject Startup (kg)]]+Table1[[#This Row],[Reject Purging (kg)]]+Table1[[#This Row],[Reject Preform (kg)]]</f>
        <v>99.635999999999996</v>
      </c>
      <c r="V233" s="37">
        <f>(Table1[[#This Row],[Gross Weight (gm)]]-Table1[[#This Row],[Part Weight (gm)]])*Table1[[#This Row],[Shift Output]]/1000</f>
        <v>0</v>
      </c>
      <c r="W233" s="3">
        <v>0</v>
      </c>
      <c r="X233" s="36">
        <f>Table1[[#This Row],[Reject Startup (kg)]]/Table1[[#This Row],[Material Used]]</f>
        <v>0</v>
      </c>
      <c r="Y233" s="3">
        <v>0</v>
      </c>
      <c r="Z233" s="36">
        <f>Table1[[#This Row],[Reject Prod (kg)]]/Table1[[#This Row],[Material Used]]</f>
        <v>0</v>
      </c>
      <c r="AA233" s="4">
        <v>26.318595886230401</v>
      </c>
      <c r="AB233" s="5">
        <v>11.9499999999999</v>
      </c>
      <c r="AC233" s="4" cm="1">
        <f t="array" ref="AC233">IFERROR(INDEX(ReferenceCard, MATCH(1, (INDEX(ReferenceCard,,1)=Table1[[#This Row],[SAP No]]) * (INDEX(ReferenceCard,,2)=Table1[[#This Row],[Mould No]]), 0), 9),)</f>
        <v>19</v>
      </c>
      <c r="AD233" s="5">
        <v>0</v>
      </c>
      <c r="AE233" s="5">
        <v>0</v>
      </c>
      <c r="AF233" s="5">
        <v>0</v>
      </c>
      <c r="AG233" s="5">
        <v>0</v>
      </c>
      <c r="AH233" s="5">
        <v>0.05</v>
      </c>
      <c r="AI233" s="5">
        <v>0</v>
      </c>
      <c r="AJ233" s="5">
        <v>0</v>
      </c>
      <c r="AL233" s="2"/>
      <c r="AM233" s="2"/>
      <c r="AN233" s="3">
        <v>0</v>
      </c>
      <c r="AO233" s="3">
        <v>0</v>
      </c>
      <c r="AP23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4" spans="1:42" x14ac:dyDescent="0.35">
      <c r="A234" s="1">
        <v>46015</v>
      </c>
      <c r="B234">
        <v>2</v>
      </c>
      <c r="C234" t="s">
        <v>16</v>
      </c>
      <c r="D234" t="str" cm="1">
        <f t="array" ref="D234">IFERROR(INDEX(ReferenceCard, MATCH(1, (INDEX(ReferenceCard,,1)=Table1[[#This Row],[SAP No]]) * (INDEX(ReferenceCard,,2)=Table1[[#This Row],[Mould No]]), 0), 6),)</f>
        <v>PET</v>
      </c>
      <c r="E234">
        <v>324206</v>
      </c>
      <c r="F234">
        <v>0</v>
      </c>
      <c r="G234" t="str" cm="1">
        <f t="array" ref="G234">IFERROR(INDEX(ReferenceCard, MATCH(1, (INDEX(ReferenceCard,,1)=Table1[[#This Row],[SAP No]]) * (INDEX(ReferenceCard,,2)=Table1[[#This Row],[Mould No]]), 0), 3),)</f>
        <v>BX38-1000-HC-S-CL</v>
      </c>
      <c r="H234">
        <v>0</v>
      </c>
      <c r="I234" cm="1">
        <f t="array" ref="I234">IFERROR(INDEX(ReferenceCard, MATCH(1, (INDEX(ReferenceCard,,1)=Table1[[#This Row],[SAP No]]) * (INDEX(ReferenceCard,,2)=Table1[[#This Row],[Mould No]]), 0), 4),)</f>
        <v>4</v>
      </c>
      <c r="J234" s="4" cm="1">
        <f t="array" ref="J234">IFERROR(INDEX(ReferenceCard, MATCH(1, (INDEX(ReferenceCard,,1)=Table1[[#This Row],[SAP No]]) * (INDEX(ReferenceCard,,2)=Table1[[#This Row],[Mould No]]), 0), 9),)</f>
        <v>49</v>
      </c>
      <c r="K234" s="4" cm="1">
        <f t="array" ref="K234">IFERROR(INDEX(ReferenceCard, MATCH(1, (INDEX(ReferenceCard,,1)=Table1[[#This Row],[SAP No]]) * (INDEX(ReferenceCard,,2)=Table1[[#This Row],[Mould No]]), 0), 7),)</f>
        <v>48</v>
      </c>
      <c r="L234">
        <v>1932</v>
      </c>
      <c r="M234">
        <v>0</v>
      </c>
      <c r="N234">
        <v>0</v>
      </c>
      <c r="O234">
        <v>0</v>
      </c>
      <c r="P234">
        <f>Table1[[#This Row],[Shot]]*Table1[[#This Row],[Cav]]</f>
        <v>7728</v>
      </c>
      <c r="Q234">
        <v>0</v>
      </c>
      <c r="R234">
        <f>(Table1[[#This Row],[Part Weight (gm)]]*Table1[[#This Row],[Finish Good]])/1000</f>
        <v>0</v>
      </c>
      <c r="S234">
        <v>0</v>
      </c>
      <c r="T234">
        <f>IF(Table1[[#This Row],[Qty Order]]="Sample","-",IF(Table1[[#This Row],[Qty Order]]="RTFN","-",Table1[[#This Row],[Qty Order]]-Table1[[#This Row],[Qty Accumulate]]))</f>
        <v>0</v>
      </c>
      <c r="U234">
        <f>((Table1[[#This Row],[Shift Output]]*Table1[[#This Row],[Part Weight (gm)]])/1000)+Table1[[#This Row],[Reject Startup (kg)]]+Table1[[#This Row],[Reject Purging (kg)]]+Table1[[#This Row],[Reject Preform (kg)]]</f>
        <v>370.94400000000002</v>
      </c>
      <c r="V234" s="37">
        <f>(Table1[[#This Row],[Gross Weight (gm)]]-Table1[[#This Row],[Part Weight (gm)]])*Table1[[#This Row],[Shift Output]]/1000</f>
        <v>7.7279999999999998</v>
      </c>
      <c r="W234" s="3">
        <v>0</v>
      </c>
      <c r="X234" s="36">
        <f>Table1[[#This Row],[Reject Startup (kg)]]/Table1[[#This Row],[Material Used]]</f>
        <v>0</v>
      </c>
      <c r="Y234" s="3">
        <v>0</v>
      </c>
      <c r="Z234" s="36">
        <f>Table1[[#This Row],[Reject Prod (kg)]]/Table1[[#This Row],[Material Used]]</f>
        <v>0</v>
      </c>
      <c r="AA234" s="4">
        <v>28.332727432250898</v>
      </c>
      <c r="AB234" s="5">
        <v>11.67</v>
      </c>
      <c r="AC234" s="4" cm="1">
        <f t="array" ref="AC234">IFERROR(INDEX(ReferenceCard, MATCH(1, (INDEX(ReferenceCard,,1)=Table1[[#This Row],[SAP No]]) * (INDEX(ReferenceCard,,2)=Table1[[#This Row],[Mould No]]), 0), 9),)</f>
        <v>49</v>
      </c>
      <c r="AD234" s="5">
        <v>0</v>
      </c>
      <c r="AE234" s="5">
        <v>0</v>
      </c>
      <c r="AF234" s="5">
        <v>0</v>
      </c>
      <c r="AG234" s="5">
        <v>0</v>
      </c>
      <c r="AH234" s="5">
        <v>0.33</v>
      </c>
      <c r="AI234" s="5">
        <v>0</v>
      </c>
      <c r="AJ234" s="5">
        <v>0</v>
      </c>
      <c r="AL234" s="2"/>
      <c r="AM234" s="2"/>
      <c r="AN234" s="3">
        <v>0</v>
      </c>
      <c r="AO234" s="3">
        <v>0</v>
      </c>
      <c r="AP23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5" spans="1:42" x14ac:dyDescent="0.35">
      <c r="A235" s="1">
        <v>46015</v>
      </c>
      <c r="B235">
        <v>2</v>
      </c>
      <c r="C235" t="s">
        <v>11</v>
      </c>
      <c r="D235" t="str" cm="1">
        <f t="array" ref="D235">IFERROR(INDEX(ReferenceCard, MATCH(1, (INDEX(ReferenceCard,,1)=Table1[[#This Row],[SAP No]]) * (INDEX(ReferenceCard,,2)=Table1[[#This Row],[Mould No]]), 0), 6),)</f>
        <v>rPET</v>
      </c>
      <c r="E235">
        <v>620994</v>
      </c>
      <c r="F235">
        <v>0</v>
      </c>
      <c r="G235" t="str" cm="1">
        <f t="array" ref="G235">IFERROR(INDEX(ReferenceCard, MATCH(1, (INDEX(ReferenceCard,,1)=Table1[[#This Row],[SAP No]]) * (INDEX(ReferenceCard,,2)=Table1[[#This Row],[Mould No]]), 0), 3),)</f>
        <v>JJ63-0400-SH-S-CL-rPET</v>
      </c>
      <c r="H235">
        <v>0</v>
      </c>
      <c r="I235" cm="1">
        <f t="array" ref="I235">IFERROR(INDEX(ReferenceCard, MATCH(1, (INDEX(ReferenceCard,,1)=Table1[[#This Row],[SAP No]]) * (INDEX(ReferenceCard,,2)=Table1[[#This Row],[Mould No]]), 0), 4),)</f>
        <v>4</v>
      </c>
      <c r="J235" s="4" cm="1">
        <f t="array" ref="J235">IFERROR(INDEX(ReferenceCard, MATCH(1, (INDEX(ReferenceCard,,1)=Table1[[#This Row],[SAP No]]) * (INDEX(ReferenceCard,,2)=Table1[[#This Row],[Mould No]]), 0), 9),)</f>
        <v>32.74</v>
      </c>
      <c r="K235" s="4" cm="1">
        <f t="array" ref="K235">IFERROR(INDEX(ReferenceCard, MATCH(1, (INDEX(ReferenceCard,,1)=Table1[[#This Row],[SAP No]]) * (INDEX(ReferenceCard,,2)=Table1[[#This Row],[Mould No]]), 0), 7),)</f>
        <v>33</v>
      </c>
      <c r="L235">
        <v>1731</v>
      </c>
      <c r="M235">
        <v>0</v>
      </c>
      <c r="N235">
        <v>0</v>
      </c>
      <c r="O235">
        <v>0</v>
      </c>
      <c r="P235">
        <f>Table1[[#This Row],[Shot]]*Table1[[#This Row],[Cav]]</f>
        <v>6924</v>
      </c>
      <c r="Q235">
        <v>0</v>
      </c>
      <c r="R235">
        <f>(Table1[[#This Row],[Part Weight (gm)]]*Table1[[#This Row],[Finish Good]])/1000</f>
        <v>0</v>
      </c>
      <c r="S235">
        <v>0</v>
      </c>
      <c r="T235">
        <f>IF(Table1[[#This Row],[Qty Order]]="Sample","-",IF(Table1[[#This Row],[Qty Order]]="RTFN","-",Table1[[#This Row],[Qty Order]]-Table1[[#This Row],[Qty Accumulate]]))</f>
        <v>0</v>
      </c>
      <c r="U235">
        <f>((Table1[[#This Row],[Shift Output]]*Table1[[#This Row],[Part Weight (gm)]])/1000)+Table1[[#This Row],[Reject Startup (kg)]]+Table1[[#This Row],[Reject Purging (kg)]]+Table1[[#This Row],[Reject Preform (kg)]]</f>
        <v>228.49199999999999</v>
      </c>
      <c r="V235" s="37">
        <f>(Table1[[#This Row],[Gross Weight (gm)]]-Table1[[#This Row],[Part Weight (gm)]])*Table1[[#This Row],[Shift Output]]/1000</f>
        <v>-1.8002399999999861</v>
      </c>
      <c r="W235" s="3">
        <v>0</v>
      </c>
      <c r="X235" s="36">
        <f>Table1[[#This Row],[Reject Startup (kg)]]/Table1[[#This Row],[Material Used]]</f>
        <v>0</v>
      </c>
      <c r="Y235" s="3">
        <v>0</v>
      </c>
      <c r="Z235" s="36">
        <f>Table1[[#This Row],[Reject Prod (kg)]]/Table1[[#This Row],[Material Used]]</f>
        <v>0</v>
      </c>
      <c r="AA235" s="4">
        <v>24.9514770507812</v>
      </c>
      <c r="AB235" s="5">
        <v>12</v>
      </c>
      <c r="AC235" s="4" cm="1">
        <f t="array" ref="AC235">IFERROR(INDEX(ReferenceCard, MATCH(1, (INDEX(ReferenceCard,,1)=Table1[[#This Row],[SAP No]]) * (INDEX(ReferenceCard,,2)=Table1[[#This Row],[Mould No]]), 0), 9),)</f>
        <v>32.74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L235" s="2"/>
      <c r="AM235" s="2"/>
      <c r="AN235" s="3">
        <v>0</v>
      </c>
      <c r="AO235" s="3">
        <v>0</v>
      </c>
      <c r="AP23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6" spans="1:42" x14ac:dyDescent="0.35">
      <c r="A236" s="1">
        <v>46015</v>
      </c>
      <c r="B236">
        <v>2</v>
      </c>
      <c r="C236" t="s">
        <v>5</v>
      </c>
      <c r="D236" t="str" cm="1">
        <f t="array" ref="D236">IFERROR(INDEX(ReferenceCard, MATCH(1, (INDEX(ReferenceCard,,1)=Table1[[#This Row],[SAP No]]) * (INDEX(ReferenceCard,,2)=Table1[[#This Row],[Mould No]]), 0), 6),)</f>
        <v>PET</v>
      </c>
      <c r="E236">
        <v>543590</v>
      </c>
      <c r="F236">
        <v>0</v>
      </c>
      <c r="G236" t="str" cm="1">
        <f t="array" ref="G236">IFERROR(INDEX(ReferenceCard, MATCH(1, (INDEX(ReferenceCard,,1)=Table1[[#This Row],[SAP No]]) * (INDEX(ReferenceCard,,2)=Table1[[#This Row],[Mould No]]), 0), 3),)</f>
        <v>BC28-0130-R-R-AM</v>
      </c>
      <c r="H236">
        <v>0</v>
      </c>
      <c r="I236" cm="1">
        <f t="array" ref="I236">IFERROR(INDEX(ReferenceCard, MATCH(1, (INDEX(ReferenceCard,,1)=Table1[[#This Row],[SAP No]]) * (INDEX(ReferenceCard,,2)=Table1[[#This Row],[Mould No]]), 0), 4),)</f>
        <v>4</v>
      </c>
      <c r="J236" s="4" cm="1">
        <f t="array" ref="J236">IFERROR(INDEX(ReferenceCard, MATCH(1, (INDEX(ReferenceCard,,1)=Table1[[#This Row],[SAP No]]) * (INDEX(ReferenceCard,,2)=Table1[[#This Row],[Mould No]]), 0), 9),)</f>
        <v>19</v>
      </c>
      <c r="K236" s="4" cm="1">
        <f t="array" ref="K236">IFERROR(INDEX(ReferenceCard, MATCH(1, (INDEX(ReferenceCard,,1)=Table1[[#This Row],[SAP No]]) * (INDEX(ReferenceCard,,2)=Table1[[#This Row],[Mould No]]), 0), 7),)</f>
        <v>19</v>
      </c>
      <c r="L236">
        <v>1745</v>
      </c>
      <c r="M236">
        <v>0</v>
      </c>
      <c r="N236">
        <v>0</v>
      </c>
      <c r="O236">
        <v>0</v>
      </c>
      <c r="P236">
        <f>Table1[[#This Row],[Shot]]*Table1[[#This Row],[Cav]]</f>
        <v>6980</v>
      </c>
      <c r="Q236">
        <v>0</v>
      </c>
      <c r="R236">
        <f>(Table1[[#This Row],[Part Weight (gm)]]*Table1[[#This Row],[Finish Good]])/1000</f>
        <v>0</v>
      </c>
      <c r="S236">
        <v>0</v>
      </c>
      <c r="T236">
        <f>IF(Table1[[#This Row],[Qty Order]]="Sample","-",IF(Table1[[#This Row],[Qty Order]]="RTFN","-",Table1[[#This Row],[Qty Order]]-Table1[[#This Row],[Qty Accumulate]]))</f>
        <v>0</v>
      </c>
      <c r="U236">
        <f>((Table1[[#This Row],[Shift Output]]*Table1[[#This Row],[Part Weight (gm)]])/1000)+Table1[[#This Row],[Reject Startup (kg)]]+Table1[[#This Row],[Reject Purging (kg)]]+Table1[[#This Row],[Reject Preform (kg)]]</f>
        <v>132.62</v>
      </c>
      <c r="V236" s="37">
        <f>(Table1[[#This Row],[Gross Weight (gm)]]-Table1[[#This Row],[Part Weight (gm)]])*Table1[[#This Row],[Shift Output]]/1000</f>
        <v>0</v>
      </c>
      <c r="W236" s="3">
        <v>0</v>
      </c>
      <c r="X236" s="36">
        <f>Table1[[#This Row],[Reject Startup (kg)]]/Table1[[#This Row],[Material Used]]</f>
        <v>0</v>
      </c>
      <c r="Y236" s="3">
        <v>0</v>
      </c>
      <c r="Z236" s="36">
        <f>Table1[[#This Row],[Reject Prod (kg)]]/Table1[[#This Row],[Material Used]]</f>
        <v>0</v>
      </c>
      <c r="AA236" s="4">
        <v>25.652229309081999</v>
      </c>
      <c r="AB236" s="5">
        <v>11.8599999999999</v>
      </c>
      <c r="AC236" s="4" cm="1">
        <f t="array" ref="AC236">IFERROR(INDEX(ReferenceCard, MATCH(1, (INDEX(ReferenceCard,,1)=Table1[[#This Row],[SAP No]]) * (INDEX(ReferenceCard,,2)=Table1[[#This Row],[Mould No]]), 0), 9),)</f>
        <v>19</v>
      </c>
      <c r="AD236" s="5">
        <v>0</v>
      </c>
      <c r="AE236" s="5">
        <v>0</v>
      </c>
      <c r="AF236" s="5">
        <v>0</v>
      </c>
      <c r="AG236" s="5">
        <v>0</v>
      </c>
      <c r="AH236" s="5">
        <v>0.14000000000000001</v>
      </c>
      <c r="AI236" s="5">
        <v>0</v>
      </c>
      <c r="AJ236" s="5">
        <v>0</v>
      </c>
      <c r="AL236" s="2"/>
      <c r="AM236" s="2"/>
      <c r="AN236" s="3">
        <v>0</v>
      </c>
      <c r="AO236" s="3">
        <v>0</v>
      </c>
      <c r="AP23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7" spans="1:42" x14ac:dyDescent="0.35">
      <c r="A237" s="1">
        <v>46015</v>
      </c>
      <c r="B237">
        <v>2</v>
      </c>
      <c r="C237" t="s">
        <v>7</v>
      </c>
      <c r="D237" t="str" cm="1">
        <f t="array" ref="D237">IFERROR(INDEX(ReferenceCard, MATCH(1, (INDEX(ReferenceCard,,1)=Table1[[#This Row],[SAP No]]) * (INDEX(ReferenceCard,,2)=Table1[[#This Row],[Mould No]]), 0), 6),)</f>
        <v>PET</v>
      </c>
      <c r="E237">
        <v>451191</v>
      </c>
      <c r="F237">
        <v>0</v>
      </c>
      <c r="G237" t="str" cm="1">
        <f t="array" ref="G237">IFERROR(INDEX(ReferenceCard, MATCH(1, (INDEX(ReferenceCard,,1)=Table1[[#This Row],[SAP No]]) * (INDEX(ReferenceCard,,2)=Table1[[#This Row],[Mould No]]), 0), 3),)</f>
        <v>BX38-0350-Z-C-CL</v>
      </c>
      <c r="H237">
        <v>0</v>
      </c>
      <c r="I237" cm="1">
        <f t="array" ref="I237">IFERROR(INDEX(ReferenceCard, MATCH(1, (INDEX(ReferenceCard,,1)=Table1[[#This Row],[SAP No]]) * (INDEX(ReferenceCard,,2)=Table1[[#This Row],[Mould No]]), 0), 4),)</f>
        <v>4</v>
      </c>
      <c r="J237" s="4" cm="1">
        <f t="array" ref="J237">IFERROR(INDEX(ReferenceCard, MATCH(1, (INDEX(ReferenceCard,,1)=Table1[[#This Row],[SAP No]]) * (INDEX(ReferenceCard,,2)=Table1[[#This Row],[Mould No]]), 0), 9),)</f>
        <v>29</v>
      </c>
      <c r="K237" s="4" cm="1">
        <f t="array" ref="K237">IFERROR(INDEX(ReferenceCard, MATCH(1, (INDEX(ReferenceCard,,1)=Table1[[#This Row],[SAP No]]) * (INDEX(ReferenceCard,,2)=Table1[[#This Row],[Mould No]]), 0), 7),)</f>
        <v>29</v>
      </c>
      <c r="L237">
        <v>1809</v>
      </c>
      <c r="M237">
        <v>0</v>
      </c>
      <c r="N237">
        <v>0</v>
      </c>
      <c r="O237">
        <v>0</v>
      </c>
      <c r="P237">
        <f>Table1[[#This Row],[Shot]]*Table1[[#This Row],[Cav]]</f>
        <v>7236</v>
      </c>
      <c r="Q237">
        <v>0</v>
      </c>
      <c r="R237">
        <f>(Table1[[#This Row],[Part Weight (gm)]]*Table1[[#This Row],[Finish Good]])/1000</f>
        <v>0</v>
      </c>
      <c r="S237">
        <v>0</v>
      </c>
      <c r="T237">
        <f>IF(Table1[[#This Row],[Qty Order]]="Sample","-",IF(Table1[[#This Row],[Qty Order]]="RTFN","-",Table1[[#This Row],[Qty Order]]-Table1[[#This Row],[Qty Accumulate]]))</f>
        <v>0</v>
      </c>
      <c r="U237">
        <f>((Table1[[#This Row],[Shift Output]]*Table1[[#This Row],[Part Weight (gm)]])/1000)+Table1[[#This Row],[Reject Startup (kg)]]+Table1[[#This Row],[Reject Purging (kg)]]+Table1[[#This Row],[Reject Preform (kg)]]</f>
        <v>209.84399999999999</v>
      </c>
      <c r="V237" s="37">
        <f>(Table1[[#This Row],[Gross Weight (gm)]]-Table1[[#This Row],[Part Weight (gm)]])*Table1[[#This Row],[Shift Output]]/1000</f>
        <v>0</v>
      </c>
      <c r="W237" s="3">
        <v>0</v>
      </c>
      <c r="X237" s="36">
        <f>Table1[[#This Row],[Reject Startup (kg)]]/Table1[[#This Row],[Material Used]]</f>
        <v>0</v>
      </c>
      <c r="Y237" s="3">
        <v>0</v>
      </c>
      <c r="Z237" s="36">
        <f>Table1[[#This Row],[Reject Prod (kg)]]/Table1[[#This Row],[Material Used]]</f>
        <v>0</v>
      </c>
      <c r="AA237" s="4">
        <v>23.880640029907202</v>
      </c>
      <c r="AB237" s="5">
        <v>12</v>
      </c>
      <c r="AC237" s="4" cm="1">
        <f t="array" ref="AC237">IFERROR(INDEX(ReferenceCard, MATCH(1, (INDEX(ReferenceCard,,1)=Table1[[#This Row],[SAP No]]) * (INDEX(ReferenceCard,,2)=Table1[[#This Row],[Mould No]]), 0), 9),)</f>
        <v>29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L237" s="2"/>
      <c r="AM237" s="2"/>
      <c r="AN237" s="3">
        <v>0</v>
      </c>
      <c r="AO237" s="3">
        <v>0</v>
      </c>
      <c r="AP23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8" spans="1:42" x14ac:dyDescent="0.35">
      <c r="A238" s="1">
        <v>46015</v>
      </c>
      <c r="B238">
        <v>2</v>
      </c>
      <c r="C238" t="s">
        <v>35</v>
      </c>
      <c r="D238" t="str" cm="1">
        <f t="array" ref="D238">IFERROR(INDEX(ReferenceCard, MATCH(1, (INDEX(ReferenceCard,,1)=Table1[[#This Row],[SAP No]]) * (INDEX(ReferenceCard,,2)=Table1[[#This Row],[Mould No]]), 0), 6),)</f>
        <v>PPSB520Y</v>
      </c>
      <c r="E238">
        <v>552181</v>
      </c>
      <c r="F238">
        <v>1</v>
      </c>
      <c r="G238" t="str" cm="1">
        <f t="array" ref="G238">IFERROR(INDEX(ReferenceCard, MATCH(1, (INDEX(ReferenceCard,,1)=Table1[[#This Row],[SAP No]]) * (INDEX(ReferenceCard,,2)=Table1[[#This Row],[Mould No]]), 0), 3),)</f>
        <v>BC28-0090-D-APH-5180-3538-PP-6 NOTCHES-MOLD1</v>
      </c>
      <c r="H238">
        <v>0</v>
      </c>
      <c r="I238" cm="1">
        <f t="array" ref="I238">IFERROR(INDEX(ReferenceCard, MATCH(1, (INDEX(ReferenceCard,,1)=Table1[[#This Row],[SAP No]]) * (INDEX(ReferenceCard,,2)=Table1[[#This Row],[Mould No]]), 0), 4),)</f>
        <v>6</v>
      </c>
      <c r="J238" s="4" cm="1">
        <f t="array" ref="J238">IFERROR(INDEX(ReferenceCard, MATCH(1, (INDEX(ReferenceCard,,1)=Table1[[#This Row],[SAP No]]) * (INDEX(ReferenceCard,,2)=Table1[[#This Row],[Mould No]]), 0), 9),)</f>
        <v>18.8</v>
      </c>
      <c r="K238" s="4" cm="1">
        <f t="array" ref="K238">IFERROR(INDEX(ReferenceCard, MATCH(1, (INDEX(ReferenceCard,,1)=Table1[[#This Row],[SAP No]]) * (INDEX(ReferenceCard,,2)=Table1[[#This Row],[Mould No]]), 0), 7),)</f>
        <v>18.8</v>
      </c>
      <c r="L238">
        <v>1380</v>
      </c>
      <c r="M238">
        <v>0</v>
      </c>
      <c r="N238">
        <v>0</v>
      </c>
      <c r="O238">
        <v>0</v>
      </c>
      <c r="P238">
        <f>Table1[[#This Row],[Shot]]*Table1[[#This Row],[Cav]]</f>
        <v>8280</v>
      </c>
      <c r="Q238">
        <v>0</v>
      </c>
      <c r="R238">
        <f>(Table1[[#This Row],[Part Weight (gm)]]*Table1[[#This Row],[Finish Good]])/1000</f>
        <v>0</v>
      </c>
      <c r="S238">
        <v>0</v>
      </c>
      <c r="T238">
        <f>IF(Table1[[#This Row],[Qty Order]]="Sample","-",IF(Table1[[#This Row],[Qty Order]]="RTFN","-",Table1[[#This Row],[Qty Order]]-Table1[[#This Row],[Qty Accumulate]]))</f>
        <v>0</v>
      </c>
      <c r="U238">
        <f>((Table1[[#This Row],[Shift Output]]*Table1[[#This Row],[Part Weight (gm)]])/1000)+Table1[[#This Row],[Reject Startup (kg)]]+Table1[[#This Row],[Reject Purging (kg)]]+Table1[[#This Row],[Reject Preform (kg)]]</f>
        <v>155.66399999999999</v>
      </c>
      <c r="V238" s="37">
        <f>(Table1[[#This Row],[Gross Weight (gm)]]-Table1[[#This Row],[Part Weight (gm)]])*Table1[[#This Row],[Shift Output]]/1000</f>
        <v>0</v>
      </c>
      <c r="W238" s="3">
        <v>0</v>
      </c>
      <c r="X238" s="36">
        <f>Table1[[#This Row],[Reject Startup (kg)]]/Table1[[#This Row],[Material Used]]</f>
        <v>0</v>
      </c>
      <c r="Y238" s="3">
        <v>0</v>
      </c>
      <c r="Z238" s="36">
        <f>Table1[[#This Row],[Reject Prod (kg)]]/Table1[[#This Row],[Material Used]]</f>
        <v>0</v>
      </c>
      <c r="AA238" s="4">
        <v>31.3065891265869</v>
      </c>
      <c r="AB238" s="5">
        <v>12</v>
      </c>
      <c r="AC238" s="4" cm="1">
        <f t="array" ref="AC238">IFERROR(INDEX(ReferenceCard, MATCH(1, (INDEX(ReferenceCard,,1)=Table1[[#This Row],[SAP No]]) * (INDEX(ReferenceCard,,2)=Table1[[#This Row],[Mould No]]), 0), 9),)</f>
        <v>18.8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L238" s="2"/>
      <c r="AM238" s="2"/>
      <c r="AN238" s="3">
        <v>0</v>
      </c>
      <c r="AO238" s="3">
        <v>0</v>
      </c>
      <c r="AP23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39" spans="1:42" x14ac:dyDescent="0.35">
      <c r="A239" s="1">
        <v>46015</v>
      </c>
      <c r="B239">
        <v>2</v>
      </c>
      <c r="C239" t="s">
        <v>18</v>
      </c>
      <c r="D239" t="str" cm="1">
        <f t="array" ref="D239">IFERROR(INDEX(ReferenceCard, MATCH(1, (INDEX(ReferenceCard,,1)=Table1[[#This Row],[SAP No]]) * (INDEX(ReferenceCard,,2)=Table1[[#This Row],[Mould No]]), 0), 6),)</f>
        <v>PPSB520Y</v>
      </c>
      <c r="E239">
        <v>555979</v>
      </c>
      <c r="F239">
        <v>4</v>
      </c>
      <c r="G239" t="str" cm="1">
        <f t="array" ref="G239">IFERROR(INDEX(ReferenceCard, MATCH(1, (INDEX(ReferenceCard,,1)=Table1[[#This Row],[SAP No]]) * (INDEX(ReferenceCard,,2)=Table1[[#This Row],[Mould No]]), 0), 3),)</f>
        <v>BC28-0170-D-APH-5180-3539-PP-6 NOTCHES-MOLD4</v>
      </c>
      <c r="H239">
        <v>0</v>
      </c>
      <c r="I239" cm="1">
        <f t="array" ref="I239">IFERROR(INDEX(ReferenceCard, MATCH(1, (INDEX(ReferenceCard,,1)=Table1[[#This Row],[SAP No]]) * (INDEX(ReferenceCard,,2)=Table1[[#This Row],[Mould No]]), 0), 4),)</f>
        <v>6</v>
      </c>
      <c r="J239" s="4" cm="1">
        <f t="array" ref="J239">IFERROR(INDEX(ReferenceCard, MATCH(1, (INDEX(ReferenceCard,,1)=Table1[[#This Row],[SAP No]]) * (INDEX(ReferenceCard,,2)=Table1[[#This Row],[Mould No]]), 0), 9),)</f>
        <v>28</v>
      </c>
      <c r="K239" s="4" cm="1">
        <f t="array" ref="K239">IFERROR(INDEX(ReferenceCard, MATCH(1, (INDEX(ReferenceCard,,1)=Table1[[#This Row],[SAP No]]) * (INDEX(ReferenceCard,,2)=Table1[[#This Row],[Mould No]]), 0), 7),)</f>
        <v>28</v>
      </c>
      <c r="L239">
        <v>1004</v>
      </c>
      <c r="M239">
        <v>0</v>
      </c>
      <c r="N239">
        <v>0</v>
      </c>
      <c r="O239">
        <v>0</v>
      </c>
      <c r="P239">
        <f>Table1[[#This Row],[Shot]]*Table1[[#This Row],[Cav]]</f>
        <v>6024</v>
      </c>
      <c r="Q239">
        <v>0</v>
      </c>
      <c r="R239">
        <f>(Table1[[#This Row],[Part Weight (gm)]]*Table1[[#This Row],[Finish Good]])/1000</f>
        <v>0</v>
      </c>
      <c r="S239">
        <v>0</v>
      </c>
      <c r="T239">
        <f>IF(Table1[[#This Row],[Qty Order]]="Sample","-",IF(Table1[[#This Row],[Qty Order]]="RTFN","-",Table1[[#This Row],[Qty Order]]-Table1[[#This Row],[Qty Accumulate]]))</f>
        <v>0</v>
      </c>
      <c r="U239">
        <f>((Table1[[#This Row],[Shift Output]]*Table1[[#This Row],[Part Weight (gm)]])/1000)+Table1[[#This Row],[Reject Startup (kg)]]+Table1[[#This Row],[Reject Purging (kg)]]+Table1[[#This Row],[Reject Preform (kg)]]</f>
        <v>168.672</v>
      </c>
      <c r="V239" s="37">
        <f>(Table1[[#This Row],[Gross Weight (gm)]]-Table1[[#This Row],[Part Weight (gm)]])*Table1[[#This Row],[Shift Output]]/1000</f>
        <v>0</v>
      </c>
      <c r="W239" s="3">
        <v>0</v>
      </c>
      <c r="X239" s="36">
        <f>Table1[[#This Row],[Reject Startup (kg)]]/Table1[[#This Row],[Material Used]]</f>
        <v>0</v>
      </c>
      <c r="Y239" s="3">
        <v>0</v>
      </c>
      <c r="Z239" s="36">
        <f>Table1[[#This Row],[Reject Prod (kg)]]/Table1[[#This Row],[Material Used]]</f>
        <v>0</v>
      </c>
      <c r="AA239" s="4">
        <v>43.5</v>
      </c>
      <c r="AB239" s="5">
        <v>12</v>
      </c>
      <c r="AC239" s="4" cm="1">
        <f t="array" ref="AC239">IFERROR(INDEX(ReferenceCard, MATCH(1, (INDEX(ReferenceCard,,1)=Table1[[#This Row],[SAP No]]) * (INDEX(ReferenceCard,,2)=Table1[[#This Row],[Mould No]]), 0), 9),)</f>
        <v>28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L239" s="2"/>
      <c r="AM239" s="2"/>
      <c r="AN239" s="3">
        <v>0</v>
      </c>
      <c r="AO239" s="3">
        <v>0</v>
      </c>
      <c r="AP23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0" spans="1:42" x14ac:dyDescent="0.35">
      <c r="A240" s="1">
        <v>46015</v>
      </c>
      <c r="B240">
        <v>2</v>
      </c>
      <c r="C240" t="s">
        <v>33</v>
      </c>
      <c r="D240" t="str" cm="1">
        <f t="array" ref="D240">IFERROR(INDEX(ReferenceCard, MATCH(1, (INDEX(ReferenceCard,,1)=Table1[[#This Row],[SAP No]]) * (INDEX(ReferenceCard,,2)=Table1[[#This Row],[Mould No]]), 0), 6),)</f>
        <v>PET</v>
      </c>
      <c r="E240">
        <v>541381</v>
      </c>
      <c r="F240">
        <v>0</v>
      </c>
      <c r="G240" t="str" cm="1">
        <f t="array" ref="G240">IFERROR(INDEX(ReferenceCard, MATCH(1, (INDEX(ReferenceCard,,1)=Table1[[#This Row],[SAP No]]) * (INDEX(ReferenceCard,,2)=Table1[[#This Row],[Mould No]]), 0), 3),)</f>
        <v>BC28-1200-K-R-CL</v>
      </c>
      <c r="H240">
        <v>0</v>
      </c>
      <c r="I240" cm="1">
        <f t="array" ref="I240">IFERROR(INDEX(ReferenceCard, MATCH(1, (INDEX(ReferenceCard,,1)=Table1[[#This Row],[SAP No]]) * (INDEX(ReferenceCard,,2)=Table1[[#This Row],[Mould No]]), 0), 4),)</f>
        <v>4</v>
      </c>
      <c r="J240" s="4" cm="1">
        <f t="array" ref="J240">IFERROR(INDEX(ReferenceCard, MATCH(1, (INDEX(ReferenceCard,,1)=Table1[[#This Row],[SAP No]]) * (INDEX(ReferenceCard,,2)=Table1[[#This Row],[Mould No]]), 0), 9),)</f>
        <v>55</v>
      </c>
      <c r="K240" s="4" cm="1">
        <f t="array" ref="K240">IFERROR(INDEX(ReferenceCard, MATCH(1, (INDEX(ReferenceCard,,1)=Table1[[#This Row],[SAP No]]) * (INDEX(ReferenceCard,,2)=Table1[[#This Row],[Mould No]]), 0), 7),)</f>
        <v>55</v>
      </c>
      <c r="L240">
        <v>1253</v>
      </c>
      <c r="M240">
        <v>0</v>
      </c>
      <c r="N240">
        <v>0</v>
      </c>
      <c r="O240">
        <v>0</v>
      </c>
      <c r="P240">
        <f>Table1[[#This Row],[Shot]]*Table1[[#This Row],[Cav]]</f>
        <v>5012</v>
      </c>
      <c r="Q240">
        <v>0</v>
      </c>
      <c r="R240">
        <f>(Table1[[#This Row],[Part Weight (gm)]]*Table1[[#This Row],[Finish Good]])/1000</f>
        <v>0</v>
      </c>
      <c r="S240">
        <v>0</v>
      </c>
      <c r="T240">
        <f>IF(Table1[[#This Row],[Qty Order]]="Sample","-",IF(Table1[[#This Row],[Qty Order]]="RTFN","-",Table1[[#This Row],[Qty Order]]-Table1[[#This Row],[Qty Accumulate]]))</f>
        <v>0</v>
      </c>
      <c r="U240">
        <f>((Table1[[#This Row],[Shift Output]]*Table1[[#This Row],[Part Weight (gm)]])/1000)+Table1[[#This Row],[Reject Startup (kg)]]+Table1[[#This Row],[Reject Purging (kg)]]+Table1[[#This Row],[Reject Preform (kg)]]</f>
        <v>275.66000000000003</v>
      </c>
      <c r="V240" s="37">
        <f>(Table1[[#This Row],[Gross Weight (gm)]]-Table1[[#This Row],[Part Weight (gm)]])*Table1[[#This Row],[Shift Output]]/1000</f>
        <v>0</v>
      </c>
      <c r="W240" s="3">
        <v>0</v>
      </c>
      <c r="X240" s="36">
        <f>Table1[[#This Row],[Reject Startup (kg)]]/Table1[[#This Row],[Material Used]]</f>
        <v>0</v>
      </c>
      <c r="Y240" s="3">
        <v>0</v>
      </c>
      <c r="Z240" s="36">
        <f>Table1[[#This Row],[Reject Prod (kg)]]/Table1[[#This Row],[Material Used]]</f>
        <v>0</v>
      </c>
      <c r="AA240" s="4">
        <v>43.376678466796797</v>
      </c>
      <c r="AB240" s="5">
        <v>10.42</v>
      </c>
      <c r="AC240" s="4" cm="1">
        <f t="array" ref="AC240">IFERROR(INDEX(ReferenceCard, MATCH(1, (INDEX(ReferenceCard,,1)=Table1[[#This Row],[SAP No]]) * (INDEX(ReferenceCard,,2)=Table1[[#This Row],[Mould No]]), 0), 9),)</f>
        <v>55</v>
      </c>
      <c r="AD240" s="5">
        <v>0</v>
      </c>
      <c r="AE240" s="5">
        <v>0</v>
      </c>
      <c r="AF240" s="5">
        <v>0</v>
      </c>
      <c r="AG240" s="5">
        <v>0</v>
      </c>
      <c r="AH240" s="5">
        <v>1.58</v>
      </c>
      <c r="AI240" s="5">
        <v>0</v>
      </c>
      <c r="AJ240" s="5">
        <v>0</v>
      </c>
      <c r="AL240" s="2"/>
      <c r="AM240" s="2"/>
      <c r="AN240" s="3">
        <v>0</v>
      </c>
      <c r="AO240" s="3">
        <v>0</v>
      </c>
      <c r="AP24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1" spans="1:42" x14ac:dyDescent="0.35">
      <c r="A241" s="1">
        <v>46015</v>
      </c>
      <c r="B241">
        <v>2</v>
      </c>
      <c r="C241" t="s">
        <v>29</v>
      </c>
      <c r="D241" t="str" cm="1">
        <f t="array" ref="D241">IFERROR(INDEX(ReferenceCard, MATCH(1, (INDEX(ReferenceCard,,1)=Table1[[#This Row],[SAP No]]) * (INDEX(ReferenceCard,,2)=Table1[[#This Row],[Mould No]]), 0), 6),)</f>
        <v>PET</v>
      </c>
      <c r="E241">
        <v>620599</v>
      </c>
      <c r="F241">
        <v>0</v>
      </c>
      <c r="G241" t="str" cm="1">
        <f t="array" ref="G241">IFERROR(INDEX(ReferenceCard, MATCH(1, (INDEX(ReferenceCard,,1)=Table1[[#This Row],[SAP No]]) * (INDEX(ReferenceCard,,2)=Table1[[#This Row],[Mould No]]), 0), 3),)</f>
        <v>BC28-0750-K4-R-CL (55g)</v>
      </c>
      <c r="H241">
        <v>0</v>
      </c>
      <c r="I241" cm="1">
        <f t="array" ref="I241">IFERROR(INDEX(ReferenceCard, MATCH(1, (INDEX(ReferenceCard,,1)=Table1[[#This Row],[SAP No]]) * (INDEX(ReferenceCard,,2)=Table1[[#This Row],[Mould No]]), 0), 4),)</f>
        <v>4</v>
      </c>
      <c r="J241" s="4" cm="1">
        <f t="array" ref="J241">IFERROR(INDEX(ReferenceCard, MATCH(1, (INDEX(ReferenceCard,,1)=Table1[[#This Row],[SAP No]]) * (INDEX(ReferenceCard,,2)=Table1[[#This Row],[Mould No]]), 0), 9),)</f>
        <v>55</v>
      </c>
      <c r="K241" s="4" cm="1">
        <f t="array" ref="K241">IFERROR(INDEX(ReferenceCard, MATCH(1, (INDEX(ReferenceCard,,1)=Table1[[#This Row],[SAP No]]) * (INDEX(ReferenceCard,,2)=Table1[[#This Row],[Mould No]]), 0), 7),)</f>
        <v>55</v>
      </c>
      <c r="L241">
        <v>1547</v>
      </c>
      <c r="M241">
        <v>0</v>
      </c>
      <c r="N241">
        <v>0</v>
      </c>
      <c r="O241">
        <v>0</v>
      </c>
      <c r="P241">
        <f>Table1[[#This Row],[Shot]]*Table1[[#This Row],[Cav]]</f>
        <v>6188</v>
      </c>
      <c r="Q241">
        <v>0</v>
      </c>
      <c r="R241">
        <f>(Table1[[#This Row],[Part Weight (gm)]]*Table1[[#This Row],[Finish Good]])/1000</f>
        <v>0</v>
      </c>
      <c r="S241">
        <v>0</v>
      </c>
      <c r="T241">
        <f>IF(Table1[[#This Row],[Qty Order]]="Sample","-",IF(Table1[[#This Row],[Qty Order]]="RTFN","-",Table1[[#This Row],[Qty Order]]-Table1[[#This Row],[Qty Accumulate]]))</f>
        <v>0</v>
      </c>
      <c r="U241">
        <f>((Table1[[#This Row],[Shift Output]]*Table1[[#This Row],[Part Weight (gm)]])/1000)+Table1[[#This Row],[Reject Startup (kg)]]+Table1[[#This Row],[Reject Purging (kg)]]+Table1[[#This Row],[Reject Preform (kg)]]</f>
        <v>340.34</v>
      </c>
      <c r="V241" s="37">
        <f>(Table1[[#This Row],[Gross Weight (gm)]]-Table1[[#This Row],[Part Weight (gm)]])*Table1[[#This Row],[Shift Output]]/1000</f>
        <v>0</v>
      </c>
      <c r="W241" s="3">
        <v>0</v>
      </c>
      <c r="X241" s="36">
        <f>Table1[[#This Row],[Reject Startup (kg)]]/Table1[[#This Row],[Material Used]]</f>
        <v>0</v>
      </c>
      <c r="Y241" s="3">
        <v>0</v>
      </c>
      <c r="Z241" s="36">
        <f>Table1[[#This Row],[Reject Prod (kg)]]/Table1[[#This Row],[Material Used]]</f>
        <v>0</v>
      </c>
      <c r="AA241" s="4">
        <v>27.9043655395507</v>
      </c>
      <c r="AB241" s="5">
        <v>12</v>
      </c>
      <c r="AC241" s="4" cm="1">
        <f t="array" ref="AC241">IFERROR(INDEX(ReferenceCard, MATCH(1, (INDEX(ReferenceCard,,1)=Table1[[#This Row],[SAP No]]) * (INDEX(ReferenceCard,,2)=Table1[[#This Row],[Mould No]]), 0), 9),)</f>
        <v>55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L241" s="2"/>
      <c r="AM241" s="2"/>
      <c r="AN241" s="3">
        <v>0</v>
      </c>
      <c r="AO241" s="3">
        <v>0</v>
      </c>
      <c r="AP24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2" spans="1:42" x14ac:dyDescent="0.35">
      <c r="A242" s="1">
        <v>46015</v>
      </c>
      <c r="B242">
        <v>2</v>
      </c>
      <c r="C242" t="s">
        <v>9</v>
      </c>
      <c r="D242" t="str" cm="1">
        <f t="array" ref="D242">IFERROR(INDEX(ReferenceCard, MATCH(1, (INDEX(ReferenceCard,,1)=Table1[[#This Row],[SAP No]]) * (INDEX(ReferenceCard,,2)=Table1[[#This Row],[Mould No]]), 0), 6),)</f>
        <v>PET</v>
      </c>
      <c r="E242">
        <v>322451</v>
      </c>
      <c r="F242">
        <v>0</v>
      </c>
      <c r="G242" t="str" cm="1">
        <f t="array" ref="G242">IFERROR(INDEX(ReferenceCard, MATCH(1, (INDEX(ReferenceCard,,1)=Table1[[#This Row],[SAP No]]) * (INDEX(ReferenceCard,,2)=Table1[[#This Row],[Mould No]]), 0), 3),)</f>
        <v>BC28-0500-WNHP-R-BR</v>
      </c>
      <c r="H242">
        <v>0</v>
      </c>
      <c r="I242" cm="1">
        <f t="array" ref="I242">IFERROR(INDEX(ReferenceCard, MATCH(1, (INDEX(ReferenceCard,,1)=Table1[[#This Row],[SAP No]]) * (INDEX(ReferenceCard,,2)=Table1[[#This Row],[Mould No]]), 0), 4),)</f>
        <v>4</v>
      </c>
      <c r="J242" s="4" cm="1">
        <f t="array" ref="J242">IFERROR(INDEX(ReferenceCard, MATCH(1, (INDEX(ReferenceCard,,1)=Table1[[#This Row],[SAP No]]) * (INDEX(ReferenceCard,,2)=Table1[[#This Row],[Mould No]]), 0), 9),)</f>
        <v>45.6</v>
      </c>
      <c r="K242" s="4" cm="1">
        <f t="array" ref="K242">IFERROR(INDEX(ReferenceCard, MATCH(1, (INDEX(ReferenceCard,,1)=Table1[[#This Row],[SAP No]]) * (INDEX(ReferenceCard,,2)=Table1[[#This Row],[Mould No]]), 0), 7),)</f>
        <v>45.6</v>
      </c>
      <c r="L242">
        <v>1345</v>
      </c>
      <c r="M242">
        <v>0</v>
      </c>
      <c r="N242">
        <v>0</v>
      </c>
      <c r="O242">
        <v>0</v>
      </c>
      <c r="P242">
        <f>Table1[[#This Row],[Shot]]*Table1[[#This Row],[Cav]]</f>
        <v>5380</v>
      </c>
      <c r="Q242">
        <v>0</v>
      </c>
      <c r="R242">
        <f>(Table1[[#This Row],[Part Weight (gm)]]*Table1[[#This Row],[Finish Good]])/1000</f>
        <v>0</v>
      </c>
      <c r="S242">
        <v>0</v>
      </c>
      <c r="T242">
        <f>IF(Table1[[#This Row],[Qty Order]]="Sample","-",IF(Table1[[#This Row],[Qty Order]]="RTFN","-",Table1[[#This Row],[Qty Order]]-Table1[[#This Row],[Qty Accumulate]]))</f>
        <v>0</v>
      </c>
      <c r="U242">
        <f>((Table1[[#This Row],[Shift Output]]*Table1[[#This Row],[Part Weight (gm)]])/1000)+Table1[[#This Row],[Reject Startup (kg)]]+Table1[[#This Row],[Reject Purging (kg)]]+Table1[[#This Row],[Reject Preform (kg)]]</f>
        <v>245.328</v>
      </c>
      <c r="V242" s="37">
        <f>(Table1[[#This Row],[Gross Weight (gm)]]-Table1[[#This Row],[Part Weight (gm)]])*Table1[[#This Row],[Shift Output]]/1000</f>
        <v>0</v>
      </c>
      <c r="W242" s="3">
        <v>0</v>
      </c>
      <c r="X242" s="36">
        <f>Table1[[#This Row],[Reject Startup (kg)]]/Table1[[#This Row],[Material Used]]</f>
        <v>0</v>
      </c>
      <c r="Y242" s="3">
        <v>0</v>
      </c>
      <c r="Z242" s="36">
        <f>Table1[[#This Row],[Reject Prod (kg)]]/Table1[[#This Row],[Material Used]]</f>
        <v>0</v>
      </c>
      <c r="AA242" s="4">
        <v>32.099388122558501</v>
      </c>
      <c r="AB242" s="5">
        <v>12</v>
      </c>
      <c r="AC242" s="4" cm="1">
        <f t="array" ref="AC242">IFERROR(INDEX(ReferenceCard, MATCH(1, (INDEX(ReferenceCard,,1)=Table1[[#This Row],[SAP No]]) * (INDEX(ReferenceCard,,2)=Table1[[#This Row],[Mould No]]), 0), 9),)</f>
        <v>45.6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L242" s="2"/>
      <c r="AM242" s="2"/>
      <c r="AN242" s="3">
        <v>0</v>
      </c>
      <c r="AO242" s="3">
        <v>0</v>
      </c>
      <c r="AP24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3" spans="1:42" x14ac:dyDescent="0.35">
      <c r="A243" s="1">
        <v>46015</v>
      </c>
      <c r="B243">
        <v>2</v>
      </c>
      <c r="C243" t="s">
        <v>23</v>
      </c>
      <c r="D243" t="str" cm="1">
        <f t="array" ref="D243">IFERROR(INDEX(ReferenceCard, MATCH(1, (INDEX(ReferenceCard,,1)=Table1[[#This Row],[SAP No]]) * (INDEX(ReferenceCard,,2)=Table1[[#This Row],[Mould No]]), 0), 6),)</f>
        <v>PPSB520Y</v>
      </c>
      <c r="E243">
        <v>586276</v>
      </c>
      <c r="F243">
        <v>2</v>
      </c>
      <c r="G243" t="str" cm="1">
        <f t="array" ref="G243">IFERROR(INDEX(ReferenceCard, MATCH(1, (INDEX(ReferenceCard,,1)=Table1[[#This Row],[SAP No]]) * (INDEX(ReferenceCard,,2)=Table1[[#This Row],[Mould No]]), 0), 3),)</f>
        <v>BC28-0056-D-APH-LEB-604001-MOLD2</v>
      </c>
      <c r="H243">
        <v>0</v>
      </c>
      <c r="I243" cm="1">
        <f t="array" ref="I243">IFERROR(INDEX(ReferenceCard, MATCH(1, (INDEX(ReferenceCard,,1)=Table1[[#This Row],[SAP No]]) * (INDEX(ReferenceCard,,2)=Table1[[#This Row],[Mould No]]), 0), 4),)</f>
        <v>6</v>
      </c>
      <c r="J243" s="4" cm="1">
        <f t="array" ref="J243">IFERROR(INDEX(ReferenceCard, MATCH(1, (INDEX(ReferenceCard,,1)=Table1[[#This Row],[SAP No]]) * (INDEX(ReferenceCard,,2)=Table1[[#This Row],[Mould No]]), 0), 9),)</f>
        <v>12.3</v>
      </c>
      <c r="K243" s="4" cm="1">
        <f t="array" ref="K243">IFERROR(INDEX(ReferenceCard, MATCH(1, (INDEX(ReferenceCard,,1)=Table1[[#This Row],[SAP No]]) * (INDEX(ReferenceCard,,2)=Table1[[#This Row],[Mould No]]), 0), 7),)</f>
        <v>12.3</v>
      </c>
      <c r="L243">
        <v>1677</v>
      </c>
      <c r="M243">
        <v>0</v>
      </c>
      <c r="N243">
        <v>0</v>
      </c>
      <c r="O243">
        <v>0</v>
      </c>
      <c r="P243">
        <f>Table1[[#This Row],[Shot]]*Table1[[#This Row],[Cav]]</f>
        <v>10062</v>
      </c>
      <c r="Q243">
        <v>0</v>
      </c>
      <c r="R243">
        <f>(Table1[[#This Row],[Part Weight (gm)]]*Table1[[#This Row],[Finish Good]])/1000</f>
        <v>0</v>
      </c>
      <c r="S243">
        <v>0</v>
      </c>
      <c r="T243">
        <f>IF(Table1[[#This Row],[Qty Order]]="Sample","-",IF(Table1[[#This Row],[Qty Order]]="RTFN","-",Table1[[#This Row],[Qty Order]]-Table1[[#This Row],[Qty Accumulate]]))</f>
        <v>0</v>
      </c>
      <c r="U243">
        <f>((Table1[[#This Row],[Shift Output]]*Table1[[#This Row],[Part Weight (gm)]])/1000)+Table1[[#This Row],[Reject Startup (kg)]]+Table1[[#This Row],[Reject Purging (kg)]]+Table1[[#This Row],[Reject Preform (kg)]]</f>
        <v>123.76260000000001</v>
      </c>
      <c r="V243" s="37">
        <f>(Table1[[#This Row],[Gross Weight (gm)]]-Table1[[#This Row],[Part Weight (gm)]])*Table1[[#This Row],[Shift Output]]/1000</f>
        <v>0</v>
      </c>
      <c r="W243" s="3">
        <v>0</v>
      </c>
      <c r="X243" s="36">
        <f>Table1[[#This Row],[Reject Startup (kg)]]/Table1[[#This Row],[Material Used]]</f>
        <v>0</v>
      </c>
      <c r="Y243" s="3">
        <v>0</v>
      </c>
      <c r="Z243" s="36">
        <f>Table1[[#This Row],[Reject Prod (kg)]]/Table1[[#This Row],[Material Used]]</f>
        <v>0</v>
      </c>
      <c r="AA243" s="4">
        <v>25.742189407348601</v>
      </c>
      <c r="AB243" s="5">
        <v>12</v>
      </c>
      <c r="AC243" s="4" cm="1">
        <f t="array" ref="AC243">IFERROR(INDEX(ReferenceCard, MATCH(1, (INDEX(ReferenceCard,,1)=Table1[[#This Row],[SAP No]]) * (INDEX(ReferenceCard,,2)=Table1[[#This Row],[Mould No]]), 0), 9),)</f>
        <v>12.3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L243" s="2"/>
      <c r="AM243" s="2"/>
      <c r="AN243" s="3">
        <v>0</v>
      </c>
      <c r="AO243" s="3">
        <v>0</v>
      </c>
      <c r="AP24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4" spans="1:42" x14ac:dyDescent="0.35">
      <c r="A244" s="1">
        <v>46015</v>
      </c>
      <c r="B244">
        <v>2</v>
      </c>
      <c r="C244" t="s">
        <v>3</v>
      </c>
      <c r="D244" t="str" cm="1">
        <f t="array" ref="D244">IFERROR(INDEX(ReferenceCard, MATCH(1, (INDEX(ReferenceCard,,1)=Table1[[#This Row],[SAP No]]) * (INDEX(ReferenceCard,,2)=Table1[[#This Row],[Mould No]]), 0), 6),)</f>
        <v>PET</v>
      </c>
      <c r="E244">
        <v>423215</v>
      </c>
      <c r="F244">
        <v>0</v>
      </c>
      <c r="G244" t="str" cm="1">
        <f t="array" ref="G244">IFERROR(INDEX(ReferenceCard, MATCH(1, (INDEX(ReferenceCard,,1)=Table1[[#This Row],[SAP No]]) * (INDEX(ReferenceCard,,2)=Table1[[#This Row],[Mould No]]), 0), 3),)</f>
        <v>BC28-0355-SCC-A-Q-CL</v>
      </c>
      <c r="H244">
        <v>0</v>
      </c>
      <c r="I244" cm="1">
        <f t="array" ref="I244">IFERROR(INDEX(ReferenceCard, MATCH(1, (INDEX(ReferenceCard,,1)=Table1[[#This Row],[SAP No]]) * (INDEX(ReferenceCard,,2)=Table1[[#This Row],[Mould No]]), 0), 4),)</f>
        <v>4</v>
      </c>
      <c r="J244" s="4" cm="1">
        <f t="array" ref="J244">IFERROR(INDEX(ReferenceCard, MATCH(1, (INDEX(ReferenceCard,,1)=Table1[[#This Row],[SAP No]]) * (INDEX(ReferenceCard,,2)=Table1[[#This Row],[Mould No]]), 0), 9),)</f>
        <v>24</v>
      </c>
      <c r="K244" s="4" cm="1">
        <f t="array" ref="K244">IFERROR(INDEX(ReferenceCard, MATCH(1, (INDEX(ReferenceCard,,1)=Table1[[#This Row],[SAP No]]) * (INDEX(ReferenceCard,,2)=Table1[[#This Row],[Mould No]]), 0), 7),)</f>
        <v>24</v>
      </c>
      <c r="L244">
        <v>729</v>
      </c>
      <c r="M244">
        <v>0</v>
      </c>
      <c r="N244">
        <v>0</v>
      </c>
      <c r="O244">
        <v>0</v>
      </c>
      <c r="P244">
        <f>Table1[[#This Row],[Shot]]*Table1[[#This Row],[Cav]]</f>
        <v>2916</v>
      </c>
      <c r="Q244">
        <v>0</v>
      </c>
      <c r="R244">
        <f>(Table1[[#This Row],[Part Weight (gm)]]*Table1[[#This Row],[Finish Good]])/1000</f>
        <v>0</v>
      </c>
      <c r="S244">
        <v>0</v>
      </c>
      <c r="T244">
        <f>IF(Table1[[#This Row],[Qty Order]]="Sample","-",IF(Table1[[#This Row],[Qty Order]]="RTFN","-",Table1[[#This Row],[Qty Order]]-Table1[[#This Row],[Qty Accumulate]]))</f>
        <v>0</v>
      </c>
      <c r="U244">
        <f>((Table1[[#This Row],[Shift Output]]*Table1[[#This Row],[Part Weight (gm)]])/1000)+Table1[[#This Row],[Reject Startup (kg)]]+Table1[[#This Row],[Reject Purging (kg)]]+Table1[[#This Row],[Reject Preform (kg)]]</f>
        <v>69.983999999999995</v>
      </c>
      <c r="V244" s="37">
        <f>(Table1[[#This Row],[Gross Weight (gm)]]-Table1[[#This Row],[Part Weight (gm)]])*Table1[[#This Row],[Shift Output]]/1000</f>
        <v>0</v>
      </c>
      <c r="W244" s="3">
        <v>0</v>
      </c>
      <c r="X244" s="36">
        <f>Table1[[#This Row],[Reject Startup (kg)]]/Table1[[#This Row],[Material Used]]</f>
        <v>0</v>
      </c>
      <c r="Y244" s="3">
        <v>0</v>
      </c>
      <c r="Z244" s="36">
        <f>Table1[[#This Row],[Reject Prod (kg)]]/Table1[[#This Row],[Material Used]]</f>
        <v>0</v>
      </c>
      <c r="AA244" s="4">
        <v>27.887626647949201</v>
      </c>
      <c r="AB244" s="5">
        <v>6.57</v>
      </c>
      <c r="AC244" s="4" cm="1">
        <f t="array" ref="AC244">IFERROR(INDEX(ReferenceCard, MATCH(1, (INDEX(ReferenceCard,,1)=Table1[[#This Row],[SAP No]]) * (INDEX(ReferenceCard,,2)=Table1[[#This Row],[Mould No]]), 0), 9),)</f>
        <v>24</v>
      </c>
      <c r="AD244" s="5">
        <v>0</v>
      </c>
      <c r="AE244" s="5">
        <v>5.4299999999999899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t="s">
        <v>62</v>
      </c>
      <c r="AL244" s="2" t="s">
        <v>63</v>
      </c>
      <c r="AM244" s="2"/>
      <c r="AN244" s="3"/>
      <c r="AO244" s="3">
        <v>0</v>
      </c>
      <c r="AP24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5" spans="1:42" x14ac:dyDescent="0.35">
      <c r="A245" s="1">
        <v>46015</v>
      </c>
      <c r="B245">
        <v>2</v>
      </c>
      <c r="C245" t="s">
        <v>14</v>
      </c>
      <c r="D245" t="str" cm="1">
        <f t="array" ref="D245">IFERROR(INDEX(ReferenceCard, MATCH(1, (INDEX(ReferenceCard,,1)=Table1[[#This Row],[SAP No]]) * (INDEX(ReferenceCard,,2)=Table1[[#This Row],[Mould No]]), 0), 6),)</f>
        <v>PET</v>
      </c>
      <c r="E245">
        <v>322444</v>
      </c>
      <c r="F245">
        <v>0</v>
      </c>
      <c r="G245" t="str" cm="1">
        <f t="array" ref="G245">IFERROR(INDEX(ReferenceCard, MATCH(1, (INDEX(ReferenceCard,,1)=Table1[[#This Row],[SAP No]]) * (INDEX(ReferenceCard,,2)=Table1[[#This Row],[Mould No]]), 0), 3),)</f>
        <v>JJ63-0400-RH-R-CL</v>
      </c>
      <c r="H245">
        <v>0</v>
      </c>
      <c r="I245" cm="1">
        <f t="array" ref="I245">IFERROR(INDEX(ReferenceCard, MATCH(1, (INDEX(ReferenceCard,,1)=Table1[[#This Row],[SAP No]]) * (INDEX(ReferenceCard,,2)=Table1[[#This Row],[Mould No]]), 0), 4),)</f>
        <v>4</v>
      </c>
      <c r="J245" s="4" cm="1">
        <f t="array" ref="J245">IFERROR(INDEX(ReferenceCard, MATCH(1, (INDEX(ReferenceCard,,1)=Table1[[#This Row],[SAP No]]) * (INDEX(ReferenceCard,,2)=Table1[[#This Row],[Mould No]]), 0), 9),)</f>
        <v>32.74</v>
      </c>
      <c r="K245" s="4" cm="1">
        <f t="array" ref="K245">IFERROR(INDEX(ReferenceCard, MATCH(1, (INDEX(ReferenceCard,,1)=Table1[[#This Row],[SAP No]]) * (INDEX(ReferenceCard,,2)=Table1[[#This Row],[Mould No]]), 0), 7),)</f>
        <v>34.5</v>
      </c>
      <c r="L245">
        <v>4041</v>
      </c>
      <c r="M245">
        <v>0</v>
      </c>
      <c r="N245">
        <v>0</v>
      </c>
      <c r="O245">
        <v>0</v>
      </c>
      <c r="P245">
        <f>Table1[[#This Row],[Shot]]*Table1[[#This Row],[Cav]]</f>
        <v>16164</v>
      </c>
      <c r="Q245">
        <v>0</v>
      </c>
      <c r="R245">
        <f>(Table1[[#This Row],[Part Weight (gm)]]*Table1[[#This Row],[Finish Good]])/1000</f>
        <v>0</v>
      </c>
      <c r="S245">
        <v>0</v>
      </c>
      <c r="T245">
        <f>IF(Table1[[#This Row],[Qty Order]]="Sample","-",IF(Table1[[#This Row],[Qty Order]]="RTFN","-",Table1[[#This Row],[Qty Order]]-Table1[[#This Row],[Qty Accumulate]]))</f>
        <v>0</v>
      </c>
      <c r="U245">
        <f>((Table1[[#This Row],[Shift Output]]*Table1[[#This Row],[Part Weight (gm)]])/1000)+Table1[[#This Row],[Reject Startup (kg)]]+Table1[[#This Row],[Reject Purging (kg)]]+Table1[[#This Row],[Reject Preform (kg)]]</f>
        <v>557.65800000000002</v>
      </c>
      <c r="V245" s="37">
        <f>(Table1[[#This Row],[Gross Weight (gm)]]-Table1[[#This Row],[Part Weight (gm)]])*Table1[[#This Row],[Shift Output]]/1000</f>
        <v>-28.448639999999966</v>
      </c>
      <c r="W245" s="3">
        <v>0</v>
      </c>
      <c r="X245" s="36">
        <f>Table1[[#This Row],[Reject Startup (kg)]]/Table1[[#This Row],[Material Used]]</f>
        <v>0</v>
      </c>
      <c r="Y245" s="3">
        <v>0</v>
      </c>
      <c r="Z245" s="36">
        <f>Table1[[#This Row],[Reject Prod (kg)]]/Table1[[#This Row],[Material Used]]</f>
        <v>0</v>
      </c>
      <c r="AA245" s="4">
        <v>22.130681991577099</v>
      </c>
      <c r="AB245" s="5">
        <v>8.0099999999999891</v>
      </c>
      <c r="AC245" s="4" cm="1">
        <f t="array" ref="AC245">IFERROR(INDEX(ReferenceCard, MATCH(1, (INDEX(ReferenceCard,,1)=Table1[[#This Row],[SAP No]]) * (INDEX(ReferenceCard,,2)=Table1[[#This Row],[Mould No]]), 0), 9),)</f>
        <v>32.74</v>
      </c>
      <c r="AD245" s="5">
        <v>0</v>
      </c>
      <c r="AE245" s="5">
        <v>0</v>
      </c>
      <c r="AF245" s="5">
        <v>0</v>
      </c>
      <c r="AG245" s="5">
        <v>0.91</v>
      </c>
      <c r="AH245" s="5">
        <v>3.08</v>
      </c>
      <c r="AI245" s="5">
        <v>0</v>
      </c>
      <c r="AJ245" s="5">
        <v>0</v>
      </c>
      <c r="AL245" s="2"/>
      <c r="AM245" s="2"/>
      <c r="AN245" s="3">
        <v>0</v>
      </c>
      <c r="AO245" s="3">
        <v>0</v>
      </c>
      <c r="AP24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6" spans="1:42" x14ac:dyDescent="0.35">
      <c r="A246" s="1">
        <v>46015</v>
      </c>
      <c r="B246">
        <v>2</v>
      </c>
      <c r="C246" t="s">
        <v>25</v>
      </c>
      <c r="D246" t="str" cm="1">
        <f t="array" ref="D246">IFERROR(INDEX(ReferenceCard, MATCH(1, (INDEX(ReferenceCard,,1)=Table1[[#This Row],[SAP No]]) * (INDEX(ReferenceCard,,2)=Table1[[#This Row],[Mould No]]), 0), 6),)</f>
        <v>PET</v>
      </c>
      <c r="E246">
        <v>323133</v>
      </c>
      <c r="F246">
        <v>0</v>
      </c>
      <c r="G246" t="str" cm="1">
        <f t="array" ref="G246">IFERROR(INDEX(ReferenceCard, MATCH(1, (INDEX(ReferenceCard,,1)=Table1[[#This Row],[SAP No]]) * (INDEX(ReferenceCard,,2)=Table1[[#This Row],[Mould No]]), 0), 3),)</f>
        <v>BX38-2000-RH-R-CL(GREEN) (ASEM)</v>
      </c>
      <c r="H246">
        <v>0</v>
      </c>
      <c r="I246" cm="1">
        <f t="array" ref="I246">IFERROR(INDEX(ReferenceCard, MATCH(1, (INDEX(ReferenceCard,,1)=Table1[[#This Row],[SAP No]]) * (INDEX(ReferenceCard,,2)=Table1[[#This Row],[Mould No]]), 0), 4),)</f>
        <v>4</v>
      </c>
      <c r="J246" s="4" cm="1">
        <f t="array" ref="J246">IFERROR(INDEX(ReferenceCard, MATCH(1, (INDEX(ReferenceCard,,1)=Table1[[#This Row],[SAP No]]) * (INDEX(ReferenceCard,,2)=Table1[[#This Row],[Mould No]]), 0), 9),)</f>
        <v>77</v>
      </c>
      <c r="K246" s="4" cm="1">
        <f t="array" ref="K246">IFERROR(INDEX(ReferenceCard, MATCH(1, (INDEX(ReferenceCard,,1)=Table1[[#This Row],[SAP No]]) * (INDEX(ReferenceCard,,2)=Table1[[#This Row],[Mould No]]), 0), 7),)</f>
        <v>77</v>
      </c>
      <c r="L246">
        <v>0</v>
      </c>
      <c r="M246">
        <v>0</v>
      </c>
      <c r="N246">
        <v>0</v>
      </c>
      <c r="O246">
        <v>0</v>
      </c>
      <c r="P246">
        <f>Table1[[#This Row],[Shot]]*Table1[[#This Row],[Cav]]</f>
        <v>0</v>
      </c>
      <c r="Q246">
        <v>0</v>
      </c>
      <c r="R246">
        <f>(Table1[[#This Row],[Part Weight (gm)]]*Table1[[#This Row],[Finish Good]])/1000</f>
        <v>0</v>
      </c>
      <c r="S246">
        <v>0</v>
      </c>
      <c r="T246">
        <f>IF(Table1[[#This Row],[Qty Order]]="Sample","-",IF(Table1[[#This Row],[Qty Order]]="RTFN","-",Table1[[#This Row],[Qty Order]]-Table1[[#This Row],[Qty Accumulate]]))</f>
        <v>0</v>
      </c>
      <c r="U246">
        <f>((Table1[[#This Row],[Shift Output]]*Table1[[#This Row],[Part Weight (gm)]])/1000)+Table1[[#This Row],[Reject Startup (kg)]]+Table1[[#This Row],[Reject Purging (kg)]]+Table1[[#This Row],[Reject Preform (kg)]]</f>
        <v>0</v>
      </c>
      <c r="V246" s="37">
        <f>(Table1[[#This Row],[Gross Weight (gm)]]-Table1[[#This Row],[Part Weight (gm)]])*Table1[[#This Row],[Shift Output]]/1000</f>
        <v>0</v>
      </c>
      <c r="W246" s="3">
        <v>0</v>
      </c>
      <c r="X246" s="36" t="e">
        <f>Table1[[#This Row],[Reject Startup (kg)]]/Table1[[#This Row],[Material Used]]</f>
        <v>#DIV/0!</v>
      </c>
      <c r="Y246" s="3">
        <v>0</v>
      </c>
      <c r="Z246" s="36" t="e">
        <f>Table1[[#This Row],[Reject Prod (kg)]]/Table1[[#This Row],[Material Used]]</f>
        <v>#DIV/0!</v>
      </c>
      <c r="AA246" s="4">
        <v>0</v>
      </c>
      <c r="AB246" s="5">
        <v>0</v>
      </c>
      <c r="AC246" s="4" cm="1">
        <f t="array" ref="AC246">IFERROR(INDEX(ReferenceCard, MATCH(1, (INDEX(ReferenceCard,,1)=Table1[[#This Row],[SAP No]]) * (INDEX(ReferenceCard,,2)=Table1[[#This Row],[Mould No]]), 0), 9),)</f>
        <v>77</v>
      </c>
      <c r="AD246" s="5">
        <v>0</v>
      </c>
      <c r="AE246" s="5">
        <v>0</v>
      </c>
      <c r="AF246" s="5">
        <v>0</v>
      </c>
      <c r="AG246" s="5">
        <v>12</v>
      </c>
      <c r="AH246" s="5">
        <v>0</v>
      </c>
      <c r="AI246" s="5">
        <v>0</v>
      </c>
      <c r="AJ246" s="5">
        <v>0</v>
      </c>
      <c r="AK246" t="s">
        <v>48</v>
      </c>
      <c r="AL246" s="2"/>
      <c r="AM246" s="2"/>
      <c r="AN246" s="3">
        <v>0</v>
      </c>
      <c r="AO246" s="3">
        <v>0</v>
      </c>
      <c r="AP24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7" spans="1:42" x14ac:dyDescent="0.35">
      <c r="A247" s="1">
        <v>46015</v>
      </c>
      <c r="B247">
        <v>2</v>
      </c>
      <c r="C247" t="s">
        <v>27</v>
      </c>
      <c r="D247" t="str" cm="1">
        <f t="array" ref="D247">IFERROR(INDEX(ReferenceCard, MATCH(1, (INDEX(ReferenceCard,,1)=Table1[[#This Row],[SAP No]]) * (INDEX(ReferenceCard,,2)=Table1[[#This Row],[Mould No]]), 0), 6),)</f>
        <v>PPSB520Y</v>
      </c>
      <c r="E247">
        <v>552181</v>
      </c>
      <c r="F247">
        <v>4</v>
      </c>
      <c r="G247" t="str" cm="1">
        <f t="array" ref="G247">IFERROR(INDEX(ReferenceCard, MATCH(1, (INDEX(ReferenceCard,,1)=Table1[[#This Row],[SAP No]]) * (INDEX(ReferenceCard,,2)=Table1[[#This Row],[Mould No]]), 0), 3),)</f>
        <v>BC28-0090-D-APH-5180-3538-PP-6 NOTCHES-MOLD4</v>
      </c>
      <c r="H247">
        <v>0</v>
      </c>
      <c r="I247" cm="1">
        <f t="array" ref="I247">IFERROR(INDEX(ReferenceCard, MATCH(1, (INDEX(ReferenceCard,,1)=Table1[[#This Row],[SAP No]]) * (INDEX(ReferenceCard,,2)=Table1[[#This Row],[Mould No]]), 0), 4),)</f>
        <v>6</v>
      </c>
      <c r="J247" s="4" cm="1">
        <f t="array" ref="J247">IFERROR(INDEX(ReferenceCard, MATCH(1, (INDEX(ReferenceCard,,1)=Table1[[#This Row],[SAP No]]) * (INDEX(ReferenceCard,,2)=Table1[[#This Row],[Mould No]]), 0), 9),)</f>
        <v>18.8</v>
      </c>
      <c r="K247" s="4" cm="1">
        <f t="array" ref="K247">IFERROR(INDEX(ReferenceCard, MATCH(1, (INDEX(ReferenceCard,,1)=Table1[[#This Row],[SAP No]]) * (INDEX(ReferenceCard,,2)=Table1[[#This Row],[Mould No]]), 0), 7),)</f>
        <v>18.8</v>
      </c>
      <c r="L247">
        <v>502</v>
      </c>
      <c r="M247">
        <v>0</v>
      </c>
      <c r="N247">
        <v>0</v>
      </c>
      <c r="O247">
        <v>0</v>
      </c>
      <c r="P247">
        <f>Table1[[#This Row],[Shot]]*Table1[[#This Row],[Cav]]</f>
        <v>3012</v>
      </c>
      <c r="Q247">
        <v>0</v>
      </c>
      <c r="R247">
        <f>(Table1[[#This Row],[Part Weight (gm)]]*Table1[[#This Row],[Finish Good]])/1000</f>
        <v>0</v>
      </c>
      <c r="S247">
        <v>0</v>
      </c>
      <c r="T247">
        <f>IF(Table1[[#This Row],[Qty Order]]="Sample","-",IF(Table1[[#This Row],[Qty Order]]="RTFN","-",Table1[[#This Row],[Qty Order]]-Table1[[#This Row],[Qty Accumulate]]))</f>
        <v>0</v>
      </c>
      <c r="U247">
        <f>((Table1[[#This Row],[Shift Output]]*Table1[[#This Row],[Part Weight (gm)]])/1000)+Table1[[#This Row],[Reject Startup (kg)]]+Table1[[#This Row],[Reject Purging (kg)]]+Table1[[#This Row],[Reject Preform (kg)]]</f>
        <v>56.625599999999999</v>
      </c>
      <c r="V247" s="37">
        <f>(Table1[[#This Row],[Gross Weight (gm)]]-Table1[[#This Row],[Part Weight (gm)]])*Table1[[#This Row],[Shift Output]]/1000</f>
        <v>0</v>
      </c>
      <c r="W247" s="3">
        <v>0</v>
      </c>
      <c r="X247" s="36">
        <f>Table1[[#This Row],[Reject Startup (kg)]]/Table1[[#This Row],[Material Used]]</f>
        <v>0</v>
      </c>
      <c r="Y247" s="3">
        <v>0</v>
      </c>
      <c r="Z247" s="36">
        <f>Table1[[#This Row],[Reject Prod (kg)]]/Table1[[#This Row],[Material Used]]</f>
        <v>0</v>
      </c>
      <c r="AA247" s="4">
        <v>27.901330947875898</v>
      </c>
      <c r="AB247" s="5">
        <v>2.77999999999999</v>
      </c>
      <c r="AC247" s="4" cm="1">
        <f t="array" ref="AC247">IFERROR(INDEX(ReferenceCard, MATCH(1, (INDEX(ReferenceCard,,1)=Table1[[#This Row],[SAP No]]) * (INDEX(ReferenceCard,,2)=Table1[[#This Row],[Mould No]]), 0), 9),)</f>
        <v>18.8</v>
      </c>
      <c r="AD247" s="5">
        <v>0</v>
      </c>
      <c r="AE247" s="5">
        <v>0</v>
      </c>
      <c r="AF247" s="5">
        <v>0</v>
      </c>
      <c r="AG247" s="5">
        <v>3.31</v>
      </c>
      <c r="AH247" s="5">
        <v>5.91</v>
      </c>
      <c r="AI247" s="5">
        <v>0</v>
      </c>
      <c r="AJ247" s="5">
        <v>0</v>
      </c>
      <c r="AL247" s="2"/>
      <c r="AM247" s="2"/>
      <c r="AN247" s="3">
        <v>0</v>
      </c>
      <c r="AO247" s="3">
        <v>0</v>
      </c>
      <c r="AP24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8" spans="1:42" x14ac:dyDescent="0.35">
      <c r="A248" s="1">
        <v>46015</v>
      </c>
      <c r="B248">
        <v>2</v>
      </c>
      <c r="C248" t="s">
        <v>31</v>
      </c>
      <c r="D248" t="str" cm="1">
        <f t="array" ref="D248">IFERROR(INDEX(ReferenceCard, MATCH(1, (INDEX(ReferenceCard,,1)=Table1[[#This Row],[SAP No]]) * (INDEX(ReferenceCard,,2)=Table1[[#This Row],[Mould No]]), 0), 6),)</f>
        <v>PPSB520Y</v>
      </c>
      <c r="E248">
        <v>586276</v>
      </c>
      <c r="F248">
        <v>4</v>
      </c>
      <c r="G248" t="str" cm="1">
        <f t="array" ref="G248">IFERROR(INDEX(ReferenceCard, MATCH(1, (INDEX(ReferenceCard,,1)=Table1[[#This Row],[SAP No]]) * (INDEX(ReferenceCard,,2)=Table1[[#This Row],[Mould No]]), 0), 3),)</f>
        <v>BC28-0056-D-APH-LEB-604001-MOLD4</v>
      </c>
      <c r="H248">
        <v>0</v>
      </c>
      <c r="I248" cm="1">
        <f t="array" ref="I248">IFERROR(INDEX(ReferenceCard, MATCH(1, (INDEX(ReferenceCard,,1)=Table1[[#This Row],[SAP No]]) * (INDEX(ReferenceCard,,2)=Table1[[#This Row],[Mould No]]), 0), 4),)</f>
        <v>6</v>
      </c>
      <c r="J248" s="4" cm="1">
        <f t="array" ref="J248">IFERROR(INDEX(ReferenceCard, MATCH(1, (INDEX(ReferenceCard,,1)=Table1[[#This Row],[SAP No]]) * (INDEX(ReferenceCard,,2)=Table1[[#This Row],[Mould No]]), 0), 9),)</f>
        <v>12.3</v>
      </c>
      <c r="K248" s="4" cm="1">
        <f t="array" ref="K248">IFERROR(INDEX(ReferenceCard, MATCH(1, (INDEX(ReferenceCard,,1)=Table1[[#This Row],[SAP No]]) * (INDEX(ReferenceCard,,2)=Table1[[#This Row],[Mould No]]), 0), 7),)</f>
        <v>12.3</v>
      </c>
      <c r="L248">
        <v>1649</v>
      </c>
      <c r="M248">
        <v>0</v>
      </c>
      <c r="N248">
        <v>0</v>
      </c>
      <c r="O248">
        <v>0</v>
      </c>
      <c r="P248">
        <f>Table1[[#This Row],[Shot]]*Table1[[#This Row],[Cav]]</f>
        <v>9894</v>
      </c>
      <c r="Q248">
        <v>0</v>
      </c>
      <c r="R248">
        <f>(Table1[[#This Row],[Part Weight (gm)]]*Table1[[#This Row],[Finish Good]])/1000</f>
        <v>0</v>
      </c>
      <c r="S248">
        <v>0</v>
      </c>
      <c r="T248">
        <f>IF(Table1[[#This Row],[Qty Order]]="Sample","-",IF(Table1[[#This Row],[Qty Order]]="RTFN","-",Table1[[#This Row],[Qty Order]]-Table1[[#This Row],[Qty Accumulate]]))</f>
        <v>0</v>
      </c>
      <c r="U248">
        <f>((Table1[[#This Row],[Shift Output]]*Table1[[#This Row],[Part Weight (gm)]])/1000)+Table1[[#This Row],[Reject Startup (kg)]]+Table1[[#This Row],[Reject Purging (kg)]]+Table1[[#This Row],[Reject Preform (kg)]]</f>
        <v>121.6962</v>
      </c>
      <c r="V248" s="37">
        <f>(Table1[[#This Row],[Gross Weight (gm)]]-Table1[[#This Row],[Part Weight (gm)]])*Table1[[#This Row],[Shift Output]]/1000</f>
        <v>0</v>
      </c>
      <c r="W248" s="3">
        <v>0</v>
      </c>
      <c r="X248" s="36">
        <f>Table1[[#This Row],[Reject Startup (kg)]]/Table1[[#This Row],[Material Used]]</f>
        <v>0</v>
      </c>
      <c r="Y248" s="3">
        <v>0</v>
      </c>
      <c r="Z248" s="36">
        <f>Table1[[#This Row],[Reject Prod (kg)]]/Table1[[#This Row],[Material Used]]</f>
        <v>0</v>
      </c>
      <c r="AA248" s="4">
        <v>26.195009231567301</v>
      </c>
      <c r="AB248" s="5">
        <v>12</v>
      </c>
      <c r="AC248" s="4" cm="1">
        <f t="array" ref="AC248">IFERROR(INDEX(ReferenceCard, MATCH(1, (INDEX(ReferenceCard,,1)=Table1[[#This Row],[SAP No]]) * (INDEX(ReferenceCard,,2)=Table1[[#This Row],[Mould No]]), 0), 9),)</f>
        <v>12.3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L248" s="2"/>
      <c r="AM248" s="2"/>
      <c r="AN248" s="3">
        <v>0</v>
      </c>
      <c r="AO248" s="3">
        <v>0</v>
      </c>
      <c r="AP24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49" spans="1:42" x14ac:dyDescent="0.35">
      <c r="A249" s="1">
        <v>46015</v>
      </c>
      <c r="B249">
        <v>2</v>
      </c>
      <c r="C249" t="s">
        <v>0</v>
      </c>
      <c r="D249" t="str" cm="1">
        <f t="array" ref="D249">IFERROR(INDEX(ReferenceCard, MATCH(1, (INDEX(ReferenceCard,,1)=Table1[[#This Row],[SAP No]]) * (INDEX(ReferenceCard,,2)=Table1[[#This Row],[Mould No]]), 0), 6),)</f>
        <v>PET</v>
      </c>
      <c r="E249">
        <v>347623</v>
      </c>
      <c r="F249">
        <v>0</v>
      </c>
      <c r="G249" t="str" cm="1">
        <f t="array" ref="G249">IFERROR(INDEX(ReferenceCard, MATCH(1, (INDEX(ReferenceCard,,1)=Table1[[#This Row],[SAP No]]) * (INDEX(ReferenceCard,,2)=Table1[[#This Row],[Mould No]]), 0), 3),)</f>
        <v>BC28-0375-K-R-CL</v>
      </c>
      <c r="H249">
        <v>0</v>
      </c>
      <c r="I249" cm="1">
        <f t="array" ref="I249">IFERROR(INDEX(ReferenceCard, MATCH(1, (INDEX(ReferenceCard,,1)=Table1[[#This Row],[SAP No]]) * (INDEX(ReferenceCard,,2)=Table1[[#This Row],[Mould No]]), 0), 4),)</f>
        <v>4</v>
      </c>
      <c r="J249" s="4" cm="1">
        <f t="array" ref="J249">IFERROR(INDEX(ReferenceCard, MATCH(1, (INDEX(ReferenceCard,,1)=Table1[[#This Row],[SAP No]]) * (INDEX(ReferenceCard,,2)=Table1[[#This Row],[Mould No]]), 0), 9),)</f>
        <v>35.6</v>
      </c>
      <c r="K249" s="4" cm="1">
        <f t="array" ref="K249">IFERROR(INDEX(ReferenceCard, MATCH(1, (INDEX(ReferenceCard,,1)=Table1[[#This Row],[SAP No]]) * (INDEX(ReferenceCard,,2)=Table1[[#This Row],[Mould No]]), 0), 7),)</f>
        <v>35.6</v>
      </c>
      <c r="L249">
        <v>8610</v>
      </c>
      <c r="M249">
        <v>0</v>
      </c>
      <c r="N249">
        <v>0</v>
      </c>
      <c r="O249">
        <v>0</v>
      </c>
      <c r="P249">
        <f>Table1[[#This Row],[Shot]]*Table1[[#This Row],[Cav]]</f>
        <v>34440</v>
      </c>
      <c r="Q249">
        <v>0</v>
      </c>
      <c r="R249">
        <f>(Table1[[#This Row],[Part Weight (gm)]]*Table1[[#This Row],[Finish Good]])/1000</f>
        <v>0</v>
      </c>
      <c r="S249">
        <v>0</v>
      </c>
      <c r="T249">
        <f>IF(Table1[[#This Row],[Qty Order]]="Sample","-",IF(Table1[[#This Row],[Qty Order]]="RTFN","-",Table1[[#This Row],[Qty Order]]-Table1[[#This Row],[Qty Accumulate]]))</f>
        <v>0</v>
      </c>
      <c r="U249">
        <f>((Table1[[#This Row],[Shift Output]]*Table1[[#This Row],[Part Weight (gm)]])/1000)+Table1[[#This Row],[Reject Startup (kg)]]+Table1[[#This Row],[Reject Purging (kg)]]+Table1[[#This Row],[Reject Preform (kg)]]</f>
        <v>1226.0640000000001</v>
      </c>
      <c r="V249" s="37">
        <f>(Table1[[#This Row],[Gross Weight (gm)]]-Table1[[#This Row],[Part Weight (gm)]])*Table1[[#This Row],[Shift Output]]/1000</f>
        <v>0</v>
      </c>
      <c r="W249" s="3">
        <v>0</v>
      </c>
      <c r="X249" s="36">
        <f>Table1[[#This Row],[Reject Startup (kg)]]/Table1[[#This Row],[Material Used]]</f>
        <v>0</v>
      </c>
      <c r="Y249" s="3">
        <v>0</v>
      </c>
      <c r="Z249" s="36">
        <f>Table1[[#This Row],[Reject Prod (kg)]]/Table1[[#This Row],[Material Used]]</f>
        <v>0</v>
      </c>
      <c r="AA249" s="4">
        <v>109.939491271972</v>
      </c>
      <c r="AB249" s="5">
        <v>9.4</v>
      </c>
      <c r="AC249" s="4" cm="1">
        <f t="array" ref="AC249">IFERROR(INDEX(ReferenceCard, MATCH(1, (INDEX(ReferenceCard,,1)=Table1[[#This Row],[SAP No]]) * (INDEX(ReferenceCard,,2)=Table1[[#This Row],[Mould No]]), 0), 9),)</f>
        <v>35.6</v>
      </c>
      <c r="AD249" s="5">
        <v>0</v>
      </c>
      <c r="AE249" s="5">
        <v>0</v>
      </c>
      <c r="AF249" s="5">
        <v>0</v>
      </c>
      <c r="AG249" s="5">
        <v>0</v>
      </c>
      <c r="AH249" s="5">
        <v>2.6</v>
      </c>
      <c r="AI249" s="5">
        <v>0</v>
      </c>
      <c r="AJ249" s="5">
        <v>0</v>
      </c>
      <c r="AL249" s="2"/>
      <c r="AM249" s="2"/>
      <c r="AN249" s="3">
        <v>0</v>
      </c>
      <c r="AO249" s="3">
        <v>0</v>
      </c>
      <c r="AP24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0" spans="1:42" x14ac:dyDescent="0.35">
      <c r="A250" s="1">
        <v>46015</v>
      </c>
      <c r="B250">
        <v>1</v>
      </c>
      <c r="C250" t="s">
        <v>35</v>
      </c>
      <c r="D250" t="str" cm="1">
        <f t="array" ref="D250">IFERROR(INDEX(ReferenceCard, MATCH(1, (INDEX(ReferenceCard,,1)=Table1[[#This Row],[SAP No]]) * (INDEX(ReferenceCard,,2)=Table1[[#This Row],[Mould No]]), 0), 6),)</f>
        <v>PPSB520Y</v>
      </c>
      <c r="E250">
        <v>552181</v>
      </c>
      <c r="F250">
        <v>1</v>
      </c>
      <c r="G250" t="str" cm="1">
        <f t="array" ref="G250">IFERROR(INDEX(ReferenceCard, MATCH(1, (INDEX(ReferenceCard,,1)=Table1[[#This Row],[SAP No]]) * (INDEX(ReferenceCard,,2)=Table1[[#This Row],[Mould No]]), 0), 3),)</f>
        <v>BC28-0090-D-APH-5180-3538-PP-6 NOTCHES-MOLD1</v>
      </c>
      <c r="H250">
        <v>0</v>
      </c>
      <c r="I250" cm="1">
        <f t="array" ref="I250">IFERROR(INDEX(ReferenceCard, MATCH(1, (INDEX(ReferenceCard,,1)=Table1[[#This Row],[SAP No]]) * (INDEX(ReferenceCard,,2)=Table1[[#This Row],[Mould No]]), 0), 4),)</f>
        <v>6</v>
      </c>
      <c r="J250" s="4" cm="1">
        <f t="array" ref="J250">IFERROR(INDEX(ReferenceCard, MATCH(1, (INDEX(ReferenceCard,,1)=Table1[[#This Row],[SAP No]]) * (INDEX(ReferenceCard,,2)=Table1[[#This Row],[Mould No]]), 0), 9),)</f>
        <v>18.8</v>
      </c>
      <c r="K250" s="4" cm="1">
        <f t="array" ref="K250">IFERROR(INDEX(ReferenceCard, MATCH(1, (INDEX(ReferenceCard,,1)=Table1[[#This Row],[SAP No]]) * (INDEX(ReferenceCard,,2)=Table1[[#This Row],[Mould No]]), 0), 7),)</f>
        <v>18.8</v>
      </c>
      <c r="L250">
        <v>707</v>
      </c>
      <c r="M250">
        <v>0</v>
      </c>
      <c r="N250">
        <v>0</v>
      </c>
      <c r="O250">
        <v>0</v>
      </c>
      <c r="P250">
        <f>Table1[[#This Row],[Shot]]*Table1[[#This Row],[Cav]]</f>
        <v>4242</v>
      </c>
      <c r="Q250">
        <v>0</v>
      </c>
      <c r="R250">
        <f>(Table1[[#This Row],[Part Weight (gm)]]*Table1[[#This Row],[Finish Good]])/1000</f>
        <v>0</v>
      </c>
      <c r="S250">
        <v>0</v>
      </c>
      <c r="T250">
        <f>IF(Table1[[#This Row],[Qty Order]]="Sample","-",IF(Table1[[#This Row],[Qty Order]]="RTFN","-",Table1[[#This Row],[Qty Order]]-Table1[[#This Row],[Qty Accumulate]]))</f>
        <v>0</v>
      </c>
      <c r="U250">
        <f>((Table1[[#This Row],[Shift Output]]*Table1[[#This Row],[Part Weight (gm)]])/1000)+Table1[[#This Row],[Reject Startup (kg)]]+Table1[[#This Row],[Reject Purging (kg)]]+Table1[[#This Row],[Reject Preform (kg)]]</f>
        <v>79.749600000000001</v>
      </c>
      <c r="V250" s="37">
        <f>(Table1[[#This Row],[Gross Weight (gm)]]-Table1[[#This Row],[Part Weight (gm)]])*Table1[[#This Row],[Shift Output]]/1000</f>
        <v>0</v>
      </c>
      <c r="W250" s="3">
        <v>0</v>
      </c>
      <c r="X250" s="36">
        <f>Table1[[#This Row],[Reject Startup (kg)]]/Table1[[#This Row],[Material Used]]</f>
        <v>0</v>
      </c>
      <c r="Y250" s="3">
        <v>0</v>
      </c>
      <c r="Z250" s="36">
        <f>Table1[[#This Row],[Reject Prod (kg)]]/Table1[[#This Row],[Material Used]]</f>
        <v>0</v>
      </c>
      <c r="AA250" s="4">
        <v>31.2597332000732</v>
      </c>
      <c r="AB250" s="5">
        <v>12</v>
      </c>
      <c r="AC250" s="4" cm="1">
        <f t="array" ref="AC250">IFERROR(INDEX(ReferenceCard, MATCH(1, (INDEX(ReferenceCard,,1)=Table1[[#This Row],[SAP No]]) * (INDEX(ReferenceCard,,2)=Table1[[#This Row],[Mould No]]), 0), 9),)</f>
        <v>18.8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L250" s="2"/>
      <c r="AM250" s="2"/>
      <c r="AN250" s="3">
        <v>0</v>
      </c>
      <c r="AO250" s="3">
        <v>0</v>
      </c>
      <c r="AP25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1" spans="1:42" x14ac:dyDescent="0.35">
      <c r="A251" s="1">
        <v>46015</v>
      </c>
      <c r="B251">
        <v>1</v>
      </c>
      <c r="C251" t="s">
        <v>33</v>
      </c>
      <c r="D251" t="str" cm="1">
        <f t="array" ref="D251">IFERROR(INDEX(ReferenceCard, MATCH(1, (INDEX(ReferenceCard,,1)=Table1[[#This Row],[SAP No]]) * (INDEX(ReferenceCard,,2)=Table1[[#This Row],[Mould No]]), 0), 6),)</f>
        <v>PET</v>
      </c>
      <c r="E251">
        <v>541381</v>
      </c>
      <c r="F251">
        <v>0</v>
      </c>
      <c r="G251" t="str" cm="1">
        <f t="array" ref="G251">IFERROR(INDEX(ReferenceCard, MATCH(1, (INDEX(ReferenceCard,,1)=Table1[[#This Row],[SAP No]]) * (INDEX(ReferenceCard,,2)=Table1[[#This Row],[Mould No]]), 0), 3),)</f>
        <v>BC28-1200-K-R-CL</v>
      </c>
      <c r="H251">
        <v>0</v>
      </c>
      <c r="I251" cm="1">
        <f t="array" ref="I251">IFERROR(INDEX(ReferenceCard, MATCH(1, (INDEX(ReferenceCard,,1)=Table1[[#This Row],[SAP No]]) * (INDEX(ReferenceCard,,2)=Table1[[#This Row],[Mould No]]), 0), 4),)</f>
        <v>4</v>
      </c>
      <c r="J251" s="4" cm="1">
        <f t="array" ref="J251">IFERROR(INDEX(ReferenceCard, MATCH(1, (INDEX(ReferenceCard,,1)=Table1[[#This Row],[SAP No]]) * (INDEX(ReferenceCard,,2)=Table1[[#This Row],[Mould No]]), 0), 9),)</f>
        <v>55</v>
      </c>
      <c r="K251" s="4" cm="1">
        <f t="array" ref="K251">IFERROR(INDEX(ReferenceCard, MATCH(1, (INDEX(ReferenceCard,,1)=Table1[[#This Row],[SAP No]]) * (INDEX(ReferenceCard,,2)=Table1[[#This Row],[Mould No]]), 0), 7),)</f>
        <v>55</v>
      </c>
      <c r="L251">
        <v>857</v>
      </c>
      <c r="M251">
        <v>0</v>
      </c>
      <c r="N251">
        <v>0</v>
      </c>
      <c r="O251">
        <v>0</v>
      </c>
      <c r="P251">
        <f>Table1[[#This Row],[Shot]]*Table1[[#This Row],[Cav]]</f>
        <v>3428</v>
      </c>
      <c r="Q251">
        <v>0</v>
      </c>
      <c r="R251">
        <f>(Table1[[#This Row],[Part Weight (gm)]]*Table1[[#This Row],[Finish Good]])/1000</f>
        <v>0</v>
      </c>
      <c r="S251">
        <v>0</v>
      </c>
      <c r="T251">
        <f>IF(Table1[[#This Row],[Qty Order]]="Sample","-",IF(Table1[[#This Row],[Qty Order]]="RTFN","-",Table1[[#This Row],[Qty Order]]-Table1[[#This Row],[Qty Accumulate]]))</f>
        <v>0</v>
      </c>
      <c r="U251">
        <f>((Table1[[#This Row],[Shift Output]]*Table1[[#This Row],[Part Weight (gm)]])/1000)+Table1[[#This Row],[Reject Startup (kg)]]+Table1[[#This Row],[Reject Purging (kg)]]+Table1[[#This Row],[Reject Preform (kg)]]</f>
        <v>188.54</v>
      </c>
      <c r="V251" s="37">
        <f>(Table1[[#This Row],[Gross Weight (gm)]]-Table1[[#This Row],[Part Weight (gm)]])*Table1[[#This Row],[Shift Output]]/1000</f>
        <v>0</v>
      </c>
      <c r="W251" s="3">
        <v>0</v>
      </c>
      <c r="X251" s="36">
        <f>Table1[[#This Row],[Reject Startup (kg)]]/Table1[[#This Row],[Material Used]]</f>
        <v>0</v>
      </c>
      <c r="Y251" s="3">
        <v>0</v>
      </c>
      <c r="Z251" s="36">
        <f>Table1[[#This Row],[Reject Prod (kg)]]/Table1[[#This Row],[Material Used]]</f>
        <v>0</v>
      </c>
      <c r="AA251" s="4">
        <v>42.774074554443303</v>
      </c>
      <c r="AB251" s="5">
        <v>12</v>
      </c>
      <c r="AC251" s="4" cm="1">
        <f t="array" ref="AC251">IFERROR(INDEX(ReferenceCard, MATCH(1, (INDEX(ReferenceCard,,1)=Table1[[#This Row],[SAP No]]) * (INDEX(ReferenceCard,,2)=Table1[[#This Row],[Mould No]]), 0), 9),)</f>
        <v>55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L251" s="2"/>
      <c r="AM251" s="2"/>
      <c r="AN251" s="3">
        <v>0</v>
      </c>
      <c r="AO251" s="3">
        <v>0</v>
      </c>
      <c r="AP25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2" spans="1:42" x14ac:dyDescent="0.35">
      <c r="A252" s="1">
        <v>46015</v>
      </c>
      <c r="B252">
        <v>1</v>
      </c>
      <c r="C252" t="s">
        <v>31</v>
      </c>
      <c r="D252" t="str" cm="1">
        <f t="array" ref="D252">IFERROR(INDEX(ReferenceCard, MATCH(1, (INDEX(ReferenceCard,,1)=Table1[[#This Row],[SAP No]]) * (INDEX(ReferenceCard,,2)=Table1[[#This Row],[Mould No]]), 0), 6),)</f>
        <v>PPSB520Y</v>
      </c>
      <c r="E252">
        <v>586276</v>
      </c>
      <c r="F252">
        <v>4</v>
      </c>
      <c r="G252" t="str" cm="1">
        <f t="array" ref="G252">IFERROR(INDEX(ReferenceCard, MATCH(1, (INDEX(ReferenceCard,,1)=Table1[[#This Row],[SAP No]]) * (INDEX(ReferenceCard,,2)=Table1[[#This Row],[Mould No]]), 0), 3),)</f>
        <v>BC28-0056-D-APH-LEB-604001-MOLD4</v>
      </c>
      <c r="H252">
        <v>0</v>
      </c>
      <c r="I252" cm="1">
        <f t="array" ref="I252">IFERROR(INDEX(ReferenceCard, MATCH(1, (INDEX(ReferenceCard,,1)=Table1[[#This Row],[SAP No]]) * (INDEX(ReferenceCard,,2)=Table1[[#This Row],[Mould No]]), 0), 4),)</f>
        <v>6</v>
      </c>
      <c r="J252" s="4" cm="1">
        <f t="array" ref="J252">IFERROR(INDEX(ReferenceCard, MATCH(1, (INDEX(ReferenceCard,,1)=Table1[[#This Row],[SAP No]]) * (INDEX(ReferenceCard,,2)=Table1[[#This Row],[Mould No]]), 0), 9),)</f>
        <v>12.3</v>
      </c>
      <c r="K252" s="4" cm="1">
        <f t="array" ref="K252">IFERROR(INDEX(ReferenceCard, MATCH(1, (INDEX(ReferenceCard,,1)=Table1[[#This Row],[SAP No]]) * (INDEX(ReferenceCard,,2)=Table1[[#This Row],[Mould No]]), 0), 7),)</f>
        <v>12.3</v>
      </c>
      <c r="L252">
        <v>1587</v>
      </c>
      <c r="M252">
        <v>0</v>
      </c>
      <c r="N252">
        <v>0</v>
      </c>
      <c r="O252">
        <v>0</v>
      </c>
      <c r="P252">
        <f>Table1[[#This Row],[Shot]]*Table1[[#This Row],[Cav]]</f>
        <v>9522</v>
      </c>
      <c r="Q252">
        <v>0</v>
      </c>
      <c r="R252">
        <f>(Table1[[#This Row],[Part Weight (gm)]]*Table1[[#This Row],[Finish Good]])/1000</f>
        <v>0</v>
      </c>
      <c r="S252">
        <v>0</v>
      </c>
      <c r="T252">
        <f>IF(Table1[[#This Row],[Qty Order]]="Sample","-",IF(Table1[[#This Row],[Qty Order]]="RTFN","-",Table1[[#This Row],[Qty Order]]-Table1[[#This Row],[Qty Accumulate]]))</f>
        <v>0</v>
      </c>
      <c r="U252">
        <f>((Table1[[#This Row],[Shift Output]]*Table1[[#This Row],[Part Weight (gm)]])/1000)+Table1[[#This Row],[Reject Startup (kg)]]+Table1[[#This Row],[Reject Purging (kg)]]+Table1[[#This Row],[Reject Preform (kg)]]</f>
        <v>117.12060000000001</v>
      </c>
      <c r="V252" s="37">
        <f>(Table1[[#This Row],[Gross Weight (gm)]]-Table1[[#This Row],[Part Weight (gm)]])*Table1[[#This Row],[Shift Output]]/1000</f>
        <v>0</v>
      </c>
      <c r="W252" s="3">
        <v>0</v>
      </c>
      <c r="X252" s="36">
        <f>Table1[[#This Row],[Reject Startup (kg)]]/Table1[[#This Row],[Material Used]]</f>
        <v>0</v>
      </c>
      <c r="Y252" s="3">
        <v>0</v>
      </c>
      <c r="Z252" s="36">
        <f>Table1[[#This Row],[Reject Prod (kg)]]/Table1[[#This Row],[Material Used]]</f>
        <v>0</v>
      </c>
      <c r="AA252" s="4">
        <v>26.270040512084901</v>
      </c>
      <c r="AB252" s="5">
        <v>12</v>
      </c>
      <c r="AC252" s="4" cm="1">
        <f t="array" ref="AC252">IFERROR(INDEX(ReferenceCard, MATCH(1, (INDEX(ReferenceCard,,1)=Table1[[#This Row],[SAP No]]) * (INDEX(ReferenceCard,,2)=Table1[[#This Row],[Mould No]]), 0), 9),)</f>
        <v>12.3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L252" s="2"/>
      <c r="AM252" s="2"/>
      <c r="AN252" s="3">
        <v>0</v>
      </c>
      <c r="AO252" s="3">
        <v>0</v>
      </c>
      <c r="AP25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3" spans="1:42" x14ac:dyDescent="0.35">
      <c r="A253" s="1">
        <v>46015</v>
      </c>
      <c r="B253">
        <v>1</v>
      </c>
      <c r="C253" t="s">
        <v>29</v>
      </c>
      <c r="D253" t="str" cm="1">
        <f t="array" ref="D253">IFERROR(INDEX(ReferenceCard, MATCH(1, (INDEX(ReferenceCard,,1)=Table1[[#This Row],[SAP No]]) * (INDEX(ReferenceCard,,2)=Table1[[#This Row],[Mould No]]), 0), 6),)</f>
        <v>PET</v>
      </c>
      <c r="E253">
        <v>620599</v>
      </c>
      <c r="F253">
        <v>0</v>
      </c>
      <c r="G253" t="str" cm="1">
        <f t="array" ref="G253">IFERROR(INDEX(ReferenceCard, MATCH(1, (INDEX(ReferenceCard,,1)=Table1[[#This Row],[SAP No]]) * (INDEX(ReferenceCard,,2)=Table1[[#This Row],[Mould No]]), 0), 3),)</f>
        <v>BC28-0750-K4-R-CL (55g)</v>
      </c>
      <c r="H253">
        <v>0</v>
      </c>
      <c r="I253" cm="1">
        <f t="array" ref="I253">IFERROR(INDEX(ReferenceCard, MATCH(1, (INDEX(ReferenceCard,,1)=Table1[[#This Row],[SAP No]]) * (INDEX(ReferenceCard,,2)=Table1[[#This Row],[Mould No]]), 0), 4),)</f>
        <v>4</v>
      </c>
      <c r="J253" s="4" cm="1">
        <f t="array" ref="J253">IFERROR(INDEX(ReferenceCard, MATCH(1, (INDEX(ReferenceCard,,1)=Table1[[#This Row],[SAP No]]) * (INDEX(ReferenceCard,,2)=Table1[[#This Row],[Mould No]]), 0), 9),)</f>
        <v>55</v>
      </c>
      <c r="K253" s="4" cm="1">
        <f t="array" ref="K253">IFERROR(INDEX(ReferenceCard, MATCH(1, (INDEX(ReferenceCard,,1)=Table1[[#This Row],[SAP No]]) * (INDEX(ReferenceCard,,2)=Table1[[#This Row],[Mould No]]), 0), 7),)</f>
        <v>55</v>
      </c>
      <c r="L253">
        <v>1483</v>
      </c>
      <c r="M253">
        <v>0</v>
      </c>
      <c r="N253">
        <v>0</v>
      </c>
      <c r="O253">
        <v>0</v>
      </c>
      <c r="P253">
        <f>Table1[[#This Row],[Shot]]*Table1[[#This Row],[Cav]]</f>
        <v>5932</v>
      </c>
      <c r="Q253">
        <v>0</v>
      </c>
      <c r="R253">
        <f>(Table1[[#This Row],[Part Weight (gm)]]*Table1[[#This Row],[Finish Good]])/1000</f>
        <v>0</v>
      </c>
      <c r="S253">
        <v>0</v>
      </c>
      <c r="T253">
        <f>IF(Table1[[#This Row],[Qty Order]]="Sample","-",IF(Table1[[#This Row],[Qty Order]]="RTFN","-",Table1[[#This Row],[Qty Order]]-Table1[[#This Row],[Qty Accumulate]]))</f>
        <v>0</v>
      </c>
      <c r="U253">
        <f>((Table1[[#This Row],[Shift Output]]*Table1[[#This Row],[Part Weight (gm)]])/1000)+Table1[[#This Row],[Reject Startup (kg)]]+Table1[[#This Row],[Reject Purging (kg)]]+Table1[[#This Row],[Reject Preform (kg)]]</f>
        <v>326.26</v>
      </c>
      <c r="V253" s="37">
        <f>(Table1[[#This Row],[Gross Weight (gm)]]-Table1[[#This Row],[Part Weight (gm)]])*Table1[[#This Row],[Shift Output]]/1000</f>
        <v>0</v>
      </c>
      <c r="W253" s="3">
        <v>0</v>
      </c>
      <c r="X253" s="36">
        <f>Table1[[#This Row],[Reject Startup (kg)]]/Table1[[#This Row],[Material Used]]</f>
        <v>0</v>
      </c>
      <c r="Y253" s="3">
        <v>0</v>
      </c>
      <c r="Z253" s="36">
        <f>Table1[[#This Row],[Reject Prod (kg)]]/Table1[[#This Row],[Material Used]]</f>
        <v>0</v>
      </c>
      <c r="AA253" s="4">
        <v>27.971532821655199</v>
      </c>
      <c r="AB253" s="5">
        <v>12</v>
      </c>
      <c r="AC253" s="4" cm="1">
        <f t="array" ref="AC253">IFERROR(INDEX(ReferenceCard, MATCH(1, (INDEX(ReferenceCard,,1)=Table1[[#This Row],[SAP No]]) * (INDEX(ReferenceCard,,2)=Table1[[#This Row],[Mould No]]), 0), 9),)</f>
        <v>55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L253" s="2"/>
      <c r="AM253" s="2"/>
      <c r="AN253" s="3">
        <v>0</v>
      </c>
      <c r="AO253" s="3">
        <v>0</v>
      </c>
      <c r="AP25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4" spans="1:42" x14ac:dyDescent="0.35">
      <c r="A254" s="1">
        <v>46015</v>
      </c>
      <c r="B254">
        <v>1</v>
      </c>
      <c r="C254" t="s">
        <v>27</v>
      </c>
      <c r="D254" t="str" cm="1">
        <f t="array" ref="D254">IFERROR(INDEX(ReferenceCard, MATCH(1, (INDEX(ReferenceCard,,1)=Table1[[#This Row],[SAP No]]) * (INDEX(ReferenceCard,,2)=Table1[[#This Row],[Mould No]]), 0), 6),)</f>
        <v>PPSB520Y</v>
      </c>
      <c r="E254">
        <v>552181</v>
      </c>
      <c r="F254">
        <v>4</v>
      </c>
      <c r="G254" t="str" cm="1">
        <f t="array" ref="G254">IFERROR(INDEX(ReferenceCard, MATCH(1, (INDEX(ReferenceCard,,1)=Table1[[#This Row],[SAP No]]) * (INDEX(ReferenceCard,,2)=Table1[[#This Row],[Mould No]]), 0), 3),)</f>
        <v>BC28-0090-D-APH-5180-3538-PP-6 NOTCHES-MOLD4</v>
      </c>
      <c r="H254">
        <v>0</v>
      </c>
      <c r="I254" cm="1">
        <f t="array" ref="I254">IFERROR(INDEX(ReferenceCard, MATCH(1, (INDEX(ReferenceCard,,1)=Table1[[#This Row],[SAP No]]) * (INDEX(ReferenceCard,,2)=Table1[[#This Row],[Mould No]]), 0), 4),)</f>
        <v>6</v>
      </c>
      <c r="J254" s="4" cm="1">
        <f t="array" ref="J254">IFERROR(INDEX(ReferenceCard, MATCH(1, (INDEX(ReferenceCard,,1)=Table1[[#This Row],[SAP No]]) * (INDEX(ReferenceCard,,2)=Table1[[#This Row],[Mould No]]), 0), 9),)</f>
        <v>18.8</v>
      </c>
      <c r="K254" s="4" cm="1">
        <f t="array" ref="K254">IFERROR(INDEX(ReferenceCard, MATCH(1, (INDEX(ReferenceCard,,1)=Table1[[#This Row],[SAP No]]) * (INDEX(ReferenceCard,,2)=Table1[[#This Row],[Mould No]]), 0), 7),)</f>
        <v>18.8</v>
      </c>
      <c r="L254">
        <v>1277</v>
      </c>
      <c r="M254">
        <v>0</v>
      </c>
      <c r="N254">
        <v>0</v>
      </c>
      <c r="O254">
        <v>0</v>
      </c>
      <c r="P254">
        <f>Table1[[#This Row],[Shot]]*Table1[[#This Row],[Cav]]</f>
        <v>7662</v>
      </c>
      <c r="Q254">
        <v>0</v>
      </c>
      <c r="R254">
        <f>(Table1[[#This Row],[Part Weight (gm)]]*Table1[[#This Row],[Finish Good]])/1000</f>
        <v>0</v>
      </c>
      <c r="S254">
        <v>0</v>
      </c>
      <c r="T254">
        <f>IF(Table1[[#This Row],[Qty Order]]="Sample","-",IF(Table1[[#This Row],[Qty Order]]="RTFN","-",Table1[[#This Row],[Qty Order]]-Table1[[#This Row],[Qty Accumulate]]))</f>
        <v>0</v>
      </c>
      <c r="U254">
        <f>((Table1[[#This Row],[Shift Output]]*Table1[[#This Row],[Part Weight (gm)]])/1000)+Table1[[#This Row],[Reject Startup (kg)]]+Table1[[#This Row],[Reject Purging (kg)]]+Table1[[#This Row],[Reject Preform (kg)]]</f>
        <v>144.04560000000001</v>
      </c>
      <c r="V254" s="37">
        <f>(Table1[[#This Row],[Gross Weight (gm)]]-Table1[[#This Row],[Part Weight (gm)]])*Table1[[#This Row],[Shift Output]]/1000</f>
        <v>0</v>
      </c>
      <c r="W254" s="3">
        <v>0</v>
      </c>
      <c r="X254" s="36">
        <f>Table1[[#This Row],[Reject Startup (kg)]]/Table1[[#This Row],[Material Used]]</f>
        <v>0</v>
      </c>
      <c r="Y254" s="3">
        <v>0</v>
      </c>
      <c r="Z254" s="36">
        <f>Table1[[#This Row],[Reject Prod (kg)]]/Table1[[#This Row],[Material Used]]</f>
        <v>0</v>
      </c>
      <c r="AA254" s="4">
        <v>0</v>
      </c>
      <c r="AB254" s="5">
        <v>7.96999999999999</v>
      </c>
      <c r="AC254" s="4" cm="1">
        <f t="array" ref="AC254">IFERROR(INDEX(ReferenceCard, MATCH(1, (INDEX(ReferenceCard,,1)=Table1[[#This Row],[SAP No]]) * (INDEX(ReferenceCard,,2)=Table1[[#This Row],[Mould No]]), 0), 9),)</f>
        <v>18.8</v>
      </c>
      <c r="AD254" s="5">
        <v>0</v>
      </c>
      <c r="AE254" s="5">
        <v>0</v>
      </c>
      <c r="AF254" s="5">
        <v>0</v>
      </c>
      <c r="AG254" s="5">
        <v>4.03</v>
      </c>
      <c r="AH254" s="5">
        <v>0</v>
      </c>
      <c r="AI254" s="5">
        <v>0</v>
      </c>
      <c r="AJ254" s="5">
        <v>0</v>
      </c>
      <c r="AL254" s="2"/>
      <c r="AM254" s="2"/>
      <c r="AN254" s="3">
        <v>0</v>
      </c>
      <c r="AO254" s="3">
        <v>0</v>
      </c>
      <c r="AP25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5" spans="1:42" x14ac:dyDescent="0.35">
      <c r="A255" s="1">
        <v>46015</v>
      </c>
      <c r="B255">
        <v>1</v>
      </c>
      <c r="C255" t="s">
        <v>25</v>
      </c>
      <c r="D255" t="str" cm="1">
        <f t="array" ref="D255">IFERROR(INDEX(ReferenceCard, MATCH(1, (INDEX(ReferenceCard,,1)=Table1[[#This Row],[SAP No]]) * (INDEX(ReferenceCard,,2)=Table1[[#This Row],[Mould No]]), 0), 6),)</f>
        <v>PET</v>
      </c>
      <c r="E255">
        <v>323133</v>
      </c>
      <c r="F255">
        <v>0</v>
      </c>
      <c r="G255" t="str" cm="1">
        <f t="array" ref="G255">IFERROR(INDEX(ReferenceCard, MATCH(1, (INDEX(ReferenceCard,,1)=Table1[[#This Row],[SAP No]]) * (INDEX(ReferenceCard,,2)=Table1[[#This Row],[Mould No]]), 0), 3),)</f>
        <v>BX38-2000-RH-R-CL(GREEN) (ASEM)</v>
      </c>
      <c r="H255">
        <v>0</v>
      </c>
      <c r="I255" cm="1">
        <f t="array" ref="I255">IFERROR(INDEX(ReferenceCard, MATCH(1, (INDEX(ReferenceCard,,1)=Table1[[#This Row],[SAP No]]) * (INDEX(ReferenceCard,,2)=Table1[[#This Row],[Mould No]]), 0), 4),)</f>
        <v>4</v>
      </c>
      <c r="J255" s="4" cm="1">
        <f t="array" ref="J255">IFERROR(INDEX(ReferenceCard, MATCH(1, (INDEX(ReferenceCard,,1)=Table1[[#This Row],[SAP No]]) * (INDEX(ReferenceCard,,2)=Table1[[#This Row],[Mould No]]), 0), 9),)</f>
        <v>77</v>
      </c>
      <c r="K255" s="4" cm="1">
        <f t="array" ref="K255">IFERROR(INDEX(ReferenceCard, MATCH(1, (INDEX(ReferenceCard,,1)=Table1[[#This Row],[SAP No]]) * (INDEX(ReferenceCard,,2)=Table1[[#This Row],[Mould No]]), 0), 7),)</f>
        <v>77</v>
      </c>
      <c r="L255">
        <v>28</v>
      </c>
      <c r="M255">
        <v>0</v>
      </c>
      <c r="N255">
        <v>0</v>
      </c>
      <c r="O255">
        <v>0</v>
      </c>
      <c r="P255">
        <f>Table1[[#This Row],[Shot]]*Table1[[#This Row],[Cav]]</f>
        <v>112</v>
      </c>
      <c r="Q255">
        <v>0</v>
      </c>
      <c r="R255">
        <f>(Table1[[#This Row],[Part Weight (gm)]]*Table1[[#This Row],[Finish Good]])/1000</f>
        <v>0</v>
      </c>
      <c r="S255">
        <v>0</v>
      </c>
      <c r="T255">
        <f>IF(Table1[[#This Row],[Qty Order]]="Sample","-",IF(Table1[[#This Row],[Qty Order]]="RTFN","-",Table1[[#This Row],[Qty Order]]-Table1[[#This Row],[Qty Accumulate]]))</f>
        <v>0</v>
      </c>
      <c r="U255">
        <f>((Table1[[#This Row],[Shift Output]]*Table1[[#This Row],[Part Weight (gm)]])/1000)+Table1[[#This Row],[Reject Startup (kg)]]+Table1[[#This Row],[Reject Purging (kg)]]+Table1[[#This Row],[Reject Preform (kg)]]</f>
        <v>8.6240000000000006</v>
      </c>
      <c r="V255" s="37">
        <f>(Table1[[#This Row],[Gross Weight (gm)]]-Table1[[#This Row],[Part Weight (gm)]])*Table1[[#This Row],[Shift Output]]/1000</f>
        <v>0</v>
      </c>
      <c r="W255" s="3">
        <v>0</v>
      </c>
      <c r="X255" s="36">
        <f>Table1[[#This Row],[Reject Startup (kg)]]/Table1[[#This Row],[Material Used]]</f>
        <v>0</v>
      </c>
      <c r="Y255" s="3">
        <v>0</v>
      </c>
      <c r="Z255" s="36">
        <f>Table1[[#This Row],[Reject Prod (kg)]]/Table1[[#This Row],[Material Used]]</f>
        <v>0</v>
      </c>
      <c r="AA255" s="4">
        <v>0</v>
      </c>
      <c r="AB255" s="5">
        <v>0</v>
      </c>
      <c r="AC255" s="4" cm="1">
        <f t="array" ref="AC255">IFERROR(INDEX(ReferenceCard, MATCH(1, (INDEX(ReferenceCard,,1)=Table1[[#This Row],[SAP No]]) * (INDEX(ReferenceCard,,2)=Table1[[#This Row],[Mould No]]), 0), 9),)</f>
        <v>77</v>
      </c>
      <c r="AD255" s="5">
        <v>0</v>
      </c>
      <c r="AE255" s="5">
        <v>0</v>
      </c>
      <c r="AF255" s="5">
        <v>0</v>
      </c>
      <c r="AG255" s="5">
        <v>12</v>
      </c>
      <c r="AH255" s="5">
        <v>0</v>
      </c>
      <c r="AI255" s="5">
        <v>0</v>
      </c>
      <c r="AJ255" s="5">
        <v>0</v>
      </c>
      <c r="AK255" t="s">
        <v>64</v>
      </c>
      <c r="AL255" s="2" t="s">
        <v>65</v>
      </c>
      <c r="AM255" s="2"/>
      <c r="AN255" s="3"/>
      <c r="AO255" s="3">
        <v>0</v>
      </c>
      <c r="AP25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6" spans="1:42" x14ac:dyDescent="0.35">
      <c r="A256" s="1">
        <v>46015</v>
      </c>
      <c r="B256">
        <v>1</v>
      </c>
      <c r="C256" t="s">
        <v>23</v>
      </c>
      <c r="D256" t="str" cm="1">
        <f t="array" ref="D256">IFERROR(INDEX(ReferenceCard, MATCH(1, (INDEX(ReferenceCard,,1)=Table1[[#This Row],[SAP No]]) * (INDEX(ReferenceCard,,2)=Table1[[#This Row],[Mould No]]), 0), 6),)</f>
        <v>PPSB520Y</v>
      </c>
      <c r="E256">
        <v>586276</v>
      </c>
      <c r="F256">
        <v>2</v>
      </c>
      <c r="G256" t="str" cm="1">
        <f t="array" ref="G256">IFERROR(INDEX(ReferenceCard, MATCH(1, (INDEX(ReferenceCard,,1)=Table1[[#This Row],[SAP No]]) * (INDEX(ReferenceCard,,2)=Table1[[#This Row],[Mould No]]), 0), 3),)</f>
        <v>BC28-0056-D-APH-LEB-604001-MOLD2</v>
      </c>
      <c r="H256">
        <v>0</v>
      </c>
      <c r="I256" cm="1">
        <f t="array" ref="I256">IFERROR(INDEX(ReferenceCard, MATCH(1, (INDEX(ReferenceCard,,1)=Table1[[#This Row],[SAP No]]) * (INDEX(ReferenceCard,,2)=Table1[[#This Row],[Mould No]]), 0), 4),)</f>
        <v>6</v>
      </c>
      <c r="J256" s="4" cm="1">
        <f t="array" ref="J256">IFERROR(INDEX(ReferenceCard, MATCH(1, (INDEX(ReferenceCard,,1)=Table1[[#This Row],[SAP No]]) * (INDEX(ReferenceCard,,2)=Table1[[#This Row],[Mould No]]), 0), 9),)</f>
        <v>12.3</v>
      </c>
      <c r="K256" s="4" cm="1">
        <f t="array" ref="K256">IFERROR(INDEX(ReferenceCard, MATCH(1, (INDEX(ReferenceCard,,1)=Table1[[#This Row],[SAP No]]) * (INDEX(ReferenceCard,,2)=Table1[[#This Row],[Mould No]]), 0), 7),)</f>
        <v>12.3</v>
      </c>
      <c r="L256">
        <v>1623</v>
      </c>
      <c r="M256">
        <v>0</v>
      </c>
      <c r="N256">
        <v>0</v>
      </c>
      <c r="O256">
        <v>0</v>
      </c>
      <c r="P256">
        <f>Table1[[#This Row],[Shot]]*Table1[[#This Row],[Cav]]</f>
        <v>9738</v>
      </c>
      <c r="Q256">
        <v>0</v>
      </c>
      <c r="R256">
        <f>(Table1[[#This Row],[Part Weight (gm)]]*Table1[[#This Row],[Finish Good]])/1000</f>
        <v>0</v>
      </c>
      <c r="S256">
        <v>0</v>
      </c>
      <c r="T256">
        <f>IF(Table1[[#This Row],[Qty Order]]="Sample","-",IF(Table1[[#This Row],[Qty Order]]="RTFN","-",Table1[[#This Row],[Qty Order]]-Table1[[#This Row],[Qty Accumulate]]))</f>
        <v>0</v>
      </c>
      <c r="U256">
        <f>((Table1[[#This Row],[Shift Output]]*Table1[[#This Row],[Part Weight (gm)]])/1000)+Table1[[#This Row],[Reject Startup (kg)]]+Table1[[#This Row],[Reject Purging (kg)]]+Table1[[#This Row],[Reject Preform (kg)]]</f>
        <v>119.77740000000001</v>
      </c>
      <c r="V256" s="37">
        <f>(Table1[[#This Row],[Gross Weight (gm)]]-Table1[[#This Row],[Part Weight (gm)]])*Table1[[#This Row],[Shift Output]]/1000</f>
        <v>0</v>
      </c>
      <c r="W256" s="3">
        <v>0</v>
      </c>
      <c r="X256" s="36">
        <f>Table1[[#This Row],[Reject Startup (kg)]]/Table1[[#This Row],[Material Used]]</f>
        <v>0</v>
      </c>
      <c r="Y256" s="3">
        <v>0</v>
      </c>
      <c r="Z256" s="36">
        <f>Table1[[#This Row],[Reject Prod (kg)]]/Table1[[#This Row],[Material Used]]</f>
        <v>0</v>
      </c>
      <c r="AA256" s="4">
        <v>25.728658676147401</v>
      </c>
      <c r="AB256" s="5">
        <v>12</v>
      </c>
      <c r="AC256" s="4" cm="1">
        <f t="array" ref="AC256">IFERROR(INDEX(ReferenceCard, MATCH(1, (INDEX(ReferenceCard,,1)=Table1[[#This Row],[SAP No]]) * (INDEX(ReferenceCard,,2)=Table1[[#This Row],[Mould No]]), 0), 9),)</f>
        <v>12.3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L256" s="2"/>
      <c r="AM256" s="2"/>
      <c r="AN256" s="3">
        <v>0</v>
      </c>
      <c r="AO256" s="3">
        <v>0</v>
      </c>
      <c r="AP25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7" spans="1:42" x14ac:dyDescent="0.35">
      <c r="A257" s="1">
        <v>46015</v>
      </c>
      <c r="B257">
        <v>1</v>
      </c>
      <c r="C257" t="s">
        <v>16</v>
      </c>
      <c r="D257" t="str" cm="1">
        <f t="array" ref="D257">IFERROR(INDEX(ReferenceCard, MATCH(1, (INDEX(ReferenceCard,,1)=Table1[[#This Row],[SAP No]]) * (INDEX(ReferenceCard,,2)=Table1[[#This Row],[Mould No]]), 0), 6),)</f>
        <v>PET</v>
      </c>
      <c r="E257">
        <v>324206</v>
      </c>
      <c r="F257">
        <v>0</v>
      </c>
      <c r="G257" t="str" cm="1">
        <f t="array" ref="G257">IFERROR(INDEX(ReferenceCard, MATCH(1, (INDEX(ReferenceCard,,1)=Table1[[#This Row],[SAP No]]) * (INDEX(ReferenceCard,,2)=Table1[[#This Row],[Mould No]]), 0), 3),)</f>
        <v>BX38-1000-HC-S-CL</v>
      </c>
      <c r="H257">
        <v>0</v>
      </c>
      <c r="I257" cm="1">
        <f t="array" ref="I257">IFERROR(INDEX(ReferenceCard, MATCH(1, (INDEX(ReferenceCard,,1)=Table1[[#This Row],[SAP No]]) * (INDEX(ReferenceCard,,2)=Table1[[#This Row],[Mould No]]), 0), 4),)</f>
        <v>4</v>
      </c>
      <c r="J257" s="4" cm="1">
        <f t="array" ref="J257">IFERROR(INDEX(ReferenceCard, MATCH(1, (INDEX(ReferenceCard,,1)=Table1[[#This Row],[SAP No]]) * (INDEX(ReferenceCard,,2)=Table1[[#This Row],[Mould No]]), 0), 9),)</f>
        <v>49</v>
      </c>
      <c r="K257" s="4" cm="1">
        <f t="array" ref="K257">IFERROR(INDEX(ReferenceCard, MATCH(1, (INDEX(ReferenceCard,,1)=Table1[[#This Row],[SAP No]]) * (INDEX(ReferenceCard,,2)=Table1[[#This Row],[Mould No]]), 0), 7),)</f>
        <v>48</v>
      </c>
      <c r="L257">
        <v>443</v>
      </c>
      <c r="M257">
        <v>0</v>
      </c>
      <c r="N257">
        <v>0</v>
      </c>
      <c r="O257">
        <v>0</v>
      </c>
      <c r="P257">
        <f>Table1[[#This Row],[Shot]]*Table1[[#This Row],[Cav]]</f>
        <v>1772</v>
      </c>
      <c r="Q257">
        <v>0</v>
      </c>
      <c r="R257">
        <f>(Table1[[#This Row],[Part Weight (gm)]]*Table1[[#This Row],[Finish Good]])/1000</f>
        <v>0</v>
      </c>
      <c r="S257">
        <v>0</v>
      </c>
      <c r="T257">
        <f>IF(Table1[[#This Row],[Qty Order]]="Sample","-",IF(Table1[[#This Row],[Qty Order]]="RTFN","-",Table1[[#This Row],[Qty Order]]-Table1[[#This Row],[Qty Accumulate]]))</f>
        <v>0</v>
      </c>
      <c r="U257">
        <f>((Table1[[#This Row],[Shift Output]]*Table1[[#This Row],[Part Weight (gm)]])/1000)+Table1[[#This Row],[Reject Startup (kg)]]+Table1[[#This Row],[Reject Purging (kg)]]+Table1[[#This Row],[Reject Preform (kg)]]</f>
        <v>85.055999999999997</v>
      </c>
      <c r="V257" s="37">
        <f>(Table1[[#This Row],[Gross Weight (gm)]]-Table1[[#This Row],[Part Weight (gm)]])*Table1[[#This Row],[Shift Output]]/1000</f>
        <v>1.772</v>
      </c>
      <c r="W257" s="3">
        <v>0</v>
      </c>
      <c r="X257" s="36">
        <f>Table1[[#This Row],[Reject Startup (kg)]]/Table1[[#This Row],[Material Used]]</f>
        <v>0</v>
      </c>
      <c r="Y257" s="3">
        <v>0</v>
      </c>
      <c r="Z257" s="36">
        <f>Table1[[#This Row],[Reject Prod (kg)]]/Table1[[#This Row],[Material Used]]</f>
        <v>0</v>
      </c>
      <c r="AA257" s="4">
        <v>28.399486541748001</v>
      </c>
      <c r="AB257" s="5">
        <v>3.52</v>
      </c>
      <c r="AC257" s="4" cm="1">
        <f t="array" ref="AC257">IFERROR(INDEX(ReferenceCard, MATCH(1, (INDEX(ReferenceCard,,1)=Table1[[#This Row],[SAP No]]) * (INDEX(ReferenceCard,,2)=Table1[[#This Row],[Mould No]]), 0), 9),)</f>
        <v>49</v>
      </c>
      <c r="AD257" s="5">
        <v>0</v>
      </c>
      <c r="AE257" s="5">
        <v>0</v>
      </c>
      <c r="AF257" s="5">
        <v>0</v>
      </c>
      <c r="AG257" s="5">
        <v>8.48</v>
      </c>
      <c r="AH257" s="5">
        <v>0</v>
      </c>
      <c r="AI257" s="5">
        <v>0</v>
      </c>
      <c r="AJ257" s="5">
        <v>0</v>
      </c>
      <c r="AL257" s="2"/>
      <c r="AM257" s="2"/>
      <c r="AN257" s="3">
        <v>0</v>
      </c>
      <c r="AO257" s="3">
        <v>0</v>
      </c>
      <c r="AP25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8" spans="1:42" x14ac:dyDescent="0.35">
      <c r="A258" s="1">
        <v>46015</v>
      </c>
      <c r="B258">
        <v>1</v>
      </c>
      <c r="C258" t="s">
        <v>14</v>
      </c>
      <c r="D258" t="str" cm="1">
        <f t="array" ref="D258">IFERROR(INDEX(ReferenceCard, MATCH(1, (INDEX(ReferenceCard,,1)=Table1[[#This Row],[SAP No]]) * (INDEX(ReferenceCard,,2)=Table1[[#This Row],[Mould No]]), 0), 6),)</f>
        <v>PET</v>
      </c>
      <c r="E258">
        <v>322444</v>
      </c>
      <c r="F258">
        <v>0</v>
      </c>
      <c r="G258" t="str" cm="1">
        <f t="array" ref="G258">IFERROR(INDEX(ReferenceCard, MATCH(1, (INDEX(ReferenceCard,,1)=Table1[[#This Row],[SAP No]]) * (INDEX(ReferenceCard,,2)=Table1[[#This Row],[Mould No]]), 0), 3),)</f>
        <v>JJ63-0400-RH-R-CL</v>
      </c>
      <c r="H258">
        <v>0</v>
      </c>
      <c r="I258" cm="1">
        <f t="array" ref="I258">IFERROR(INDEX(ReferenceCard, MATCH(1, (INDEX(ReferenceCard,,1)=Table1[[#This Row],[SAP No]]) * (INDEX(ReferenceCard,,2)=Table1[[#This Row],[Mould No]]), 0), 4),)</f>
        <v>4</v>
      </c>
      <c r="J258" s="4" cm="1">
        <f t="array" ref="J258">IFERROR(INDEX(ReferenceCard, MATCH(1, (INDEX(ReferenceCard,,1)=Table1[[#This Row],[SAP No]]) * (INDEX(ReferenceCard,,2)=Table1[[#This Row],[Mould No]]), 0), 9),)</f>
        <v>32.74</v>
      </c>
      <c r="K258" s="4" cm="1">
        <f t="array" ref="K258">IFERROR(INDEX(ReferenceCard, MATCH(1, (INDEX(ReferenceCard,,1)=Table1[[#This Row],[SAP No]]) * (INDEX(ReferenceCard,,2)=Table1[[#This Row],[Mould No]]), 0), 7),)</f>
        <v>34.5</v>
      </c>
      <c r="L258">
        <v>3066</v>
      </c>
      <c r="M258">
        <v>0</v>
      </c>
      <c r="N258">
        <v>0</v>
      </c>
      <c r="O258">
        <v>0</v>
      </c>
      <c r="P258">
        <f>Table1[[#This Row],[Shot]]*Table1[[#This Row],[Cav]]</f>
        <v>12264</v>
      </c>
      <c r="Q258">
        <v>0</v>
      </c>
      <c r="R258">
        <f>(Table1[[#This Row],[Part Weight (gm)]]*Table1[[#This Row],[Finish Good]])/1000</f>
        <v>0</v>
      </c>
      <c r="S258">
        <v>0</v>
      </c>
      <c r="T258">
        <f>IF(Table1[[#This Row],[Qty Order]]="Sample","-",IF(Table1[[#This Row],[Qty Order]]="RTFN","-",Table1[[#This Row],[Qty Order]]-Table1[[#This Row],[Qty Accumulate]]))</f>
        <v>0</v>
      </c>
      <c r="U258">
        <f>((Table1[[#This Row],[Shift Output]]*Table1[[#This Row],[Part Weight (gm)]])/1000)+Table1[[#This Row],[Reject Startup (kg)]]+Table1[[#This Row],[Reject Purging (kg)]]+Table1[[#This Row],[Reject Preform (kg)]]</f>
        <v>423.108</v>
      </c>
      <c r="V258" s="37">
        <f>(Table1[[#This Row],[Gross Weight (gm)]]-Table1[[#This Row],[Part Weight (gm)]])*Table1[[#This Row],[Shift Output]]/1000</f>
        <v>-21.584639999999975</v>
      </c>
      <c r="W258" s="3">
        <v>0</v>
      </c>
      <c r="X258" s="36">
        <f>Table1[[#This Row],[Reject Startup (kg)]]/Table1[[#This Row],[Material Used]]</f>
        <v>0</v>
      </c>
      <c r="Y258" s="3">
        <v>0</v>
      </c>
      <c r="Z258" s="36">
        <f>Table1[[#This Row],[Reject Prod (kg)]]/Table1[[#This Row],[Material Used]]</f>
        <v>0</v>
      </c>
      <c r="AA258" s="4">
        <v>26.422397613525298</v>
      </c>
      <c r="AB258" s="5">
        <v>11.64</v>
      </c>
      <c r="AC258" s="4" cm="1">
        <f t="array" ref="AC258">IFERROR(INDEX(ReferenceCard, MATCH(1, (INDEX(ReferenceCard,,1)=Table1[[#This Row],[SAP No]]) * (INDEX(ReferenceCard,,2)=Table1[[#This Row],[Mould No]]), 0), 9),)</f>
        <v>32.74</v>
      </c>
      <c r="AD258" s="5">
        <v>0</v>
      </c>
      <c r="AE258" s="5">
        <v>0</v>
      </c>
      <c r="AF258" s="5">
        <v>0</v>
      </c>
      <c r="AG258" s="5">
        <v>0.08</v>
      </c>
      <c r="AH258" s="5">
        <v>0.28999999999999898</v>
      </c>
      <c r="AI258" s="5">
        <v>0</v>
      </c>
      <c r="AJ258" s="5">
        <v>0</v>
      </c>
      <c r="AL258" s="2"/>
      <c r="AM258" s="2"/>
      <c r="AN258" s="3">
        <v>0</v>
      </c>
      <c r="AO258" s="3">
        <v>0</v>
      </c>
      <c r="AP25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59" spans="1:42" x14ac:dyDescent="0.35">
      <c r="A259" s="1">
        <v>46015</v>
      </c>
      <c r="B259">
        <v>1</v>
      </c>
      <c r="C259" t="s">
        <v>11</v>
      </c>
      <c r="D259" t="str" cm="1">
        <f t="array" ref="D259">IFERROR(INDEX(ReferenceCard, MATCH(1, (INDEX(ReferenceCard,,1)=Table1[[#This Row],[SAP No]]) * (INDEX(ReferenceCard,,2)=Table1[[#This Row],[Mould No]]), 0), 6),)</f>
        <v>rPET</v>
      </c>
      <c r="E259">
        <v>620994</v>
      </c>
      <c r="F259">
        <v>0</v>
      </c>
      <c r="G259" t="str" cm="1">
        <f t="array" ref="G259">IFERROR(INDEX(ReferenceCard, MATCH(1, (INDEX(ReferenceCard,,1)=Table1[[#This Row],[SAP No]]) * (INDEX(ReferenceCard,,2)=Table1[[#This Row],[Mould No]]), 0), 3),)</f>
        <v>JJ63-0400-SH-S-CL-rPET</v>
      </c>
      <c r="H259">
        <v>0</v>
      </c>
      <c r="I259" cm="1">
        <f t="array" ref="I259">IFERROR(INDEX(ReferenceCard, MATCH(1, (INDEX(ReferenceCard,,1)=Table1[[#This Row],[SAP No]]) * (INDEX(ReferenceCard,,2)=Table1[[#This Row],[Mould No]]), 0), 4),)</f>
        <v>4</v>
      </c>
      <c r="J259" s="4" cm="1">
        <f t="array" ref="J259">IFERROR(INDEX(ReferenceCard, MATCH(1, (INDEX(ReferenceCard,,1)=Table1[[#This Row],[SAP No]]) * (INDEX(ReferenceCard,,2)=Table1[[#This Row],[Mould No]]), 0), 9),)</f>
        <v>32.74</v>
      </c>
      <c r="K259" s="4" cm="1">
        <f t="array" ref="K259">IFERROR(INDEX(ReferenceCard, MATCH(1, (INDEX(ReferenceCard,,1)=Table1[[#This Row],[SAP No]]) * (INDEX(ReferenceCard,,2)=Table1[[#This Row],[Mould No]]), 0), 7),)</f>
        <v>33</v>
      </c>
      <c r="L259">
        <v>1775</v>
      </c>
      <c r="M259">
        <v>0</v>
      </c>
      <c r="N259">
        <v>0</v>
      </c>
      <c r="O259">
        <v>0</v>
      </c>
      <c r="P259">
        <f>Table1[[#This Row],[Shot]]*Table1[[#This Row],[Cav]]</f>
        <v>7100</v>
      </c>
      <c r="Q259">
        <v>0</v>
      </c>
      <c r="R259">
        <f>(Table1[[#This Row],[Part Weight (gm)]]*Table1[[#This Row],[Finish Good]])/1000</f>
        <v>0</v>
      </c>
      <c r="S259">
        <v>0</v>
      </c>
      <c r="T259">
        <f>IF(Table1[[#This Row],[Qty Order]]="Sample","-",IF(Table1[[#This Row],[Qty Order]]="RTFN","-",Table1[[#This Row],[Qty Order]]-Table1[[#This Row],[Qty Accumulate]]))</f>
        <v>0</v>
      </c>
      <c r="U259">
        <f>((Table1[[#This Row],[Shift Output]]*Table1[[#This Row],[Part Weight (gm)]])/1000)+Table1[[#This Row],[Reject Startup (kg)]]+Table1[[#This Row],[Reject Purging (kg)]]+Table1[[#This Row],[Reject Preform (kg)]]</f>
        <v>234.3</v>
      </c>
      <c r="V259" s="37">
        <f>(Table1[[#This Row],[Gross Weight (gm)]]-Table1[[#This Row],[Part Weight (gm)]])*Table1[[#This Row],[Shift Output]]/1000</f>
        <v>-1.8459999999999859</v>
      </c>
      <c r="W259" s="3">
        <v>0</v>
      </c>
      <c r="X259" s="36">
        <f>Table1[[#This Row],[Reject Startup (kg)]]/Table1[[#This Row],[Material Used]]</f>
        <v>0</v>
      </c>
      <c r="Y259" s="3">
        <v>0</v>
      </c>
      <c r="Z259" s="36">
        <f>Table1[[#This Row],[Reject Prod (kg)]]/Table1[[#This Row],[Material Used]]</f>
        <v>0</v>
      </c>
      <c r="AA259" s="4">
        <v>25.642873764038001</v>
      </c>
      <c r="AB259" s="5">
        <v>12</v>
      </c>
      <c r="AC259" s="4" cm="1">
        <f t="array" ref="AC259">IFERROR(INDEX(ReferenceCard, MATCH(1, (INDEX(ReferenceCard,,1)=Table1[[#This Row],[SAP No]]) * (INDEX(ReferenceCard,,2)=Table1[[#This Row],[Mould No]]), 0), 9),)</f>
        <v>32.74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L259" s="2"/>
      <c r="AM259" s="2"/>
      <c r="AN259" s="3">
        <v>0</v>
      </c>
      <c r="AO259" s="3">
        <v>0</v>
      </c>
      <c r="AP25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0" spans="1:42" x14ac:dyDescent="0.35">
      <c r="A260" s="1">
        <v>46015</v>
      </c>
      <c r="B260">
        <v>1</v>
      </c>
      <c r="C260" t="s">
        <v>9</v>
      </c>
      <c r="D260" t="str" cm="1">
        <f t="array" ref="D260">IFERROR(INDEX(ReferenceCard, MATCH(1, (INDEX(ReferenceCard,,1)=Table1[[#This Row],[SAP No]]) * (INDEX(ReferenceCard,,2)=Table1[[#This Row],[Mould No]]), 0), 6),)</f>
        <v>PET</v>
      </c>
      <c r="E260">
        <v>322451</v>
      </c>
      <c r="F260">
        <v>0</v>
      </c>
      <c r="G260" t="str" cm="1">
        <f t="array" ref="G260">IFERROR(INDEX(ReferenceCard, MATCH(1, (INDEX(ReferenceCard,,1)=Table1[[#This Row],[SAP No]]) * (INDEX(ReferenceCard,,2)=Table1[[#This Row],[Mould No]]), 0), 3),)</f>
        <v>BC28-0500-WNHP-R-BR</v>
      </c>
      <c r="H260">
        <v>0</v>
      </c>
      <c r="I260" cm="1">
        <f t="array" ref="I260">IFERROR(INDEX(ReferenceCard, MATCH(1, (INDEX(ReferenceCard,,1)=Table1[[#This Row],[SAP No]]) * (INDEX(ReferenceCard,,2)=Table1[[#This Row],[Mould No]]), 0), 4),)</f>
        <v>4</v>
      </c>
      <c r="J260" s="4" cm="1">
        <f t="array" ref="J260">IFERROR(INDEX(ReferenceCard, MATCH(1, (INDEX(ReferenceCard,,1)=Table1[[#This Row],[SAP No]]) * (INDEX(ReferenceCard,,2)=Table1[[#This Row],[Mould No]]), 0), 9),)</f>
        <v>45.6</v>
      </c>
      <c r="K260" s="4" cm="1">
        <f t="array" ref="K260">IFERROR(INDEX(ReferenceCard, MATCH(1, (INDEX(ReferenceCard,,1)=Table1[[#This Row],[SAP No]]) * (INDEX(ReferenceCard,,2)=Table1[[#This Row],[Mould No]]), 0), 7),)</f>
        <v>45.6</v>
      </c>
      <c r="L260">
        <v>395</v>
      </c>
      <c r="M260">
        <v>0</v>
      </c>
      <c r="N260">
        <v>0</v>
      </c>
      <c r="O260">
        <v>0</v>
      </c>
      <c r="P260">
        <f>Table1[[#This Row],[Shot]]*Table1[[#This Row],[Cav]]</f>
        <v>1580</v>
      </c>
      <c r="Q260">
        <v>0</v>
      </c>
      <c r="R260">
        <f>(Table1[[#This Row],[Part Weight (gm)]]*Table1[[#This Row],[Finish Good]])/1000</f>
        <v>0</v>
      </c>
      <c r="S260">
        <v>0</v>
      </c>
      <c r="T260">
        <f>IF(Table1[[#This Row],[Qty Order]]="Sample","-",IF(Table1[[#This Row],[Qty Order]]="RTFN","-",Table1[[#This Row],[Qty Order]]-Table1[[#This Row],[Qty Accumulate]]))</f>
        <v>0</v>
      </c>
      <c r="U260">
        <f>((Table1[[#This Row],[Shift Output]]*Table1[[#This Row],[Part Weight (gm)]])/1000)+Table1[[#This Row],[Reject Startup (kg)]]+Table1[[#This Row],[Reject Purging (kg)]]+Table1[[#This Row],[Reject Preform (kg)]]</f>
        <v>72.048000000000002</v>
      </c>
      <c r="V260" s="37">
        <f>(Table1[[#This Row],[Gross Weight (gm)]]-Table1[[#This Row],[Part Weight (gm)]])*Table1[[#This Row],[Shift Output]]/1000</f>
        <v>0</v>
      </c>
      <c r="W260" s="3">
        <v>0</v>
      </c>
      <c r="X260" s="36">
        <f>Table1[[#This Row],[Reject Startup (kg)]]/Table1[[#This Row],[Material Used]]</f>
        <v>0</v>
      </c>
      <c r="Y260" s="3">
        <v>0</v>
      </c>
      <c r="Z260" s="36">
        <f>Table1[[#This Row],[Reject Prod (kg)]]/Table1[[#This Row],[Material Used]]</f>
        <v>0</v>
      </c>
      <c r="AA260" s="4">
        <v>32.052471160888601</v>
      </c>
      <c r="AB260" s="5">
        <v>12</v>
      </c>
      <c r="AC260" s="4" cm="1">
        <f t="array" ref="AC260">IFERROR(INDEX(ReferenceCard, MATCH(1, (INDEX(ReferenceCard,,1)=Table1[[#This Row],[SAP No]]) * (INDEX(ReferenceCard,,2)=Table1[[#This Row],[Mould No]]), 0), 9),)</f>
        <v>45.6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L260" s="2"/>
      <c r="AM260" s="2"/>
      <c r="AN260" s="3">
        <v>0</v>
      </c>
      <c r="AO260" s="3">
        <v>0</v>
      </c>
      <c r="AP26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1" spans="1:42" x14ac:dyDescent="0.35">
      <c r="A261" s="1">
        <v>46015</v>
      </c>
      <c r="B261">
        <v>1</v>
      </c>
      <c r="C261" t="s">
        <v>7</v>
      </c>
      <c r="D261" t="str" cm="1">
        <f t="array" ref="D261">IFERROR(INDEX(ReferenceCard, MATCH(1, (INDEX(ReferenceCard,,1)=Table1[[#This Row],[SAP No]]) * (INDEX(ReferenceCard,,2)=Table1[[#This Row],[Mould No]]), 0), 6),)</f>
        <v>PET</v>
      </c>
      <c r="E261">
        <v>451191</v>
      </c>
      <c r="F261">
        <v>0</v>
      </c>
      <c r="G261" t="str" cm="1">
        <f t="array" ref="G261">IFERROR(INDEX(ReferenceCard, MATCH(1, (INDEX(ReferenceCard,,1)=Table1[[#This Row],[SAP No]]) * (INDEX(ReferenceCard,,2)=Table1[[#This Row],[Mould No]]), 0), 3),)</f>
        <v>BX38-0350-Z-C-CL</v>
      </c>
      <c r="H261">
        <v>0</v>
      </c>
      <c r="I261" cm="1">
        <f t="array" ref="I261">IFERROR(INDEX(ReferenceCard, MATCH(1, (INDEX(ReferenceCard,,1)=Table1[[#This Row],[SAP No]]) * (INDEX(ReferenceCard,,2)=Table1[[#This Row],[Mould No]]), 0), 4),)</f>
        <v>4</v>
      </c>
      <c r="J261" s="4" cm="1">
        <f t="array" ref="J261">IFERROR(INDEX(ReferenceCard, MATCH(1, (INDEX(ReferenceCard,,1)=Table1[[#This Row],[SAP No]]) * (INDEX(ReferenceCard,,2)=Table1[[#This Row],[Mould No]]), 0), 9),)</f>
        <v>29</v>
      </c>
      <c r="K261" s="4" cm="1">
        <f t="array" ref="K261">IFERROR(INDEX(ReferenceCard, MATCH(1, (INDEX(ReferenceCard,,1)=Table1[[#This Row],[SAP No]]) * (INDEX(ReferenceCard,,2)=Table1[[#This Row],[Mould No]]), 0), 7),)</f>
        <v>29</v>
      </c>
      <c r="L261">
        <v>531</v>
      </c>
      <c r="M261">
        <v>0</v>
      </c>
      <c r="N261">
        <v>0</v>
      </c>
      <c r="O261">
        <v>0</v>
      </c>
      <c r="P261">
        <f>Table1[[#This Row],[Shot]]*Table1[[#This Row],[Cav]]</f>
        <v>2124</v>
      </c>
      <c r="Q261">
        <v>0</v>
      </c>
      <c r="R261">
        <f>(Table1[[#This Row],[Part Weight (gm)]]*Table1[[#This Row],[Finish Good]])/1000</f>
        <v>0</v>
      </c>
      <c r="S261">
        <v>0</v>
      </c>
      <c r="T261">
        <f>IF(Table1[[#This Row],[Qty Order]]="Sample","-",IF(Table1[[#This Row],[Qty Order]]="RTFN","-",Table1[[#This Row],[Qty Order]]-Table1[[#This Row],[Qty Accumulate]]))</f>
        <v>0</v>
      </c>
      <c r="U261">
        <f>((Table1[[#This Row],[Shift Output]]*Table1[[#This Row],[Part Weight (gm)]])/1000)+Table1[[#This Row],[Reject Startup (kg)]]+Table1[[#This Row],[Reject Purging (kg)]]+Table1[[#This Row],[Reject Preform (kg)]]</f>
        <v>61.595999999999997</v>
      </c>
      <c r="V261" s="37">
        <f>(Table1[[#This Row],[Gross Weight (gm)]]-Table1[[#This Row],[Part Weight (gm)]])*Table1[[#This Row],[Shift Output]]/1000</f>
        <v>0</v>
      </c>
      <c r="W261" s="3">
        <v>0</v>
      </c>
      <c r="X261" s="36">
        <f>Table1[[#This Row],[Reject Startup (kg)]]/Table1[[#This Row],[Material Used]]</f>
        <v>0</v>
      </c>
      <c r="Y261" s="3">
        <v>0</v>
      </c>
      <c r="Z261" s="36">
        <f>Table1[[#This Row],[Reject Prod (kg)]]/Table1[[#This Row],[Material Used]]</f>
        <v>0</v>
      </c>
      <c r="AA261" s="4">
        <v>23.943996429443299</v>
      </c>
      <c r="AB261" s="5">
        <v>12</v>
      </c>
      <c r="AC261" s="4" cm="1">
        <f t="array" ref="AC261">IFERROR(INDEX(ReferenceCard, MATCH(1, (INDEX(ReferenceCard,,1)=Table1[[#This Row],[SAP No]]) * (INDEX(ReferenceCard,,2)=Table1[[#This Row],[Mould No]]), 0), 9),)</f>
        <v>29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L261" s="2"/>
      <c r="AM261" s="2"/>
      <c r="AN261" s="3">
        <v>0</v>
      </c>
      <c r="AO261" s="3">
        <v>0</v>
      </c>
      <c r="AP26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2" spans="1:42" x14ac:dyDescent="0.35">
      <c r="A262" s="1">
        <v>46015</v>
      </c>
      <c r="B262">
        <v>1</v>
      </c>
      <c r="C262" t="s">
        <v>5</v>
      </c>
      <c r="D262" t="str" cm="1">
        <f t="array" ref="D262">IFERROR(INDEX(ReferenceCard, MATCH(1, (INDEX(ReferenceCard,,1)=Table1[[#This Row],[SAP No]]) * (INDEX(ReferenceCard,,2)=Table1[[#This Row],[Mould No]]), 0), 6),)</f>
        <v>PET</v>
      </c>
      <c r="E262">
        <v>543590</v>
      </c>
      <c r="F262">
        <v>0</v>
      </c>
      <c r="G262" t="str" cm="1">
        <f t="array" ref="G262">IFERROR(INDEX(ReferenceCard, MATCH(1, (INDEX(ReferenceCard,,1)=Table1[[#This Row],[SAP No]]) * (INDEX(ReferenceCard,,2)=Table1[[#This Row],[Mould No]]), 0), 3),)</f>
        <v>BC28-0130-R-R-AM</v>
      </c>
      <c r="H262">
        <v>0</v>
      </c>
      <c r="I262" cm="1">
        <f t="array" ref="I262">IFERROR(INDEX(ReferenceCard, MATCH(1, (INDEX(ReferenceCard,,1)=Table1[[#This Row],[SAP No]]) * (INDEX(ReferenceCard,,2)=Table1[[#This Row],[Mould No]]), 0), 4),)</f>
        <v>4</v>
      </c>
      <c r="J262" s="4" cm="1">
        <f t="array" ref="J262">IFERROR(INDEX(ReferenceCard, MATCH(1, (INDEX(ReferenceCard,,1)=Table1[[#This Row],[SAP No]]) * (INDEX(ReferenceCard,,2)=Table1[[#This Row],[Mould No]]), 0), 9),)</f>
        <v>19</v>
      </c>
      <c r="K262" s="4" cm="1">
        <f t="array" ref="K262">IFERROR(INDEX(ReferenceCard, MATCH(1, (INDEX(ReferenceCard,,1)=Table1[[#This Row],[SAP No]]) * (INDEX(ReferenceCard,,2)=Table1[[#This Row],[Mould No]]), 0), 7),)</f>
        <v>19</v>
      </c>
      <c r="L262">
        <v>2433</v>
      </c>
      <c r="M262">
        <v>0</v>
      </c>
      <c r="N262">
        <v>0</v>
      </c>
      <c r="O262">
        <v>0</v>
      </c>
      <c r="P262">
        <f>Table1[[#This Row],[Shot]]*Table1[[#This Row],[Cav]]</f>
        <v>9732</v>
      </c>
      <c r="Q262">
        <v>0</v>
      </c>
      <c r="R262">
        <f>(Table1[[#This Row],[Part Weight (gm)]]*Table1[[#This Row],[Finish Good]])/1000</f>
        <v>0</v>
      </c>
      <c r="S262">
        <v>0</v>
      </c>
      <c r="T262">
        <f>IF(Table1[[#This Row],[Qty Order]]="Sample","-",IF(Table1[[#This Row],[Qty Order]]="RTFN","-",Table1[[#This Row],[Qty Order]]-Table1[[#This Row],[Qty Accumulate]]))</f>
        <v>0</v>
      </c>
      <c r="U262">
        <f>((Table1[[#This Row],[Shift Output]]*Table1[[#This Row],[Part Weight (gm)]])/1000)+Table1[[#This Row],[Reject Startup (kg)]]+Table1[[#This Row],[Reject Purging (kg)]]+Table1[[#This Row],[Reject Preform (kg)]]</f>
        <v>184.90799999999999</v>
      </c>
      <c r="V262" s="37">
        <f>(Table1[[#This Row],[Gross Weight (gm)]]-Table1[[#This Row],[Part Weight (gm)]])*Table1[[#This Row],[Shift Output]]/1000</f>
        <v>0</v>
      </c>
      <c r="W262" s="3">
        <v>0</v>
      </c>
      <c r="X262" s="36">
        <f>Table1[[#This Row],[Reject Startup (kg)]]/Table1[[#This Row],[Material Used]]</f>
        <v>0</v>
      </c>
      <c r="Y262" s="3">
        <v>0</v>
      </c>
      <c r="Z262" s="36">
        <f>Table1[[#This Row],[Reject Prod (kg)]]/Table1[[#This Row],[Material Used]]</f>
        <v>0</v>
      </c>
      <c r="AA262" s="4">
        <v>0</v>
      </c>
      <c r="AB262" s="5">
        <v>2.8799999999999901</v>
      </c>
      <c r="AC262" s="4" cm="1">
        <f t="array" ref="AC262">IFERROR(INDEX(ReferenceCard, MATCH(1, (INDEX(ReferenceCard,,1)=Table1[[#This Row],[SAP No]]) * (INDEX(ReferenceCard,,2)=Table1[[#This Row],[Mould No]]), 0), 9),)</f>
        <v>19</v>
      </c>
      <c r="AD262" s="5">
        <v>0</v>
      </c>
      <c r="AE262" s="5">
        <v>0</v>
      </c>
      <c r="AF262" s="5">
        <v>0</v>
      </c>
      <c r="AG262" s="5">
        <v>8.48</v>
      </c>
      <c r="AH262" s="5">
        <v>0.64</v>
      </c>
      <c r="AI262" s="5">
        <v>0</v>
      </c>
      <c r="AJ262" s="5">
        <v>0</v>
      </c>
      <c r="AK262" t="s">
        <v>66</v>
      </c>
      <c r="AL262" s="2" t="s">
        <v>67</v>
      </c>
      <c r="AM262" s="2"/>
      <c r="AN262" s="3"/>
      <c r="AO262" s="3">
        <v>0</v>
      </c>
      <c r="AP26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3" spans="1:42" x14ac:dyDescent="0.35">
      <c r="A263" s="1">
        <v>46015</v>
      </c>
      <c r="B263">
        <v>1</v>
      </c>
      <c r="C263" t="s">
        <v>3</v>
      </c>
      <c r="D263" t="str" cm="1">
        <f t="array" ref="D263">IFERROR(INDEX(ReferenceCard, MATCH(1, (INDEX(ReferenceCard,,1)=Table1[[#This Row],[SAP No]]) * (INDEX(ReferenceCard,,2)=Table1[[#This Row],[Mould No]]), 0), 6),)</f>
        <v>PET</v>
      </c>
      <c r="E263">
        <v>423215</v>
      </c>
      <c r="F263">
        <v>0</v>
      </c>
      <c r="G263" t="str" cm="1">
        <f t="array" ref="G263">IFERROR(INDEX(ReferenceCard, MATCH(1, (INDEX(ReferenceCard,,1)=Table1[[#This Row],[SAP No]]) * (INDEX(ReferenceCard,,2)=Table1[[#This Row],[Mould No]]), 0), 3),)</f>
        <v>BC28-0355-SCC-A-Q-CL</v>
      </c>
      <c r="H263">
        <v>0</v>
      </c>
      <c r="I263" cm="1">
        <f t="array" ref="I263">IFERROR(INDEX(ReferenceCard, MATCH(1, (INDEX(ReferenceCard,,1)=Table1[[#This Row],[SAP No]]) * (INDEX(ReferenceCard,,2)=Table1[[#This Row],[Mould No]]), 0), 4),)</f>
        <v>4</v>
      </c>
      <c r="J263" s="4" cm="1">
        <f t="array" ref="J263">IFERROR(INDEX(ReferenceCard, MATCH(1, (INDEX(ReferenceCard,,1)=Table1[[#This Row],[SAP No]]) * (INDEX(ReferenceCard,,2)=Table1[[#This Row],[Mould No]]), 0), 9),)</f>
        <v>24</v>
      </c>
      <c r="K263" s="4" cm="1">
        <f t="array" ref="K263">IFERROR(INDEX(ReferenceCard, MATCH(1, (INDEX(ReferenceCard,,1)=Table1[[#This Row],[SAP No]]) * (INDEX(ReferenceCard,,2)=Table1[[#This Row],[Mould No]]), 0), 7),)</f>
        <v>24</v>
      </c>
      <c r="L263">
        <v>1272</v>
      </c>
      <c r="M263">
        <v>0</v>
      </c>
      <c r="N263">
        <v>0</v>
      </c>
      <c r="O263">
        <v>0</v>
      </c>
      <c r="P263">
        <f>Table1[[#This Row],[Shot]]*Table1[[#This Row],[Cav]]</f>
        <v>5088</v>
      </c>
      <c r="Q263">
        <v>0</v>
      </c>
      <c r="R263">
        <f>(Table1[[#This Row],[Part Weight (gm)]]*Table1[[#This Row],[Finish Good]])/1000</f>
        <v>0</v>
      </c>
      <c r="S263">
        <v>0</v>
      </c>
      <c r="T263">
        <f>IF(Table1[[#This Row],[Qty Order]]="Sample","-",IF(Table1[[#This Row],[Qty Order]]="RTFN","-",Table1[[#This Row],[Qty Order]]-Table1[[#This Row],[Qty Accumulate]]))</f>
        <v>0</v>
      </c>
      <c r="U263">
        <f>((Table1[[#This Row],[Shift Output]]*Table1[[#This Row],[Part Weight (gm)]])/1000)+Table1[[#This Row],[Reject Startup (kg)]]+Table1[[#This Row],[Reject Purging (kg)]]+Table1[[#This Row],[Reject Preform (kg)]]</f>
        <v>122.11199999999999</v>
      </c>
      <c r="V263" s="37">
        <f>(Table1[[#This Row],[Gross Weight (gm)]]-Table1[[#This Row],[Part Weight (gm)]])*Table1[[#This Row],[Shift Output]]/1000</f>
        <v>0</v>
      </c>
      <c r="W263" s="3">
        <v>0</v>
      </c>
      <c r="X263" s="36">
        <f>Table1[[#This Row],[Reject Startup (kg)]]/Table1[[#This Row],[Material Used]]</f>
        <v>0</v>
      </c>
      <c r="Y263" s="3">
        <v>0</v>
      </c>
      <c r="Z263" s="36">
        <f>Table1[[#This Row],[Reject Prod (kg)]]/Table1[[#This Row],[Material Used]]</f>
        <v>0</v>
      </c>
      <c r="AA263" s="4">
        <v>36.042266845703097</v>
      </c>
      <c r="AB263" s="5">
        <v>11.59</v>
      </c>
      <c r="AC263" s="4" cm="1">
        <f t="array" ref="AC263">IFERROR(INDEX(ReferenceCard, MATCH(1, (INDEX(ReferenceCard,,1)=Table1[[#This Row],[SAP No]]) * (INDEX(ReferenceCard,,2)=Table1[[#This Row],[Mould No]]), 0), 9),)</f>
        <v>24</v>
      </c>
      <c r="AD263" s="5">
        <v>0</v>
      </c>
      <c r="AE263" s="5">
        <v>0</v>
      </c>
      <c r="AF263" s="5">
        <v>0</v>
      </c>
      <c r="AG263" s="5">
        <v>0.17999999999999899</v>
      </c>
      <c r="AH263" s="5">
        <v>0.23999999999999899</v>
      </c>
      <c r="AI263" s="5">
        <v>0</v>
      </c>
      <c r="AJ263" s="5">
        <v>0</v>
      </c>
      <c r="AL263" s="2"/>
      <c r="AM263" s="2"/>
      <c r="AN263" s="3">
        <v>0</v>
      </c>
      <c r="AO263" s="3">
        <v>0</v>
      </c>
      <c r="AP26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4" spans="1:42" x14ac:dyDescent="0.35">
      <c r="A264" s="1">
        <v>46015</v>
      </c>
      <c r="B264">
        <v>1</v>
      </c>
      <c r="C264" t="s">
        <v>0</v>
      </c>
      <c r="D264" t="str" cm="1">
        <f t="array" ref="D264">IFERROR(INDEX(ReferenceCard, MATCH(1, (INDEX(ReferenceCard,,1)=Table1[[#This Row],[SAP No]]) * (INDEX(ReferenceCard,,2)=Table1[[#This Row],[Mould No]]), 0), 6),)</f>
        <v>PET</v>
      </c>
      <c r="E264">
        <v>347623</v>
      </c>
      <c r="F264">
        <v>0</v>
      </c>
      <c r="G264" t="str" cm="1">
        <f t="array" ref="G264">IFERROR(INDEX(ReferenceCard, MATCH(1, (INDEX(ReferenceCard,,1)=Table1[[#This Row],[SAP No]]) * (INDEX(ReferenceCard,,2)=Table1[[#This Row],[Mould No]]), 0), 3),)</f>
        <v>BC28-0375-K-R-CL</v>
      </c>
      <c r="H264">
        <v>0</v>
      </c>
      <c r="I264" cm="1">
        <f t="array" ref="I264">IFERROR(INDEX(ReferenceCard, MATCH(1, (INDEX(ReferenceCard,,1)=Table1[[#This Row],[SAP No]]) * (INDEX(ReferenceCard,,2)=Table1[[#This Row],[Mould No]]), 0), 4),)</f>
        <v>4</v>
      </c>
      <c r="J264" s="4" cm="1">
        <f t="array" ref="J264">IFERROR(INDEX(ReferenceCard, MATCH(1, (INDEX(ReferenceCard,,1)=Table1[[#This Row],[SAP No]]) * (INDEX(ReferenceCard,,2)=Table1[[#This Row],[Mould No]]), 0), 9),)</f>
        <v>35.6</v>
      </c>
      <c r="K264" s="4" cm="1">
        <f t="array" ref="K264">IFERROR(INDEX(ReferenceCard, MATCH(1, (INDEX(ReferenceCard,,1)=Table1[[#This Row],[SAP No]]) * (INDEX(ReferenceCard,,2)=Table1[[#This Row],[Mould No]]), 0), 7),)</f>
        <v>35.6</v>
      </c>
      <c r="L264">
        <v>1508</v>
      </c>
      <c r="M264">
        <v>0</v>
      </c>
      <c r="N264">
        <v>0</v>
      </c>
      <c r="O264">
        <v>0</v>
      </c>
      <c r="P264">
        <f>Table1[[#This Row],[Shot]]*Table1[[#This Row],[Cav]]</f>
        <v>6032</v>
      </c>
      <c r="Q264">
        <v>0</v>
      </c>
      <c r="R264">
        <f>(Table1[[#This Row],[Part Weight (gm)]]*Table1[[#This Row],[Finish Good]])/1000</f>
        <v>0</v>
      </c>
      <c r="S264">
        <v>0</v>
      </c>
      <c r="T264">
        <f>IF(Table1[[#This Row],[Qty Order]]="Sample","-",IF(Table1[[#This Row],[Qty Order]]="RTFN","-",Table1[[#This Row],[Qty Order]]-Table1[[#This Row],[Qty Accumulate]]))</f>
        <v>0</v>
      </c>
      <c r="U264">
        <f>((Table1[[#This Row],[Shift Output]]*Table1[[#This Row],[Part Weight (gm)]])/1000)+Table1[[#This Row],[Reject Startup (kg)]]+Table1[[#This Row],[Reject Purging (kg)]]+Table1[[#This Row],[Reject Preform (kg)]]</f>
        <v>214.73920000000001</v>
      </c>
      <c r="V264" s="37">
        <f>(Table1[[#This Row],[Gross Weight (gm)]]-Table1[[#This Row],[Part Weight (gm)]])*Table1[[#This Row],[Shift Output]]/1000</f>
        <v>0</v>
      </c>
      <c r="W264" s="3">
        <v>0</v>
      </c>
      <c r="X264" s="36">
        <f>Table1[[#This Row],[Reject Startup (kg)]]/Table1[[#This Row],[Material Used]]</f>
        <v>0</v>
      </c>
      <c r="Y264" s="3">
        <v>0</v>
      </c>
      <c r="Z264" s="36">
        <f>Table1[[#This Row],[Reject Prod (kg)]]/Table1[[#This Row],[Material Used]]</f>
        <v>0</v>
      </c>
      <c r="AA264" s="4">
        <v>26.5786952972412</v>
      </c>
      <c r="AB264" s="5">
        <v>12</v>
      </c>
      <c r="AC264" s="4" cm="1">
        <f t="array" ref="AC264">IFERROR(INDEX(ReferenceCard, MATCH(1, (INDEX(ReferenceCard,,1)=Table1[[#This Row],[SAP No]]) * (INDEX(ReferenceCard,,2)=Table1[[#This Row],[Mould No]]), 0), 9),)</f>
        <v>35.6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L264" s="2"/>
      <c r="AM264" s="2"/>
      <c r="AN264" s="3">
        <v>0</v>
      </c>
      <c r="AO264" s="3">
        <v>0</v>
      </c>
      <c r="AP26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5" spans="1:42" x14ac:dyDescent="0.35">
      <c r="A265" s="1">
        <v>46014</v>
      </c>
      <c r="B265">
        <v>2</v>
      </c>
      <c r="C265" t="s">
        <v>0</v>
      </c>
      <c r="D265" t="str" cm="1">
        <f t="array" ref="D265">IFERROR(INDEX(ReferenceCard, MATCH(1, (INDEX(ReferenceCard,,1)=Table1[[#This Row],[SAP No]]) * (INDEX(ReferenceCard,,2)=Table1[[#This Row],[Mould No]]), 0), 6),)</f>
        <v>PET</v>
      </c>
      <c r="E265">
        <v>347623</v>
      </c>
      <c r="F265">
        <v>0</v>
      </c>
      <c r="G265" t="str" cm="1">
        <f t="array" ref="G265">IFERROR(INDEX(ReferenceCard, MATCH(1, (INDEX(ReferenceCard,,1)=Table1[[#This Row],[SAP No]]) * (INDEX(ReferenceCard,,2)=Table1[[#This Row],[Mould No]]), 0), 3),)</f>
        <v>BC28-0375-K-R-CL</v>
      </c>
      <c r="H265">
        <v>0</v>
      </c>
      <c r="I265" cm="1">
        <f t="array" ref="I265">IFERROR(INDEX(ReferenceCard, MATCH(1, (INDEX(ReferenceCard,,1)=Table1[[#This Row],[SAP No]]) * (INDEX(ReferenceCard,,2)=Table1[[#This Row],[Mould No]]), 0), 4),)</f>
        <v>4</v>
      </c>
      <c r="J265" s="4" cm="1">
        <f t="array" ref="J265">IFERROR(INDEX(ReferenceCard, MATCH(1, (INDEX(ReferenceCard,,1)=Table1[[#This Row],[SAP No]]) * (INDEX(ReferenceCard,,2)=Table1[[#This Row],[Mould No]]), 0), 9),)</f>
        <v>35.6</v>
      </c>
      <c r="K265" s="4" cm="1">
        <f t="array" ref="K265">IFERROR(INDEX(ReferenceCard, MATCH(1, (INDEX(ReferenceCard,,1)=Table1[[#This Row],[SAP No]]) * (INDEX(ReferenceCard,,2)=Table1[[#This Row],[Mould No]]), 0), 7),)</f>
        <v>35.6</v>
      </c>
      <c r="L265">
        <v>1032</v>
      </c>
      <c r="M265">
        <v>0</v>
      </c>
      <c r="N265">
        <v>0</v>
      </c>
      <c r="O265">
        <v>0</v>
      </c>
      <c r="P265">
        <f>Table1[[#This Row],[Shot]]*Table1[[#This Row],[Cav]]</f>
        <v>4128</v>
      </c>
      <c r="Q265">
        <v>0</v>
      </c>
      <c r="R265">
        <f>(Table1[[#This Row],[Part Weight (gm)]]*Table1[[#This Row],[Finish Good]])/1000</f>
        <v>0</v>
      </c>
      <c r="S265">
        <v>0</v>
      </c>
      <c r="T265">
        <f>IF(Table1[[#This Row],[Qty Order]]="Sample","-",IF(Table1[[#This Row],[Qty Order]]="RTFN","-",Table1[[#This Row],[Qty Order]]-Table1[[#This Row],[Qty Accumulate]]))</f>
        <v>0</v>
      </c>
      <c r="U265">
        <f>((Table1[[#This Row],[Shift Output]]*Table1[[#This Row],[Part Weight (gm)]])/1000)+Table1[[#This Row],[Reject Startup (kg)]]+Table1[[#This Row],[Reject Purging (kg)]]+Table1[[#This Row],[Reject Preform (kg)]]</f>
        <v>146.95680000000002</v>
      </c>
      <c r="V265" s="37">
        <f>(Table1[[#This Row],[Gross Weight (gm)]]-Table1[[#This Row],[Part Weight (gm)]])*Table1[[#This Row],[Shift Output]]/1000</f>
        <v>0</v>
      </c>
      <c r="W265" s="3">
        <v>0</v>
      </c>
      <c r="X265" s="36">
        <f>Table1[[#This Row],[Reject Startup (kg)]]/Table1[[#This Row],[Material Used]]</f>
        <v>0</v>
      </c>
      <c r="Y265" s="3">
        <v>0</v>
      </c>
      <c r="Z265" s="36">
        <f>Table1[[#This Row],[Reject Prod (kg)]]/Table1[[#This Row],[Material Used]]</f>
        <v>0</v>
      </c>
      <c r="AA265" s="4">
        <v>26.146886825561499</v>
      </c>
      <c r="AB265" s="5">
        <v>12</v>
      </c>
      <c r="AC265" s="4" cm="1">
        <f t="array" ref="AC265">IFERROR(INDEX(ReferenceCard, MATCH(1, (INDEX(ReferenceCard,,1)=Table1[[#This Row],[SAP No]]) * (INDEX(ReferenceCard,,2)=Table1[[#This Row],[Mould No]]), 0), 9),)</f>
        <v>35.6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L265" s="2"/>
      <c r="AM265" s="2"/>
      <c r="AN265" s="3">
        <v>0</v>
      </c>
      <c r="AO265" s="3">
        <v>0</v>
      </c>
      <c r="AP26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6" spans="1:42" x14ac:dyDescent="0.35">
      <c r="A266" s="1">
        <v>46014</v>
      </c>
      <c r="B266">
        <v>2</v>
      </c>
      <c r="C266" t="s">
        <v>3</v>
      </c>
      <c r="D266" t="str" cm="1">
        <f t="array" ref="D266">IFERROR(INDEX(ReferenceCard, MATCH(1, (INDEX(ReferenceCard,,1)=Table1[[#This Row],[SAP No]]) * (INDEX(ReferenceCard,,2)=Table1[[#This Row],[Mould No]]), 0), 6),)</f>
        <v>PET</v>
      </c>
      <c r="E266">
        <v>423215</v>
      </c>
      <c r="F266">
        <v>0</v>
      </c>
      <c r="G266" t="str" cm="1">
        <f t="array" ref="G266">IFERROR(INDEX(ReferenceCard, MATCH(1, (INDEX(ReferenceCard,,1)=Table1[[#This Row],[SAP No]]) * (INDEX(ReferenceCard,,2)=Table1[[#This Row],[Mould No]]), 0), 3),)</f>
        <v>BC28-0355-SCC-A-Q-CL</v>
      </c>
      <c r="H266">
        <v>0</v>
      </c>
      <c r="I266" cm="1">
        <f t="array" ref="I266">IFERROR(INDEX(ReferenceCard, MATCH(1, (INDEX(ReferenceCard,,1)=Table1[[#This Row],[SAP No]]) * (INDEX(ReferenceCard,,2)=Table1[[#This Row],[Mould No]]), 0), 4),)</f>
        <v>4</v>
      </c>
      <c r="J266" s="4" cm="1">
        <f t="array" ref="J266">IFERROR(INDEX(ReferenceCard, MATCH(1, (INDEX(ReferenceCard,,1)=Table1[[#This Row],[SAP No]]) * (INDEX(ReferenceCard,,2)=Table1[[#This Row],[Mould No]]), 0), 9),)</f>
        <v>24</v>
      </c>
      <c r="K266" s="4" cm="1">
        <f t="array" ref="K266">IFERROR(INDEX(ReferenceCard, MATCH(1, (INDEX(ReferenceCard,,1)=Table1[[#This Row],[SAP No]]) * (INDEX(ReferenceCard,,2)=Table1[[#This Row],[Mould No]]), 0), 7),)</f>
        <v>24</v>
      </c>
      <c r="L266">
        <v>867</v>
      </c>
      <c r="M266">
        <v>0</v>
      </c>
      <c r="N266">
        <v>0</v>
      </c>
      <c r="O266">
        <v>0</v>
      </c>
      <c r="P266">
        <f>Table1[[#This Row],[Shot]]*Table1[[#This Row],[Cav]]</f>
        <v>3468</v>
      </c>
      <c r="Q266">
        <v>0</v>
      </c>
      <c r="R266">
        <f>(Table1[[#This Row],[Part Weight (gm)]]*Table1[[#This Row],[Finish Good]])/1000</f>
        <v>0</v>
      </c>
      <c r="S266">
        <v>0</v>
      </c>
      <c r="T266">
        <f>IF(Table1[[#This Row],[Qty Order]]="Sample","-",IF(Table1[[#This Row],[Qty Order]]="RTFN","-",Table1[[#This Row],[Qty Order]]-Table1[[#This Row],[Qty Accumulate]]))</f>
        <v>0</v>
      </c>
      <c r="U266">
        <f>((Table1[[#This Row],[Shift Output]]*Table1[[#This Row],[Part Weight (gm)]])/1000)+Table1[[#This Row],[Reject Startup (kg)]]+Table1[[#This Row],[Reject Purging (kg)]]+Table1[[#This Row],[Reject Preform (kg)]]</f>
        <v>83.231999999999999</v>
      </c>
      <c r="V266" s="37">
        <f>(Table1[[#This Row],[Gross Weight (gm)]]-Table1[[#This Row],[Part Weight (gm)]])*Table1[[#This Row],[Shift Output]]/1000</f>
        <v>0</v>
      </c>
      <c r="W266" s="3">
        <v>0</v>
      </c>
      <c r="X266" s="36">
        <f>Table1[[#This Row],[Reject Startup (kg)]]/Table1[[#This Row],[Material Used]]</f>
        <v>0</v>
      </c>
      <c r="Y266" s="3">
        <v>0</v>
      </c>
      <c r="Z266" s="36">
        <f>Table1[[#This Row],[Reject Prod (kg)]]/Table1[[#This Row],[Material Used]]</f>
        <v>0</v>
      </c>
      <c r="AA266" s="4">
        <v>33.679737091064403</v>
      </c>
      <c r="AB266" s="5">
        <v>12</v>
      </c>
      <c r="AC266" s="4" cm="1">
        <f t="array" ref="AC266">IFERROR(INDEX(ReferenceCard, MATCH(1, (INDEX(ReferenceCard,,1)=Table1[[#This Row],[SAP No]]) * (INDEX(ReferenceCard,,2)=Table1[[#This Row],[Mould No]]), 0), 9),)</f>
        <v>24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L266" s="2"/>
      <c r="AM266" s="2"/>
      <c r="AN266" s="3">
        <v>0</v>
      </c>
      <c r="AO266" s="3">
        <v>0</v>
      </c>
      <c r="AP26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7" spans="1:42" x14ac:dyDescent="0.35">
      <c r="A267" s="1">
        <v>46014</v>
      </c>
      <c r="B267">
        <v>2</v>
      </c>
      <c r="C267" t="s">
        <v>5</v>
      </c>
      <c r="D267" t="str" cm="1">
        <f t="array" ref="D267">IFERROR(INDEX(ReferenceCard, MATCH(1, (INDEX(ReferenceCard,,1)=Table1[[#This Row],[SAP No]]) * (INDEX(ReferenceCard,,2)=Table1[[#This Row],[Mould No]]), 0), 6),)</f>
        <v>PET</v>
      </c>
      <c r="E267">
        <v>543590</v>
      </c>
      <c r="F267">
        <v>0</v>
      </c>
      <c r="G267" t="str" cm="1">
        <f t="array" ref="G267">IFERROR(INDEX(ReferenceCard, MATCH(1, (INDEX(ReferenceCard,,1)=Table1[[#This Row],[SAP No]]) * (INDEX(ReferenceCard,,2)=Table1[[#This Row],[Mould No]]), 0), 3),)</f>
        <v>BC28-0130-R-R-AM</v>
      </c>
      <c r="H267">
        <v>0</v>
      </c>
      <c r="I267" cm="1">
        <f t="array" ref="I267">IFERROR(INDEX(ReferenceCard, MATCH(1, (INDEX(ReferenceCard,,1)=Table1[[#This Row],[SAP No]]) * (INDEX(ReferenceCard,,2)=Table1[[#This Row],[Mould No]]), 0), 4),)</f>
        <v>4</v>
      </c>
      <c r="J267" s="4" cm="1">
        <f t="array" ref="J267">IFERROR(INDEX(ReferenceCard, MATCH(1, (INDEX(ReferenceCard,,1)=Table1[[#This Row],[SAP No]]) * (INDEX(ReferenceCard,,2)=Table1[[#This Row],[Mould No]]), 0), 9),)</f>
        <v>19</v>
      </c>
      <c r="K267" s="4" cm="1">
        <f t="array" ref="K267">IFERROR(INDEX(ReferenceCard, MATCH(1, (INDEX(ReferenceCard,,1)=Table1[[#This Row],[SAP No]]) * (INDEX(ReferenceCard,,2)=Table1[[#This Row],[Mould No]]), 0), 7),)</f>
        <v>19</v>
      </c>
      <c r="L267">
        <v>0</v>
      </c>
      <c r="M267">
        <v>0</v>
      </c>
      <c r="N267">
        <v>0</v>
      </c>
      <c r="O267">
        <v>0</v>
      </c>
      <c r="P267">
        <f>Table1[[#This Row],[Shot]]*Table1[[#This Row],[Cav]]</f>
        <v>0</v>
      </c>
      <c r="Q267">
        <v>0</v>
      </c>
      <c r="R267">
        <f>(Table1[[#This Row],[Part Weight (gm)]]*Table1[[#This Row],[Finish Good]])/1000</f>
        <v>0</v>
      </c>
      <c r="S267">
        <v>0</v>
      </c>
      <c r="T267">
        <f>IF(Table1[[#This Row],[Qty Order]]="Sample","-",IF(Table1[[#This Row],[Qty Order]]="RTFN","-",Table1[[#This Row],[Qty Order]]-Table1[[#This Row],[Qty Accumulate]]))</f>
        <v>0</v>
      </c>
      <c r="U267">
        <f>((Table1[[#This Row],[Shift Output]]*Table1[[#This Row],[Part Weight (gm)]])/1000)+Table1[[#This Row],[Reject Startup (kg)]]+Table1[[#This Row],[Reject Purging (kg)]]+Table1[[#This Row],[Reject Preform (kg)]]</f>
        <v>0</v>
      </c>
      <c r="V267" s="37">
        <f>(Table1[[#This Row],[Gross Weight (gm)]]-Table1[[#This Row],[Part Weight (gm)]])*Table1[[#This Row],[Shift Output]]/1000</f>
        <v>0</v>
      </c>
      <c r="W267" s="3">
        <v>0</v>
      </c>
      <c r="X267" s="36" t="e">
        <f>Table1[[#This Row],[Reject Startup (kg)]]/Table1[[#This Row],[Material Used]]</f>
        <v>#DIV/0!</v>
      </c>
      <c r="Y267" s="3">
        <v>0</v>
      </c>
      <c r="Z267" s="36" t="e">
        <f>Table1[[#This Row],[Reject Prod (kg)]]/Table1[[#This Row],[Material Used]]</f>
        <v>#DIV/0!</v>
      </c>
      <c r="AA267" s="4">
        <v>0</v>
      </c>
      <c r="AB267" s="5">
        <v>0</v>
      </c>
      <c r="AC267" s="4" cm="1">
        <f t="array" ref="AC267">IFERROR(INDEX(ReferenceCard, MATCH(1, (INDEX(ReferenceCard,,1)=Table1[[#This Row],[SAP No]]) * (INDEX(ReferenceCard,,2)=Table1[[#This Row],[Mould No]]), 0), 9),)</f>
        <v>19</v>
      </c>
      <c r="AD267" s="5">
        <v>0</v>
      </c>
      <c r="AE267" s="5">
        <v>0</v>
      </c>
      <c r="AF267" s="5">
        <v>0</v>
      </c>
      <c r="AG267" s="5">
        <v>12</v>
      </c>
      <c r="AH267" s="5">
        <v>0</v>
      </c>
      <c r="AI267" s="5">
        <v>0</v>
      </c>
      <c r="AJ267" s="5">
        <v>0</v>
      </c>
      <c r="AK267" t="s">
        <v>68</v>
      </c>
      <c r="AL267" s="2"/>
      <c r="AM267" s="2"/>
      <c r="AN267" s="3">
        <v>0</v>
      </c>
      <c r="AO267" s="3">
        <v>0</v>
      </c>
      <c r="AP26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8" spans="1:42" x14ac:dyDescent="0.35">
      <c r="A268" s="1">
        <v>46014</v>
      </c>
      <c r="B268">
        <v>2</v>
      </c>
      <c r="C268" t="s">
        <v>7</v>
      </c>
      <c r="D268" t="str" cm="1">
        <f t="array" ref="D268">IFERROR(INDEX(ReferenceCard, MATCH(1, (INDEX(ReferenceCard,,1)=Table1[[#This Row],[SAP No]]) * (INDEX(ReferenceCard,,2)=Table1[[#This Row],[Mould No]]), 0), 6),)</f>
        <v>PET</v>
      </c>
      <c r="E268">
        <v>451191</v>
      </c>
      <c r="F268">
        <v>0</v>
      </c>
      <c r="G268" t="str" cm="1">
        <f t="array" ref="G268">IFERROR(INDEX(ReferenceCard, MATCH(1, (INDEX(ReferenceCard,,1)=Table1[[#This Row],[SAP No]]) * (INDEX(ReferenceCard,,2)=Table1[[#This Row],[Mould No]]), 0), 3),)</f>
        <v>BX38-0350-Z-C-CL</v>
      </c>
      <c r="H268">
        <v>0</v>
      </c>
      <c r="I268" cm="1">
        <f t="array" ref="I268">IFERROR(INDEX(ReferenceCard, MATCH(1, (INDEX(ReferenceCard,,1)=Table1[[#This Row],[SAP No]]) * (INDEX(ReferenceCard,,2)=Table1[[#This Row],[Mould No]]), 0), 4),)</f>
        <v>4</v>
      </c>
      <c r="J268" s="4" cm="1">
        <f t="array" ref="J268">IFERROR(INDEX(ReferenceCard, MATCH(1, (INDEX(ReferenceCard,,1)=Table1[[#This Row],[SAP No]]) * (INDEX(ReferenceCard,,2)=Table1[[#This Row],[Mould No]]), 0), 9),)</f>
        <v>29</v>
      </c>
      <c r="K268" s="4" cm="1">
        <f t="array" ref="K268">IFERROR(INDEX(ReferenceCard, MATCH(1, (INDEX(ReferenceCard,,1)=Table1[[#This Row],[SAP No]]) * (INDEX(ReferenceCard,,2)=Table1[[#This Row],[Mould No]]), 0), 7),)</f>
        <v>29</v>
      </c>
      <c r="L268">
        <v>2</v>
      </c>
      <c r="M268">
        <v>0</v>
      </c>
      <c r="N268">
        <v>0</v>
      </c>
      <c r="O268">
        <v>0</v>
      </c>
      <c r="P268">
        <f>Table1[[#This Row],[Shot]]*Table1[[#This Row],[Cav]]</f>
        <v>8</v>
      </c>
      <c r="Q268">
        <v>0</v>
      </c>
      <c r="R268">
        <f>(Table1[[#This Row],[Part Weight (gm)]]*Table1[[#This Row],[Finish Good]])/1000</f>
        <v>0</v>
      </c>
      <c r="S268">
        <v>0</v>
      </c>
      <c r="T268">
        <f>IF(Table1[[#This Row],[Qty Order]]="Sample","-",IF(Table1[[#This Row],[Qty Order]]="RTFN","-",Table1[[#This Row],[Qty Order]]-Table1[[#This Row],[Qty Accumulate]]))</f>
        <v>0</v>
      </c>
      <c r="U268">
        <f>((Table1[[#This Row],[Shift Output]]*Table1[[#This Row],[Part Weight (gm)]])/1000)+Table1[[#This Row],[Reject Startup (kg)]]+Table1[[#This Row],[Reject Purging (kg)]]+Table1[[#This Row],[Reject Preform (kg)]]</f>
        <v>0.23200000000000001</v>
      </c>
      <c r="V268" s="37">
        <f>(Table1[[#This Row],[Gross Weight (gm)]]-Table1[[#This Row],[Part Weight (gm)]])*Table1[[#This Row],[Shift Output]]/1000</f>
        <v>0</v>
      </c>
      <c r="W268" s="3">
        <v>0</v>
      </c>
      <c r="X268" s="36">
        <f>Table1[[#This Row],[Reject Startup (kg)]]/Table1[[#This Row],[Material Used]]</f>
        <v>0</v>
      </c>
      <c r="Y268" s="3">
        <v>0</v>
      </c>
      <c r="Z268" s="36">
        <f>Table1[[#This Row],[Reject Prod (kg)]]/Table1[[#This Row],[Material Used]]</f>
        <v>0</v>
      </c>
      <c r="AA268" s="4">
        <v>20.8902873992919</v>
      </c>
      <c r="AB268" s="5">
        <v>12</v>
      </c>
      <c r="AC268" s="4" cm="1">
        <f t="array" ref="AC268">IFERROR(INDEX(ReferenceCard, MATCH(1, (INDEX(ReferenceCard,,1)=Table1[[#This Row],[SAP No]]) * (INDEX(ReferenceCard,,2)=Table1[[#This Row],[Mould No]]), 0), 9),)</f>
        <v>29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L268" s="2"/>
      <c r="AM268" s="2"/>
      <c r="AN268" s="3">
        <v>0</v>
      </c>
      <c r="AO268" s="3">
        <v>0</v>
      </c>
      <c r="AP26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69" spans="1:42" x14ac:dyDescent="0.35">
      <c r="A269" s="1">
        <v>46014</v>
      </c>
      <c r="B269">
        <v>2</v>
      </c>
      <c r="C269" t="s">
        <v>9</v>
      </c>
      <c r="D269" t="str" cm="1">
        <f t="array" ref="D269">IFERROR(INDEX(ReferenceCard, MATCH(1, (INDEX(ReferenceCard,,1)=Table1[[#This Row],[SAP No]]) * (INDEX(ReferenceCard,,2)=Table1[[#This Row],[Mould No]]), 0), 6),)</f>
        <v>PET</v>
      </c>
      <c r="E269">
        <v>322451</v>
      </c>
      <c r="F269">
        <v>0</v>
      </c>
      <c r="G269" t="str" cm="1">
        <f t="array" ref="G269">IFERROR(INDEX(ReferenceCard, MATCH(1, (INDEX(ReferenceCard,,1)=Table1[[#This Row],[SAP No]]) * (INDEX(ReferenceCard,,2)=Table1[[#This Row],[Mould No]]), 0), 3),)</f>
        <v>BC28-0500-WNHP-R-BR</v>
      </c>
      <c r="H269">
        <v>0</v>
      </c>
      <c r="I269" cm="1">
        <f t="array" ref="I269">IFERROR(INDEX(ReferenceCard, MATCH(1, (INDEX(ReferenceCard,,1)=Table1[[#This Row],[SAP No]]) * (INDEX(ReferenceCard,,2)=Table1[[#This Row],[Mould No]]), 0), 4),)</f>
        <v>4</v>
      </c>
      <c r="J269" s="4" cm="1">
        <f t="array" ref="J269">IFERROR(INDEX(ReferenceCard, MATCH(1, (INDEX(ReferenceCard,,1)=Table1[[#This Row],[SAP No]]) * (INDEX(ReferenceCard,,2)=Table1[[#This Row],[Mould No]]), 0), 9),)</f>
        <v>45.6</v>
      </c>
      <c r="K269" s="4" cm="1">
        <f t="array" ref="K269">IFERROR(INDEX(ReferenceCard, MATCH(1, (INDEX(ReferenceCard,,1)=Table1[[#This Row],[SAP No]]) * (INDEX(ReferenceCard,,2)=Table1[[#This Row],[Mould No]]), 0), 7),)</f>
        <v>45.6</v>
      </c>
      <c r="L269">
        <v>1</v>
      </c>
      <c r="M269">
        <v>0</v>
      </c>
      <c r="N269">
        <v>0</v>
      </c>
      <c r="O269">
        <v>0</v>
      </c>
      <c r="P269">
        <f>Table1[[#This Row],[Shot]]*Table1[[#This Row],[Cav]]</f>
        <v>4</v>
      </c>
      <c r="Q269">
        <v>0</v>
      </c>
      <c r="R269">
        <f>(Table1[[#This Row],[Part Weight (gm)]]*Table1[[#This Row],[Finish Good]])/1000</f>
        <v>0</v>
      </c>
      <c r="S269">
        <v>0</v>
      </c>
      <c r="T269">
        <f>IF(Table1[[#This Row],[Qty Order]]="Sample","-",IF(Table1[[#This Row],[Qty Order]]="RTFN","-",Table1[[#This Row],[Qty Order]]-Table1[[#This Row],[Qty Accumulate]]))</f>
        <v>0</v>
      </c>
      <c r="U269">
        <f>((Table1[[#This Row],[Shift Output]]*Table1[[#This Row],[Part Weight (gm)]])/1000)+Table1[[#This Row],[Reject Startup (kg)]]+Table1[[#This Row],[Reject Purging (kg)]]+Table1[[#This Row],[Reject Preform (kg)]]</f>
        <v>0.18240000000000001</v>
      </c>
      <c r="V269" s="37">
        <f>(Table1[[#This Row],[Gross Weight (gm)]]-Table1[[#This Row],[Part Weight (gm)]])*Table1[[#This Row],[Shift Output]]/1000</f>
        <v>0</v>
      </c>
      <c r="W269" s="3">
        <v>0</v>
      </c>
      <c r="X269" s="36">
        <f>Table1[[#This Row],[Reject Startup (kg)]]/Table1[[#This Row],[Material Used]]</f>
        <v>0</v>
      </c>
      <c r="Y269" s="3">
        <v>0</v>
      </c>
      <c r="Z269" s="36">
        <f>Table1[[#This Row],[Reject Prod (kg)]]/Table1[[#This Row],[Material Used]]</f>
        <v>0</v>
      </c>
      <c r="AA269" s="4">
        <v>41.520759582519503</v>
      </c>
      <c r="AB269" s="5">
        <v>12</v>
      </c>
      <c r="AC269" s="4" cm="1">
        <f t="array" ref="AC269">IFERROR(INDEX(ReferenceCard, MATCH(1, (INDEX(ReferenceCard,,1)=Table1[[#This Row],[SAP No]]) * (INDEX(ReferenceCard,,2)=Table1[[#This Row],[Mould No]]), 0), 9),)</f>
        <v>45.6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L269" s="2"/>
      <c r="AM269" s="2"/>
      <c r="AN269" s="3">
        <v>0</v>
      </c>
      <c r="AO269" s="3">
        <v>0</v>
      </c>
      <c r="AP26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0" spans="1:42" x14ac:dyDescent="0.35">
      <c r="A270" s="1">
        <v>46014</v>
      </c>
      <c r="B270">
        <v>2</v>
      </c>
      <c r="C270" t="s">
        <v>11</v>
      </c>
      <c r="D270" t="str" cm="1">
        <f t="array" ref="D270">IFERROR(INDEX(ReferenceCard, MATCH(1, (INDEX(ReferenceCard,,1)=Table1[[#This Row],[SAP No]]) * (INDEX(ReferenceCard,,2)=Table1[[#This Row],[Mould No]]), 0), 6),)</f>
        <v>rPET</v>
      </c>
      <c r="E270">
        <v>620994</v>
      </c>
      <c r="F270">
        <v>0</v>
      </c>
      <c r="G270" t="str" cm="1">
        <f t="array" ref="G270">IFERROR(INDEX(ReferenceCard, MATCH(1, (INDEX(ReferenceCard,,1)=Table1[[#This Row],[SAP No]]) * (INDEX(ReferenceCard,,2)=Table1[[#This Row],[Mould No]]), 0), 3),)</f>
        <v>JJ63-0400-SH-S-CL-rPET</v>
      </c>
      <c r="H270">
        <v>0</v>
      </c>
      <c r="I270" cm="1">
        <f t="array" ref="I270">IFERROR(INDEX(ReferenceCard, MATCH(1, (INDEX(ReferenceCard,,1)=Table1[[#This Row],[SAP No]]) * (INDEX(ReferenceCard,,2)=Table1[[#This Row],[Mould No]]), 0), 4),)</f>
        <v>4</v>
      </c>
      <c r="J270" s="4" cm="1">
        <f t="array" ref="J270">IFERROR(INDEX(ReferenceCard, MATCH(1, (INDEX(ReferenceCard,,1)=Table1[[#This Row],[SAP No]]) * (INDEX(ReferenceCard,,2)=Table1[[#This Row],[Mould No]]), 0), 9),)</f>
        <v>32.74</v>
      </c>
      <c r="K270" s="4" cm="1">
        <f t="array" ref="K270">IFERROR(INDEX(ReferenceCard, MATCH(1, (INDEX(ReferenceCard,,1)=Table1[[#This Row],[SAP No]]) * (INDEX(ReferenceCard,,2)=Table1[[#This Row],[Mould No]]), 0), 7),)</f>
        <v>33</v>
      </c>
      <c r="L270">
        <v>1260</v>
      </c>
      <c r="M270">
        <v>0</v>
      </c>
      <c r="N270">
        <v>0</v>
      </c>
      <c r="O270">
        <v>0</v>
      </c>
      <c r="P270">
        <f>Table1[[#This Row],[Shot]]*Table1[[#This Row],[Cav]]</f>
        <v>5040</v>
      </c>
      <c r="Q270">
        <v>0</v>
      </c>
      <c r="R270">
        <f>(Table1[[#This Row],[Part Weight (gm)]]*Table1[[#This Row],[Finish Good]])/1000</f>
        <v>0</v>
      </c>
      <c r="S270">
        <v>0</v>
      </c>
      <c r="T270">
        <f>IF(Table1[[#This Row],[Qty Order]]="Sample","-",IF(Table1[[#This Row],[Qty Order]]="RTFN","-",Table1[[#This Row],[Qty Order]]-Table1[[#This Row],[Qty Accumulate]]))</f>
        <v>0</v>
      </c>
      <c r="U270">
        <f>((Table1[[#This Row],[Shift Output]]*Table1[[#This Row],[Part Weight (gm)]])/1000)+Table1[[#This Row],[Reject Startup (kg)]]+Table1[[#This Row],[Reject Purging (kg)]]+Table1[[#This Row],[Reject Preform (kg)]]</f>
        <v>166.32</v>
      </c>
      <c r="V270" s="37">
        <f>(Table1[[#This Row],[Gross Weight (gm)]]-Table1[[#This Row],[Part Weight (gm)]])*Table1[[#This Row],[Shift Output]]/1000</f>
        <v>-1.31039999999999</v>
      </c>
      <c r="W270" s="3">
        <v>0</v>
      </c>
      <c r="X270" s="36">
        <f>Table1[[#This Row],[Reject Startup (kg)]]/Table1[[#This Row],[Material Used]]</f>
        <v>0</v>
      </c>
      <c r="Y270" s="3">
        <v>0</v>
      </c>
      <c r="Z270" s="36">
        <f>Table1[[#This Row],[Reject Prod (kg)]]/Table1[[#This Row],[Material Used]]</f>
        <v>0</v>
      </c>
      <c r="AA270" s="4">
        <v>22.5729866027832</v>
      </c>
      <c r="AB270" s="5">
        <v>12</v>
      </c>
      <c r="AC270" s="4" cm="1">
        <f t="array" ref="AC270">IFERROR(INDEX(ReferenceCard, MATCH(1, (INDEX(ReferenceCard,,1)=Table1[[#This Row],[SAP No]]) * (INDEX(ReferenceCard,,2)=Table1[[#This Row],[Mould No]]), 0), 9),)</f>
        <v>32.74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L270" s="2"/>
      <c r="AM270" s="2"/>
      <c r="AN270" s="3">
        <v>0</v>
      </c>
      <c r="AO270" s="3">
        <v>0</v>
      </c>
      <c r="AP27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1" spans="1:42" x14ac:dyDescent="0.35">
      <c r="A271" s="1">
        <v>46014</v>
      </c>
      <c r="B271">
        <v>2</v>
      </c>
      <c r="C271" t="s">
        <v>14</v>
      </c>
      <c r="D271" t="str" cm="1">
        <f t="array" ref="D271">IFERROR(INDEX(ReferenceCard, MATCH(1, (INDEX(ReferenceCard,,1)=Table1[[#This Row],[SAP No]]) * (INDEX(ReferenceCard,,2)=Table1[[#This Row],[Mould No]]), 0), 6),)</f>
        <v>PET</v>
      </c>
      <c r="E271">
        <v>322444</v>
      </c>
      <c r="F271">
        <v>0</v>
      </c>
      <c r="G271" t="str" cm="1">
        <f t="array" ref="G271">IFERROR(INDEX(ReferenceCard, MATCH(1, (INDEX(ReferenceCard,,1)=Table1[[#This Row],[SAP No]]) * (INDEX(ReferenceCard,,2)=Table1[[#This Row],[Mould No]]), 0), 3),)</f>
        <v>JJ63-0400-RH-R-CL</v>
      </c>
      <c r="H271">
        <v>0</v>
      </c>
      <c r="I271" cm="1">
        <f t="array" ref="I271">IFERROR(INDEX(ReferenceCard, MATCH(1, (INDEX(ReferenceCard,,1)=Table1[[#This Row],[SAP No]]) * (INDEX(ReferenceCard,,2)=Table1[[#This Row],[Mould No]]), 0), 4),)</f>
        <v>4</v>
      </c>
      <c r="J271" s="4" cm="1">
        <f t="array" ref="J271">IFERROR(INDEX(ReferenceCard, MATCH(1, (INDEX(ReferenceCard,,1)=Table1[[#This Row],[SAP No]]) * (INDEX(ReferenceCard,,2)=Table1[[#This Row],[Mould No]]), 0), 9),)</f>
        <v>32.74</v>
      </c>
      <c r="K271" s="4" cm="1">
        <f t="array" ref="K271">IFERROR(INDEX(ReferenceCard, MATCH(1, (INDEX(ReferenceCard,,1)=Table1[[#This Row],[SAP No]]) * (INDEX(ReferenceCard,,2)=Table1[[#This Row],[Mould No]]), 0), 7),)</f>
        <v>34.5</v>
      </c>
      <c r="L271">
        <v>1343</v>
      </c>
      <c r="M271">
        <v>0</v>
      </c>
      <c r="N271">
        <v>0</v>
      </c>
      <c r="O271">
        <v>0</v>
      </c>
      <c r="P271">
        <f>Table1[[#This Row],[Shot]]*Table1[[#This Row],[Cav]]</f>
        <v>5372</v>
      </c>
      <c r="Q271">
        <v>0</v>
      </c>
      <c r="R271">
        <f>(Table1[[#This Row],[Part Weight (gm)]]*Table1[[#This Row],[Finish Good]])/1000</f>
        <v>0</v>
      </c>
      <c r="S271">
        <v>0</v>
      </c>
      <c r="T271">
        <f>IF(Table1[[#This Row],[Qty Order]]="Sample","-",IF(Table1[[#This Row],[Qty Order]]="RTFN","-",Table1[[#This Row],[Qty Order]]-Table1[[#This Row],[Qty Accumulate]]))</f>
        <v>0</v>
      </c>
      <c r="U271">
        <f>((Table1[[#This Row],[Shift Output]]*Table1[[#This Row],[Part Weight (gm)]])/1000)+Table1[[#This Row],[Reject Startup (kg)]]+Table1[[#This Row],[Reject Purging (kg)]]+Table1[[#This Row],[Reject Preform (kg)]]</f>
        <v>185.334</v>
      </c>
      <c r="V271" s="37">
        <f>(Table1[[#This Row],[Gross Weight (gm)]]-Table1[[#This Row],[Part Weight (gm)]])*Table1[[#This Row],[Shift Output]]/1000</f>
        <v>-9.4547199999999876</v>
      </c>
      <c r="W271" s="3">
        <v>0</v>
      </c>
      <c r="X271" s="36">
        <f>Table1[[#This Row],[Reject Startup (kg)]]/Table1[[#This Row],[Material Used]]</f>
        <v>0</v>
      </c>
      <c r="Y271" s="3">
        <v>0</v>
      </c>
      <c r="Z271" s="36">
        <f>Table1[[#This Row],[Reject Prod (kg)]]/Table1[[#This Row],[Material Used]]</f>
        <v>0</v>
      </c>
      <c r="AA271" s="4">
        <v>21.736083984375</v>
      </c>
      <c r="AB271" s="5">
        <v>12</v>
      </c>
      <c r="AC271" s="4" cm="1">
        <f t="array" ref="AC271">IFERROR(INDEX(ReferenceCard, MATCH(1, (INDEX(ReferenceCard,,1)=Table1[[#This Row],[SAP No]]) * (INDEX(ReferenceCard,,2)=Table1[[#This Row],[Mould No]]), 0), 9),)</f>
        <v>32.74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L271" s="2"/>
      <c r="AM271" s="2"/>
      <c r="AN271" s="3">
        <v>0</v>
      </c>
      <c r="AO271" s="3">
        <v>0</v>
      </c>
      <c r="AP27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2" spans="1:42" x14ac:dyDescent="0.35">
      <c r="A272" s="1">
        <v>46014</v>
      </c>
      <c r="B272">
        <v>2</v>
      </c>
      <c r="C272" t="s">
        <v>16</v>
      </c>
      <c r="D272" t="str" cm="1">
        <f t="array" ref="D272">IFERROR(INDEX(ReferenceCard, MATCH(1, (INDEX(ReferenceCard,,1)=Table1[[#This Row],[SAP No]]) * (INDEX(ReferenceCard,,2)=Table1[[#This Row],[Mould No]]), 0), 6),)</f>
        <v>PET</v>
      </c>
      <c r="E272">
        <v>324206</v>
      </c>
      <c r="F272">
        <v>0</v>
      </c>
      <c r="G272" t="str" cm="1">
        <f t="array" ref="G272">IFERROR(INDEX(ReferenceCard, MATCH(1, (INDEX(ReferenceCard,,1)=Table1[[#This Row],[SAP No]]) * (INDEX(ReferenceCard,,2)=Table1[[#This Row],[Mould No]]), 0), 3),)</f>
        <v>BX38-1000-HC-S-CL</v>
      </c>
      <c r="H272">
        <v>0</v>
      </c>
      <c r="I272" cm="1">
        <f t="array" ref="I272">IFERROR(INDEX(ReferenceCard, MATCH(1, (INDEX(ReferenceCard,,1)=Table1[[#This Row],[SAP No]]) * (INDEX(ReferenceCard,,2)=Table1[[#This Row],[Mould No]]), 0), 4),)</f>
        <v>4</v>
      </c>
      <c r="J272" s="4" cm="1">
        <f t="array" ref="J272">IFERROR(INDEX(ReferenceCard, MATCH(1, (INDEX(ReferenceCard,,1)=Table1[[#This Row],[SAP No]]) * (INDEX(ReferenceCard,,2)=Table1[[#This Row],[Mould No]]), 0), 9),)</f>
        <v>49</v>
      </c>
      <c r="K272" s="4" cm="1">
        <f t="array" ref="K272">IFERROR(INDEX(ReferenceCard, MATCH(1, (INDEX(ReferenceCard,,1)=Table1[[#This Row],[SAP No]]) * (INDEX(ReferenceCard,,2)=Table1[[#This Row],[Mould No]]), 0), 7),)</f>
        <v>48</v>
      </c>
      <c r="L272">
        <v>0</v>
      </c>
      <c r="M272">
        <v>0</v>
      </c>
      <c r="N272">
        <v>0</v>
      </c>
      <c r="O272">
        <v>0</v>
      </c>
      <c r="P272">
        <f>Table1[[#This Row],[Shot]]*Table1[[#This Row],[Cav]]</f>
        <v>0</v>
      </c>
      <c r="Q272">
        <v>0</v>
      </c>
      <c r="R272">
        <f>(Table1[[#This Row],[Part Weight (gm)]]*Table1[[#This Row],[Finish Good]])/1000</f>
        <v>0</v>
      </c>
      <c r="S272">
        <v>0</v>
      </c>
      <c r="T272">
        <f>IF(Table1[[#This Row],[Qty Order]]="Sample","-",IF(Table1[[#This Row],[Qty Order]]="RTFN","-",Table1[[#This Row],[Qty Order]]-Table1[[#This Row],[Qty Accumulate]]))</f>
        <v>0</v>
      </c>
      <c r="U272">
        <f>((Table1[[#This Row],[Shift Output]]*Table1[[#This Row],[Part Weight (gm)]])/1000)+Table1[[#This Row],[Reject Startup (kg)]]+Table1[[#This Row],[Reject Purging (kg)]]+Table1[[#This Row],[Reject Preform (kg)]]</f>
        <v>0</v>
      </c>
      <c r="V272" s="37">
        <f>(Table1[[#This Row],[Gross Weight (gm)]]-Table1[[#This Row],[Part Weight (gm)]])*Table1[[#This Row],[Shift Output]]/1000</f>
        <v>0</v>
      </c>
      <c r="W272" s="3">
        <v>0</v>
      </c>
      <c r="X272" s="36" t="e">
        <f>Table1[[#This Row],[Reject Startup (kg)]]/Table1[[#This Row],[Material Used]]</f>
        <v>#DIV/0!</v>
      </c>
      <c r="Y272" s="3">
        <v>0</v>
      </c>
      <c r="Z272" s="36" t="e">
        <f>Table1[[#This Row],[Reject Prod (kg)]]/Table1[[#This Row],[Material Used]]</f>
        <v>#DIV/0!</v>
      </c>
      <c r="AA272" s="4">
        <v>0</v>
      </c>
      <c r="AB272" s="5">
        <v>0</v>
      </c>
      <c r="AC272" s="4" cm="1">
        <f t="array" ref="AC272">IFERROR(INDEX(ReferenceCard, MATCH(1, (INDEX(ReferenceCard,,1)=Table1[[#This Row],[SAP No]]) * (INDEX(ReferenceCard,,2)=Table1[[#This Row],[Mould No]]), 0), 9),)</f>
        <v>49</v>
      </c>
      <c r="AD272" s="5">
        <v>0</v>
      </c>
      <c r="AE272" s="5">
        <v>0</v>
      </c>
      <c r="AF272" s="5">
        <v>0</v>
      </c>
      <c r="AG272" s="5">
        <v>12</v>
      </c>
      <c r="AH272" s="5">
        <v>0</v>
      </c>
      <c r="AI272" s="5">
        <v>0</v>
      </c>
      <c r="AJ272" s="5">
        <v>0</v>
      </c>
      <c r="AL272" s="2"/>
      <c r="AM272" s="2"/>
      <c r="AN272" s="3">
        <v>0</v>
      </c>
      <c r="AO272" s="3">
        <v>0</v>
      </c>
      <c r="AP27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3" spans="1:42" x14ac:dyDescent="0.35">
      <c r="A273" s="1">
        <v>46014</v>
      </c>
      <c r="B273">
        <v>2</v>
      </c>
      <c r="C273" t="s">
        <v>23</v>
      </c>
      <c r="D273" t="str" cm="1">
        <f t="array" ref="D273">IFERROR(INDEX(ReferenceCard, MATCH(1, (INDEX(ReferenceCard,,1)=Table1[[#This Row],[SAP No]]) * (INDEX(ReferenceCard,,2)=Table1[[#This Row],[Mould No]]), 0), 6),)</f>
        <v>PPSB520Y</v>
      </c>
      <c r="E273">
        <v>586276</v>
      </c>
      <c r="F273">
        <v>2</v>
      </c>
      <c r="G273" t="str" cm="1">
        <f t="array" ref="G273">IFERROR(INDEX(ReferenceCard, MATCH(1, (INDEX(ReferenceCard,,1)=Table1[[#This Row],[SAP No]]) * (INDEX(ReferenceCard,,2)=Table1[[#This Row],[Mould No]]), 0), 3),)</f>
        <v>BC28-0056-D-APH-LEB-604001-MOLD2</v>
      </c>
      <c r="H273">
        <v>0</v>
      </c>
      <c r="I273" cm="1">
        <f t="array" ref="I273">IFERROR(INDEX(ReferenceCard, MATCH(1, (INDEX(ReferenceCard,,1)=Table1[[#This Row],[SAP No]]) * (INDEX(ReferenceCard,,2)=Table1[[#This Row],[Mould No]]), 0), 4),)</f>
        <v>6</v>
      </c>
      <c r="J273" s="4" cm="1">
        <f t="array" ref="J273">IFERROR(INDEX(ReferenceCard, MATCH(1, (INDEX(ReferenceCard,,1)=Table1[[#This Row],[SAP No]]) * (INDEX(ReferenceCard,,2)=Table1[[#This Row],[Mould No]]), 0), 9),)</f>
        <v>12.3</v>
      </c>
      <c r="K273" s="4" cm="1">
        <f t="array" ref="K273">IFERROR(INDEX(ReferenceCard, MATCH(1, (INDEX(ReferenceCard,,1)=Table1[[#This Row],[SAP No]]) * (INDEX(ReferenceCard,,2)=Table1[[#This Row],[Mould No]]), 0), 7),)</f>
        <v>12.3</v>
      </c>
      <c r="L273">
        <v>1134</v>
      </c>
      <c r="M273">
        <v>0</v>
      </c>
      <c r="N273">
        <v>0</v>
      </c>
      <c r="O273">
        <v>0</v>
      </c>
      <c r="P273">
        <f>Table1[[#This Row],[Shot]]*Table1[[#This Row],[Cav]]</f>
        <v>6804</v>
      </c>
      <c r="Q273">
        <v>0</v>
      </c>
      <c r="R273">
        <f>(Table1[[#This Row],[Part Weight (gm)]]*Table1[[#This Row],[Finish Good]])/1000</f>
        <v>0</v>
      </c>
      <c r="S273">
        <v>0</v>
      </c>
      <c r="T273">
        <f>IF(Table1[[#This Row],[Qty Order]]="Sample","-",IF(Table1[[#This Row],[Qty Order]]="RTFN","-",Table1[[#This Row],[Qty Order]]-Table1[[#This Row],[Qty Accumulate]]))</f>
        <v>0</v>
      </c>
      <c r="U273">
        <f>((Table1[[#This Row],[Shift Output]]*Table1[[#This Row],[Part Weight (gm)]])/1000)+Table1[[#This Row],[Reject Startup (kg)]]+Table1[[#This Row],[Reject Purging (kg)]]+Table1[[#This Row],[Reject Preform (kg)]]</f>
        <v>83.689200000000014</v>
      </c>
      <c r="V273" s="37">
        <f>(Table1[[#This Row],[Gross Weight (gm)]]-Table1[[#This Row],[Part Weight (gm)]])*Table1[[#This Row],[Shift Output]]/1000</f>
        <v>0</v>
      </c>
      <c r="W273" s="3">
        <v>0</v>
      </c>
      <c r="X273" s="36">
        <f>Table1[[#This Row],[Reject Startup (kg)]]/Table1[[#This Row],[Material Used]]</f>
        <v>0</v>
      </c>
      <c r="Y273" s="3">
        <v>0</v>
      </c>
      <c r="Z273" s="36">
        <f>Table1[[#This Row],[Reject Prod (kg)]]/Table1[[#This Row],[Material Used]]</f>
        <v>0</v>
      </c>
      <c r="AA273" s="4">
        <v>25.753185272216701</v>
      </c>
      <c r="AB273" s="5">
        <v>12</v>
      </c>
      <c r="AC273" s="4" cm="1">
        <f t="array" ref="AC273">IFERROR(INDEX(ReferenceCard, MATCH(1, (INDEX(ReferenceCard,,1)=Table1[[#This Row],[SAP No]]) * (INDEX(ReferenceCard,,2)=Table1[[#This Row],[Mould No]]), 0), 9),)</f>
        <v>12.3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L273" s="2"/>
      <c r="AM273" s="2"/>
      <c r="AN273" s="3">
        <v>0</v>
      </c>
      <c r="AO273" s="3">
        <v>0</v>
      </c>
      <c r="AP27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4" spans="1:42" x14ac:dyDescent="0.35">
      <c r="A274" s="1">
        <v>46014</v>
      </c>
      <c r="B274">
        <v>2</v>
      </c>
      <c r="C274" t="s">
        <v>25</v>
      </c>
      <c r="D274" t="str" cm="1">
        <f t="array" ref="D274">IFERROR(INDEX(ReferenceCard, MATCH(1, (INDEX(ReferenceCard,,1)=Table1[[#This Row],[SAP No]]) * (INDEX(ReferenceCard,,2)=Table1[[#This Row],[Mould No]]), 0), 6),)</f>
        <v>PET</v>
      </c>
      <c r="E274">
        <v>323133</v>
      </c>
      <c r="F274">
        <v>0</v>
      </c>
      <c r="G274" t="str" cm="1">
        <f t="array" ref="G274">IFERROR(INDEX(ReferenceCard, MATCH(1, (INDEX(ReferenceCard,,1)=Table1[[#This Row],[SAP No]]) * (INDEX(ReferenceCard,,2)=Table1[[#This Row],[Mould No]]), 0), 3),)</f>
        <v>BX38-2000-RH-R-CL(GREEN) (ASEM)</v>
      </c>
      <c r="H274">
        <v>0</v>
      </c>
      <c r="I274" cm="1">
        <f t="array" ref="I274">IFERROR(INDEX(ReferenceCard, MATCH(1, (INDEX(ReferenceCard,,1)=Table1[[#This Row],[SAP No]]) * (INDEX(ReferenceCard,,2)=Table1[[#This Row],[Mould No]]), 0), 4),)</f>
        <v>4</v>
      </c>
      <c r="J274" s="4" cm="1">
        <f t="array" ref="J274">IFERROR(INDEX(ReferenceCard, MATCH(1, (INDEX(ReferenceCard,,1)=Table1[[#This Row],[SAP No]]) * (INDEX(ReferenceCard,,2)=Table1[[#This Row],[Mould No]]), 0), 9),)</f>
        <v>77</v>
      </c>
      <c r="K274" s="4" cm="1">
        <f t="array" ref="K274">IFERROR(INDEX(ReferenceCard, MATCH(1, (INDEX(ReferenceCard,,1)=Table1[[#This Row],[SAP No]]) * (INDEX(ReferenceCard,,2)=Table1[[#This Row],[Mould No]]), 0), 7),)</f>
        <v>77</v>
      </c>
      <c r="L274">
        <v>28</v>
      </c>
      <c r="M274">
        <v>0</v>
      </c>
      <c r="N274">
        <v>0</v>
      </c>
      <c r="O274">
        <v>0</v>
      </c>
      <c r="P274">
        <f>Table1[[#This Row],[Shot]]*Table1[[#This Row],[Cav]]</f>
        <v>112</v>
      </c>
      <c r="Q274">
        <v>0</v>
      </c>
      <c r="R274">
        <f>(Table1[[#This Row],[Part Weight (gm)]]*Table1[[#This Row],[Finish Good]])/1000</f>
        <v>0</v>
      </c>
      <c r="S274">
        <v>0</v>
      </c>
      <c r="T274">
        <f>IF(Table1[[#This Row],[Qty Order]]="Sample","-",IF(Table1[[#This Row],[Qty Order]]="RTFN","-",Table1[[#This Row],[Qty Order]]-Table1[[#This Row],[Qty Accumulate]]))</f>
        <v>0</v>
      </c>
      <c r="U274">
        <f>((Table1[[#This Row],[Shift Output]]*Table1[[#This Row],[Part Weight (gm)]])/1000)+Table1[[#This Row],[Reject Startup (kg)]]+Table1[[#This Row],[Reject Purging (kg)]]+Table1[[#This Row],[Reject Preform (kg)]]</f>
        <v>8.6240000000000006</v>
      </c>
      <c r="V274" s="37">
        <f>(Table1[[#This Row],[Gross Weight (gm)]]-Table1[[#This Row],[Part Weight (gm)]])*Table1[[#This Row],[Shift Output]]/1000</f>
        <v>0</v>
      </c>
      <c r="W274" s="3">
        <v>0</v>
      </c>
      <c r="X274" s="36">
        <f>Table1[[#This Row],[Reject Startup (kg)]]/Table1[[#This Row],[Material Used]]</f>
        <v>0</v>
      </c>
      <c r="Y274" s="3">
        <v>0</v>
      </c>
      <c r="Z274" s="36">
        <f>Table1[[#This Row],[Reject Prod (kg)]]/Table1[[#This Row],[Material Used]]</f>
        <v>0</v>
      </c>
      <c r="AA274" s="4">
        <v>0</v>
      </c>
      <c r="AB274" s="5">
        <v>0</v>
      </c>
      <c r="AC274" s="4" cm="1">
        <f t="array" ref="AC274">IFERROR(INDEX(ReferenceCard, MATCH(1, (INDEX(ReferenceCard,,1)=Table1[[#This Row],[SAP No]]) * (INDEX(ReferenceCard,,2)=Table1[[#This Row],[Mould No]]), 0), 9),)</f>
        <v>77</v>
      </c>
      <c r="AD274" s="5">
        <v>0</v>
      </c>
      <c r="AE274" s="5">
        <v>0</v>
      </c>
      <c r="AF274" s="5">
        <v>0</v>
      </c>
      <c r="AG274" s="5">
        <v>12</v>
      </c>
      <c r="AH274" s="5">
        <v>0</v>
      </c>
      <c r="AI274" s="5">
        <v>0</v>
      </c>
      <c r="AJ274" s="5">
        <v>0</v>
      </c>
      <c r="AK274" t="s">
        <v>48</v>
      </c>
      <c r="AL274" s="2"/>
      <c r="AM274" s="2"/>
      <c r="AN274" s="3">
        <v>0</v>
      </c>
      <c r="AO274" s="3">
        <v>0</v>
      </c>
      <c r="AP27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5" spans="1:42" x14ac:dyDescent="0.35">
      <c r="A275" s="1">
        <v>46014</v>
      </c>
      <c r="B275">
        <v>2</v>
      </c>
      <c r="C275" t="s">
        <v>27</v>
      </c>
      <c r="D275" t="str" cm="1">
        <f t="array" ref="D275">IFERROR(INDEX(ReferenceCard, MATCH(1, (INDEX(ReferenceCard,,1)=Table1[[#This Row],[SAP No]]) * (INDEX(ReferenceCard,,2)=Table1[[#This Row],[Mould No]]), 0), 6),)</f>
        <v>PPSB520Y</v>
      </c>
      <c r="E275">
        <v>552181</v>
      </c>
      <c r="F275">
        <v>4</v>
      </c>
      <c r="G275" t="str" cm="1">
        <f t="array" ref="G275">IFERROR(INDEX(ReferenceCard, MATCH(1, (INDEX(ReferenceCard,,1)=Table1[[#This Row],[SAP No]]) * (INDEX(ReferenceCard,,2)=Table1[[#This Row],[Mould No]]), 0), 3),)</f>
        <v>BC28-0090-D-APH-5180-3538-PP-6 NOTCHES-MOLD4</v>
      </c>
      <c r="H275">
        <v>0</v>
      </c>
      <c r="I275" cm="1">
        <f t="array" ref="I275">IFERROR(INDEX(ReferenceCard, MATCH(1, (INDEX(ReferenceCard,,1)=Table1[[#This Row],[SAP No]]) * (INDEX(ReferenceCard,,2)=Table1[[#This Row],[Mould No]]), 0), 4),)</f>
        <v>6</v>
      </c>
      <c r="J275" s="4" cm="1">
        <f t="array" ref="J275">IFERROR(INDEX(ReferenceCard, MATCH(1, (INDEX(ReferenceCard,,1)=Table1[[#This Row],[SAP No]]) * (INDEX(ReferenceCard,,2)=Table1[[#This Row],[Mould No]]), 0), 9),)</f>
        <v>18.8</v>
      </c>
      <c r="K275" s="4" cm="1">
        <f t="array" ref="K275">IFERROR(INDEX(ReferenceCard, MATCH(1, (INDEX(ReferenceCard,,1)=Table1[[#This Row],[SAP No]]) * (INDEX(ReferenceCard,,2)=Table1[[#This Row],[Mould No]]), 0), 7),)</f>
        <v>18.8</v>
      </c>
      <c r="L275">
        <v>987</v>
      </c>
      <c r="M275">
        <v>0</v>
      </c>
      <c r="N275">
        <v>0</v>
      </c>
      <c r="O275">
        <v>0</v>
      </c>
      <c r="P275">
        <f>Table1[[#This Row],[Shot]]*Table1[[#This Row],[Cav]]</f>
        <v>5922</v>
      </c>
      <c r="Q275">
        <v>0</v>
      </c>
      <c r="R275">
        <f>(Table1[[#This Row],[Part Weight (gm)]]*Table1[[#This Row],[Finish Good]])/1000</f>
        <v>0</v>
      </c>
      <c r="S275">
        <v>0</v>
      </c>
      <c r="T275">
        <f>IF(Table1[[#This Row],[Qty Order]]="Sample","-",IF(Table1[[#This Row],[Qty Order]]="RTFN","-",Table1[[#This Row],[Qty Order]]-Table1[[#This Row],[Qty Accumulate]]))</f>
        <v>0</v>
      </c>
      <c r="U275">
        <f>((Table1[[#This Row],[Shift Output]]*Table1[[#This Row],[Part Weight (gm)]])/1000)+Table1[[#This Row],[Reject Startup (kg)]]+Table1[[#This Row],[Reject Purging (kg)]]+Table1[[#This Row],[Reject Preform (kg)]]</f>
        <v>111.3336</v>
      </c>
      <c r="V275" s="37">
        <f>(Table1[[#This Row],[Gross Weight (gm)]]-Table1[[#This Row],[Part Weight (gm)]])*Table1[[#This Row],[Shift Output]]/1000</f>
        <v>0</v>
      </c>
      <c r="W275" s="3">
        <v>0</v>
      </c>
      <c r="X275" s="36">
        <f>Table1[[#This Row],[Reject Startup (kg)]]/Table1[[#This Row],[Material Used]]</f>
        <v>0</v>
      </c>
      <c r="Y275" s="3">
        <v>0</v>
      </c>
      <c r="Z275" s="36">
        <f>Table1[[#This Row],[Reject Prod (kg)]]/Table1[[#This Row],[Material Used]]</f>
        <v>0</v>
      </c>
      <c r="AA275" s="4">
        <v>29.592809677123999</v>
      </c>
      <c r="AB275" s="5">
        <v>12</v>
      </c>
      <c r="AC275" s="4" cm="1">
        <f t="array" ref="AC275">IFERROR(INDEX(ReferenceCard, MATCH(1, (INDEX(ReferenceCard,,1)=Table1[[#This Row],[SAP No]]) * (INDEX(ReferenceCard,,2)=Table1[[#This Row],[Mould No]]), 0), 9),)</f>
        <v>18.8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L275" s="2"/>
      <c r="AM275" s="2"/>
      <c r="AN275" s="3">
        <v>0</v>
      </c>
      <c r="AO275" s="3">
        <v>0</v>
      </c>
      <c r="AP27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6" spans="1:42" x14ac:dyDescent="0.35">
      <c r="A276" s="1">
        <v>46014</v>
      </c>
      <c r="B276">
        <v>2</v>
      </c>
      <c r="C276" t="s">
        <v>29</v>
      </c>
      <c r="D276" t="str" cm="1">
        <f t="array" ref="D276">IFERROR(INDEX(ReferenceCard, MATCH(1, (INDEX(ReferenceCard,,1)=Table1[[#This Row],[SAP No]]) * (INDEX(ReferenceCard,,2)=Table1[[#This Row],[Mould No]]), 0), 6),)</f>
        <v>PET</v>
      </c>
      <c r="E276">
        <v>620599</v>
      </c>
      <c r="F276">
        <v>0</v>
      </c>
      <c r="G276" t="str" cm="1">
        <f t="array" ref="G276">IFERROR(INDEX(ReferenceCard, MATCH(1, (INDEX(ReferenceCard,,1)=Table1[[#This Row],[SAP No]]) * (INDEX(ReferenceCard,,2)=Table1[[#This Row],[Mould No]]), 0), 3),)</f>
        <v>BC28-0750-K4-R-CL (55g)</v>
      </c>
      <c r="H276">
        <v>0</v>
      </c>
      <c r="I276" cm="1">
        <f t="array" ref="I276">IFERROR(INDEX(ReferenceCard, MATCH(1, (INDEX(ReferenceCard,,1)=Table1[[#This Row],[SAP No]]) * (INDEX(ReferenceCard,,2)=Table1[[#This Row],[Mould No]]), 0), 4),)</f>
        <v>4</v>
      </c>
      <c r="J276" s="4" cm="1">
        <f t="array" ref="J276">IFERROR(INDEX(ReferenceCard, MATCH(1, (INDEX(ReferenceCard,,1)=Table1[[#This Row],[SAP No]]) * (INDEX(ReferenceCard,,2)=Table1[[#This Row],[Mould No]]), 0), 9),)</f>
        <v>55</v>
      </c>
      <c r="K276" s="4" cm="1">
        <f t="array" ref="K276">IFERROR(INDEX(ReferenceCard, MATCH(1, (INDEX(ReferenceCard,,1)=Table1[[#This Row],[SAP No]]) * (INDEX(ReferenceCard,,2)=Table1[[#This Row],[Mould No]]), 0), 7),)</f>
        <v>55</v>
      </c>
      <c r="L276">
        <v>1042</v>
      </c>
      <c r="M276">
        <v>0</v>
      </c>
      <c r="N276">
        <v>0</v>
      </c>
      <c r="O276">
        <v>0</v>
      </c>
      <c r="P276">
        <f>Table1[[#This Row],[Shot]]*Table1[[#This Row],[Cav]]</f>
        <v>4168</v>
      </c>
      <c r="Q276">
        <v>0</v>
      </c>
      <c r="R276">
        <f>(Table1[[#This Row],[Part Weight (gm)]]*Table1[[#This Row],[Finish Good]])/1000</f>
        <v>0</v>
      </c>
      <c r="S276">
        <v>0</v>
      </c>
      <c r="T276">
        <f>IF(Table1[[#This Row],[Qty Order]]="Sample","-",IF(Table1[[#This Row],[Qty Order]]="RTFN","-",Table1[[#This Row],[Qty Order]]-Table1[[#This Row],[Qty Accumulate]]))</f>
        <v>0</v>
      </c>
      <c r="U276">
        <f>((Table1[[#This Row],[Shift Output]]*Table1[[#This Row],[Part Weight (gm)]])/1000)+Table1[[#This Row],[Reject Startup (kg)]]+Table1[[#This Row],[Reject Purging (kg)]]+Table1[[#This Row],[Reject Preform (kg)]]</f>
        <v>229.24</v>
      </c>
      <c r="V276" s="37">
        <f>(Table1[[#This Row],[Gross Weight (gm)]]-Table1[[#This Row],[Part Weight (gm)]])*Table1[[#This Row],[Shift Output]]/1000</f>
        <v>0</v>
      </c>
      <c r="W276" s="3">
        <v>0</v>
      </c>
      <c r="X276" s="36">
        <f>Table1[[#This Row],[Reject Startup (kg)]]/Table1[[#This Row],[Material Used]]</f>
        <v>0</v>
      </c>
      <c r="Y276" s="3">
        <v>0</v>
      </c>
      <c r="Z276" s="36">
        <f>Table1[[#This Row],[Reject Prod (kg)]]/Table1[[#This Row],[Material Used]]</f>
        <v>0</v>
      </c>
      <c r="AA276" s="4">
        <v>27.898130416870099</v>
      </c>
      <c r="AB276" s="5">
        <v>12</v>
      </c>
      <c r="AC276" s="4" cm="1">
        <f t="array" ref="AC276">IFERROR(INDEX(ReferenceCard, MATCH(1, (INDEX(ReferenceCard,,1)=Table1[[#This Row],[SAP No]]) * (INDEX(ReferenceCard,,2)=Table1[[#This Row],[Mould No]]), 0), 9),)</f>
        <v>55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L276" s="2"/>
      <c r="AM276" s="2"/>
      <c r="AN276" s="3">
        <v>0</v>
      </c>
      <c r="AO276" s="3">
        <v>0</v>
      </c>
      <c r="AP27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7" spans="1:42" x14ac:dyDescent="0.35">
      <c r="A277" s="1">
        <v>46014</v>
      </c>
      <c r="B277">
        <v>2</v>
      </c>
      <c r="C277" t="s">
        <v>31</v>
      </c>
      <c r="D277" t="str" cm="1">
        <f t="array" ref="D277">IFERROR(INDEX(ReferenceCard, MATCH(1, (INDEX(ReferenceCard,,1)=Table1[[#This Row],[SAP No]]) * (INDEX(ReferenceCard,,2)=Table1[[#This Row],[Mould No]]), 0), 6),)</f>
        <v>PPSB520Y</v>
      </c>
      <c r="E277">
        <v>586276</v>
      </c>
      <c r="F277">
        <v>4</v>
      </c>
      <c r="G277" t="str" cm="1">
        <f t="array" ref="G277">IFERROR(INDEX(ReferenceCard, MATCH(1, (INDEX(ReferenceCard,,1)=Table1[[#This Row],[SAP No]]) * (INDEX(ReferenceCard,,2)=Table1[[#This Row],[Mould No]]), 0), 3),)</f>
        <v>BC28-0056-D-APH-LEB-604001-MOLD4</v>
      </c>
      <c r="H277">
        <v>0</v>
      </c>
      <c r="I277" cm="1">
        <f t="array" ref="I277">IFERROR(INDEX(ReferenceCard, MATCH(1, (INDEX(ReferenceCard,,1)=Table1[[#This Row],[SAP No]]) * (INDEX(ReferenceCard,,2)=Table1[[#This Row],[Mould No]]), 0), 4),)</f>
        <v>6</v>
      </c>
      <c r="J277" s="4" cm="1">
        <f t="array" ref="J277">IFERROR(INDEX(ReferenceCard, MATCH(1, (INDEX(ReferenceCard,,1)=Table1[[#This Row],[SAP No]]) * (INDEX(ReferenceCard,,2)=Table1[[#This Row],[Mould No]]), 0), 9),)</f>
        <v>12.3</v>
      </c>
      <c r="K277" s="4" cm="1">
        <f t="array" ref="K277">IFERROR(INDEX(ReferenceCard, MATCH(1, (INDEX(ReferenceCard,,1)=Table1[[#This Row],[SAP No]]) * (INDEX(ReferenceCard,,2)=Table1[[#This Row],[Mould No]]), 0), 7),)</f>
        <v>12.3</v>
      </c>
      <c r="L277">
        <v>1116</v>
      </c>
      <c r="M277">
        <v>0</v>
      </c>
      <c r="N277">
        <v>0</v>
      </c>
      <c r="O277">
        <v>0</v>
      </c>
      <c r="P277">
        <f>Table1[[#This Row],[Shot]]*Table1[[#This Row],[Cav]]</f>
        <v>6696</v>
      </c>
      <c r="Q277">
        <v>0</v>
      </c>
      <c r="R277">
        <f>(Table1[[#This Row],[Part Weight (gm)]]*Table1[[#This Row],[Finish Good]])/1000</f>
        <v>0</v>
      </c>
      <c r="S277">
        <v>0</v>
      </c>
      <c r="T277">
        <f>IF(Table1[[#This Row],[Qty Order]]="Sample","-",IF(Table1[[#This Row],[Qty Order]]="RTFN","-",Table1[[#This Row],[Qty Order]]-Table1[[#This Row],[Qty Accumulate]]))</f>
        <v>0</v>
      </c>
      <c r="U277">
        <f>((Table1[[#This Row],[Shift Output]]*Table1[[#This Row],[Part Weight (gm)]])/1000)+Table1[[#This Row],[Reject Startup (kg)]]+Table1[[#This Row],[Reject Purging (kg)]]+Table1[[#This Row],[Reject Preform (kg)]]</f>
        <v>82.360799999999998</v>
      </c>
      <c r="V277" s="37">
        <f>(Table1[[#This Row],[Gross Weight (gm)]]-Table1[[#This Row],[Part Weight (gm)]])*Table1[[#This Row],[Shift Output]]/1000</f>
        <v>0</v>
      </c>
      <c r="W277" s="3">
        <v>0</v>
      </c>
      <c r="X277" s="36">
        <f>Table1[[#This Row],[Reject Startup (kg)]]/Table1[[#This Row],[Material Used]]</f>
        <v>0</v>
      </c>
      <c r="Y277" s="3">
        <v>0</v>
      </c>
      <c r="Z277" s="36">
        <f>Table1[[#This Row],[Reject Prod (kg)]]/Table1[[#This Row],[Material Used]]</f>
        <v>0</v>
      </c>
      <c r="AA277" s="4">
        <v>26.187925338745099</v>
      </c>
      <c r="AB277" s="5">
        <v>12</v>
      </c>
      <c r="AC277" s="4" cm="1">
        <f t="array" ref="AC277">IFERROR(INDEX(ReferenceCard, MATCH(1, (INDEX(ReferenceCard,,1)=Table1[[#This Row],[SAP No]]) * (INDEX(ReferenceCard,,2)=Table1[[#This Row],[Mould No]]), 0), 9),)</f>
        <v>12.3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L277" s="2"/>
      <c r="AM277" s="2"/>
      <c r="AN277" s="3">
        <v>0</v>
      </c>
      <c r="AO277" s="3">
        <v>0</v>
      </c>
      <c r="AP27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8" spans="1:42" x14ac:dyDescent="0.35">
      <c r="A278" s="1">
        <v>46014</v>
      </c>
      <c r="B278">
        <v>2</v>
      </c>
      <c r="C278" t="s">
        <v>33</v>
      </c>
      <c r="D278" t="str" cm="1">
        <f t="array" ref="D278">IFERROR(INDEX(ReferenceCard, MATCH(1, (INDEX(ReferenceCard,,1)=Table1[[#This Row],[SAP No]]) * (INDEX(ReferenceCard,,2)=Table1[[#This Row],[Mould No]]), 0), 6),)</f>
        <v>PET</v>
      </c>
      <c r="E278">
        <v>541381</v>
      </c>
      <c r="F278">
        <v>0</v>
      </c>
      <c r="G278" t="str" cm="1">
        <f t="array" ref="G278">IFERROR(INDEX(ReferenceCard, MATCH(1, (INDEX(ReferenceCard,,1)=Table1[[#This Row],[SAP No]]) * (INDEX(ReferenceCard,,2)=Table1[[#This Row],[Mould No]]), 0), 3),)</f>
        <v>BC28-1200-K-R-CL</v>
      </c>
      <c r="H278">
        <v>0</v>
      </c>
      <c r="I278" cm="1">
        <f t="array" ref="I278">IFERROR(INDEX(ReferenceCard, MATCH(1, (INDEX(ReferenceCard,,1)=Table1[[#This Row],[SAP No]]) * (INDEX(ReferenceCard,,2)=Table1[[#This Row],[Mould No]]), 0), 4),)</f>
        <v>4</v>
      </c>
      <c r="J278" s="4" cm="1">
        <f t="array" ref="J278">IFERROR(INDEX(ReferenceCard, MATCH(1, (INDEX(ReferenceCard,,1)=Table1[[#This Row],[SAP No]]) * (INDEX(ReferenceCard,,2)=Table1[[#This Row],[Mould No]]), 0), 9),)</f>
        <v>55</v>
      </c>
      <c r="K278" s="4" cm="1">
        <f t="array" ref="K278">IFERROR(INDEX(ReferenceCard, MATCH(1, (INDEX(ReferenceCard,,1)=Table1[[#This Row],[SAP No]]) * (INDEX(ReferenceCard,,2)=Table1[[#This Row],[Mould No]]), 0), 7),)</f>
        <v>55</v>
      </c>
      <c r="L278">
        <v>568</v>
      </c>
      <c r="M278">
        <v>0</v>
      </c>
      <c r="N278">
        <v>0</v>
      </c>
      <c r="O278">
        <v>0</v>
      </c>
      <c r="P278">
        <f>Table1[[#This Row],[Shot]]*Table1[[#This Row],[Cav]]</f>
        <v>2272</v>
      </c>
      <c r="Q278">
        <v>0</v>
      </c>
      <c r="R278">
        <f>(Table1[[#This Row],[Part Weight (gm)]]*Table1[[#This Row],[Finish Good]])/1000</f>
        <v>0</v>
      </c>
      <c r="S278">
        <v>0</v>
      </c>
      <c r="T278">
        <f>IF(Table1[[#This Row],[Qty Order]]="Sample","-",IF(Table1[[#This Row],[Qty Order]]="RTFN","-",Table1[[#This Row],[Qty Order]]-Table1[[#This Row],[Qty Accumulate]]))</f>
        <v>0</v>
      </c>
      <c r="U278">
        <f>((Table1[[#This Row],[Shift Output]]*Table1[[#This Row],[Part Weight (gm)]])/1000)+Table1[[#This Row],[Reject Startup (kg)]]+Table1[[#This Row],[Reject Purging (kg)]]+Table1[[#This Row],[Reject Preform (kg)]]</f>
        <v>124.96</v>
      </c>
      <c r="V278" s="37">
        <f>(Table1[[#This Row],[Gross Weight (gm)]]-Table1[[#This Row],[Part Weight (gm)]])*Table1[[#This Row],[Shift Output]]/1000</f>
        <v>0</v>
      </c>
      <c r="W278" s="3">
        <v>0</v>
      </c>
      <c r="X278" s="36">
        <f>Table1[[#This Row],[Reject Startup (kg)]]/Table1[[#This Row],[Material Used]]</f>
        <v>0</v>
      </c>
      <c r="Y278" s="3">
        <v>0</v>
      </c>
      <c r="Z278" s="36">
        <f>Table1[[#This Row],[Reject Prod (kg)]]/Table1[[#This Row],[Material Used]]</f>
        <v>0</v>
      </c>
      <c r="AA278" s="4">
        <v>42.685020446777301</v>
      </c>
      <c r="AB278" s="5">
        <v>12</v>
      </c>
      <c r="AC278" s="4" cm="1">
        <f t="array" ref="AC278">IFERROR(INDEX(ReferenceCard, MATCH(1, (INDEX(ReferenceCard,,1)=Table1[[#This Row],[SAP No]]) * (INDEX(ReferenceCard,,2)=Table1[[#This Row],[Mould No]]), 0), 9),)</f>
        <v>55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L278" s="2"/>
      <c r="AM278" s="2"/>
      <c r="AN278" s="3">
        <v>0</v>
      </c>
      <c r="AO278" s="3">
        <v>0</v>
      </c>
      <c r="AP27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79" spans="1:42" x14ac:dyDescent="0.35">
      <c r="A279" s="1">
        <v>46014</v>
      </c>
      <c r="B279">
        <v>2</v>
      </c>
      <c r="C279" t="s">
        <v>35</v>
      </c>
      <c r="D279" t="str" cm="1">
        <f t="array" ref="D279">IFERROR(INDEX(ReferenceCard, MATCH(1, (INDEX(ReferenceCard,,1)=Table1[[#This Row],[SAP No]]) * (INDEX(ReferenceCard,,2)=Table1[[#This Row],[Mould No]]), 0), 6),)</f>
        <v>PPSB520Y</v>
      </c>
      <c r="E279">
        <v>552181</v>
      </c>
      <c r="F279">
        <v>1</v>
      </c>
      <c r="G279" t="str" cm="1">
        <f t="array" ref="G279">IFERROR(INDEX(ReferenceCard, MATCH(1, (INDEX(ReferenceCard,,1)=Table1[[#This Row],[SAP No]]) * (INDEX(ReferenceCard,,2)=Table1[[#This Row],[Mould No]]), 0), 3),)</f>
        <v>BC28-0090-D-APH-5180-3538-PP-6 NOTCHES-MOLD1</v>
      </c>
      <c r="H279">
        <v>0</v>
      </c>
      <c r="I279" cm="1">
        <f t="array" ref="I279">IFERROR(INDEX(ReferenceCard, MATCH(1, (INDEX(ReferenceCard,,1)=Table1[[#This Row],[SAP No]]) * (INDEX(ReferenceCard,,2)=Table1[[#This Row],[Mould No]]), 0), 4),)</f>
        <v>6</v>
      </c>
      <c r="J279" s="4" cm="1">
        <f t="array" ref="J279">IFERROR(INDEX(ReferenceCard, MATCH(1, (INDEX(ReferenceCard,,1)=Table1[[#This Row],[SAP No]]) * (INDEX(ReferenceCard,,2)=Table1[[#This Row],[Mould No]]), 0), 9),)</f>
        <v>18.8</v>
      </c>
      <c r="K279" s="4" cm="1">
        <f t="array" ref="K279">IFERROR(INDEX(ReferenceCard, MATCH(1, (INDEX(ReferenceCard,,1)=Table1[[#This Row],[SAP No]]) * (INDEX(ReferenceCard,,2)=Table1[[#This Row],[Mould No]]), 0), 7),)</f>
        <v>18.8</v>
      </c>
      <c r="L279">
        <v>310</v>
      </c>
      <c r="M279">
        <v>0</v>
      </c>
      <c r="N279">
        <v>0</v>
      </c>
      <c r="O279">
        <v>0</v>
      </c>
      <c r="P279">
        <f>Table1[[#This Row],[Shot]]*Table1[[#This Row],[Cav]]</f>
        <v>1860</v>
      </c>
      <c r="Q279">
        <v>0</v>
      </c>
      <c r="R279">
        <f>(Table1[[#This Row],[Part Weight (gm)]]*Table1[[#This Row],[Finish Good]])/1000</f>
        <v>0</v>
      </c>
      <c r="S279">
        <v>0</v>
      </c>
      <c r="T279">
        <f>IF(Table1[[#This Row],[Qty Order]]="Sample","-",IF(Table1[[#This Row],[Qty Order]]="RTFN","-",Table1[[#This Row],[Qty Order]]-Table1[[#This Row],[Qty Accumulate]]))</f>
        <v>0</v>
      </c>
      <c r="U279">
        <f>((Table1[[#This Row],[Shift Output]]*Table1[[#This Row],[Part Weight (gm)]])/1000)+Table1[[#This Row],[Reject Startup (kg)]]+Table1[[#This Row],[Reject Purging (kg)]]+Table1[[#This Row],[Reject Preform (kg)]]</f>
        <v>34.968000000000004</v>
      </c>
      <c r="V279" s="37">
        <f>(Table1[[#This Row],[Gross Weight (gm)]]-Table1[[#This Row],[Part Weight (gm)]])*Table1[[#This Row],[Shift Output]]/1000</f>
        <v>0</v>
      </c>
      <c r="W279" s="3">
        <v>0</v>
      </c>
      <c r="X279" s="36">
        <f>Table1[[#This Row],[Reject Startup (kg)]]/Table1[[#This Row],[Material Used]]</f>
        <v>0</v>
      </c>
      <c r="Y279" s="3">
        <v>0</v>
      </c>
      <c r="Z279" s="36">
        <f>Table1[[#This Row],[Reject Prod (kg)]]/Table1[[#This Row],[Material Used]]</f>
        <v>0</v>
      </c>
      <c r="AA279" s="4">
        <v>31.2460117340087</v>
      </c>
      <c r="AB279" s="5">
        <v>12</v>
      </c>
      <c r="AC279" s="4" cm="1">
        <f t="array" ref="AC279">IFERROR(INDEX(ReferenceCard, MATCH(1, (INDEX(ReferenceCard,,1)=Table1[[#This Row],[SAP No]]) * (INDEX(ReferenceCard,,2)=Table1[[#This Row],[Mould No]]), 0), 9),)</f>
        <v>18.8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L279" s="2"/>
      <c r="AM279" s="2"/>
      <c r="AN279" s="3">
        <v>0</v>
      </c>
      <c r="AO279" s="3">
        <v>0</v>
      </c>
      <c r="AP27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0" spans="1:42" x14ac:dyDescent="0.35">
      <c r="A280" s="1">
        <v>46014</v>
      </c>
      <c r="B280">
        <v>2</v>
      </c>
      <c r="C280" t="s">
        <v>18</v>
      </c>
      <c r="D280" t="str" cm="1">
        <f t="array" ref="D280">IFERROR(INDEX(ReferenceCard, MATCH(1, (INDEX(ReferenceCard,,1)=Table1[[#This Row],[SAP No]]) * (INDEX(ReferenceCard,,2)=Table1[[#This Row],[Mould No]]), 0), 6),)</f>
        <v>PPSB520Y</v>
      </c>
      <c r="E280">
        <v>555979</v>
      </c>
      <c r="F280">
        <v>4</v>
      </c>
      <c r="G280" t="str" cm="1">
        <f t="array" ref="G280">IFERROR(INDEX(ReferenceCard, MATCH(1, (INDEX(ReferenceCard,,1)=Table1[[#This Row],[SAP No]]) * (INDEX(ReferenceCard,,2)=Table1[[#This Row],[Mould No]]), 0), 3),)</f>
        <v>BC28-0170-D-APH-5180-3539-PP-6 NOTCHES-MOLD4</v>
      </c>
      <c r="H280">
        <v>0</v>
      </c>
      <c r="I280" cm="1">
        <f t="array" ref="I280">IFERROR(INDEX(ReferenceCard, MATCH(1, (INDEX(ReferenceCard,,1)=Table1[[#This Row],[SAP No]]) * (INDEX(ReferenceCard,,2)=Table1[[#This Row],[Mould No]]), 0), 4),)</f>
        <v>6</v>
      </c>
      <c r="J280" s="4" cm="1">
        <f t="array" ref="J280">IFERROR(INDEX(ReferenceCard, MATCH(1, (INDEX(ReferenceCard,,1)=Table1[[#This Row],[SAP No]]) * (INDEX(ReferenceCard,,2)=Table1[[#This Row],[Mould No]]), 0), 9),)</f>
        <v>28</v>
      </c>
      <c r="K280" s="4" cm="1">
        <f t="array" ref="K280">IFERROR(INDEX(ReferenceCard, MATCH(1, (INDEX(ReferenceCard,,1)=Table1[[#This Row],[SAP No]]) * (INDEX(ReferenceCard,,2)=Table1[[#This Row],[Mould No]]), 0), 7),)</f>
        <v>28</v>
      </c>
      <c r="L280">
        <v>980</v>
      </c>
      <c r="M280">
        <v>0</v>
      </c>
      <c r="N280">
        <v>0</v>
      </c>
      <c r="O280">
        <v>0</v>
      </c>
      <c r="P280">
        <f>Table1[[#This Row],[Shot]]*Table1[[#This Row],[Cav]]</f>
        <v>5880</v>
      </c>
      <c r="Q280">
        <v>0</v>
      </c>
      <c r="R280">
        <f>(Table1[[#This Row],[Part Weight (gm)]]*Table1[[#This Row],[Finish Good]])/1000</f>
        <v>0</v>
      </c>
      <c r="S280">
        <v>0</v>
      </c>
      <c r="T280">
        <f>IF(Table1[[#This Row],[Qty Order]]="Sample","-",IF(Table1[[#This Row],[Qty Order]]="RTFN","-",Table1[[#This Row],[Qty Order]]-Table1[[#This Row],[Qty Accumulate]]))</f>
        <v>0</v>
      </c>
      <c r="U280">
        <f>((Table1[[#This Row],[Shift Output]]*Table1[[#This Row],[Part Weight (gm)]])/1000)+Table1[[#This Row],[Reject Startup (kg)]]+Table1[[#This Row],[Reject Purging (kg)]]+Table1[[#This Row],[Reject Preform (kg)]]</f>
        <v>164.64</v>
      </c>
      <c r="V280" s="37">
        <f>(Table1[[#This Row],[Gross Weight (gm)]]-Table1[[#This Row],[Part Weight (gm)]])*Table1[[#This Row],[Shift Output]]/1000</f>
        <v>0</v>
      </c>
      <c r="W280" s="3">
        <v>0</v>
      </c>
      <c r="X280" s="36">
        <f>Table1[[#This Row],[Reject Startup (kg)]]/Table1[[#This Row],[Material Used]]</f>
        <v>0</v>
      </c>
      <c r="Y280" s="3">
        <v>0</v>
      </c>
      <c r="Z280" s="36">
        <f>Table1[[#This Row],[Reject Prod (kg)]]/Table1[[#This Row],[Material Used]]</f>
        <v>0</v>
      </c>
      <c r="AA280" s="4">
        <v>43.5</v>
      </c>
      <c r="AB280" s="5">
        <v>12</v>
      </c>
      <c r="AC280" s="4" cm="1">
        <f t="array" ref="AC280">IFERROR(INDEX(ReferenceCard, MATCH(1, (INDEX(ReferenceCard,,1)=Table1[[#This Row],[SAP No]]) * (INDEX(ReferenceCard,,2)=Table1[[#This Row],[Mould No]]), 0), 9),)</f>
        <v>28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L280" s="2"/>
      <c r="AM280" s="2"/>
      <c r="AN280" s="3">
        <v>0</v>
      </c>
      <c r="AO280" s="3">
        <v>0</v>
      </c>
      <c r="AP28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1" spans="1:42" x14ac:dyDescent="0.35">
      <c r="A281" s="1">
        <v>46014</v>
      </c>
      <c r="B281">
        <v>1</v>
      </c>
      <c r="C281" t="s">
        <v>33</v>
      </c>
      <c r="D281" t="str" cm="1">
        <f t="array" ref="D281">IFERROR(INDEX(ReferenceCard, MATCH(1, (INDEX(ReferenceCard,,1)=Table1[[#This Row],[SAP No]]) * (INDEX(ReferenceCard,,2)=Table1[[#This Row],[Mould No]]), 0), 6),)</f>
        <v>PET</v>
      </c>
      <c r="E281">
        <v>541381</v>
      </c>
      <c r="F281">
        <v>0</v>
      </c>
      <c r="G281" t="str" cm="1">
        <f t="array" ref="G281">IFERROR(INDEX(ReferenceCard, MATCH(1, (INDEX(ReferenceCard,,1)=Table1[[#This Row],[SAP No]]) * (INDEX(ReferenceCard,,2)=Table1[[#This Row],[Mould No]]), 0), 3),)</f>
        <v>BC28-1200-K-R-CL</v>
      </c>
      <c r="H281">
        <v>0</v>
      </c>
      <c r="I281" cm="1">
        <f t="array" ref="I281">IFERROR(INDEX(ReferenceCard, MATCH(1, (INDEX(ReferenceCard,,1)=Table1[[#This Row],[SAP No]]) * (INDEX(ReferenceCard,,2)=Table1[[#This Row],[Mould No]]), 0), 4),)</f>
        <v>4</v>
      </c>
      <c r="J281" s="4" cm="1">
        <f t="array" ref="J281">IFERROR(INDEX(ReferenceCard, MATCH(1, (INDEX(ReferenceCard,,1)=Table1[[#This Row],[SAP No]]) * (INDEX(ReferenceCard,,2)=Table1[[#This Row],[Mould No]]), 0), 9),)</f>
        <v>55</v>
      </c>
      <c r="K281" s="4" cm="1">
        <f t="array" ref="K281">IFERROR(INDEX(ReferenceCard, MATCH(1, (INDEX(ReferenceCard,,1)=Table1[[#This Row],[SAP No]]) * (INDEX(ReferenceCard,,2)=Table1[[#This Row],[Mould No]]), 0), 7),)</f>
        <v>55</v>
      </c>
      <c r="L281">
        <v>781</v>
      </c>
      <c r="M281">
        <v>0</v>
      </c>
      <c r="N281">
        <v>0</v>
      </c>
      <c r="O281">
        <v>0</v>
      </c>
      <c r="P281">
        <f>Table1[[#This Row],[Shot]]*Table1[[#This Row],[Cav]]</f>
        <v>3124</v>
      </c>
      <c r="Q281">
        <v>0</v>
      </c>
      <c r="R281">
        <f>(Table1[[#This Row],[Part Weight (gm)]]*Table1[[#This Row],[Finish Good]])/1000</f>
        <v>0</v>
      </c>
      <c r="S281">
        <v>0</v>
      </c>
      <c r="T281">
        <f>IF(Table1[[#This Row],[Qty Order]]="Sample","-",IF(Table1[[#This Row],[Qty Order]]="RTFN","-",Table1[[#This Row],[Qty Order]]-Table1[[#This Row],[Qty Accumulate]]))</f>
        <v>0</v>
      </c>
      <c r="U281">
        <f>((Table1[[#This Row],[Shift Output]]*Table1[[#This Row],[Part Weight (gm)]])/1000)+Table1[[#This Row],[Reject Startup (kg)]]+Table1[[#This Row],[Reject Purging (kg)]]+Table1[[#This Row],[Reject Preform (kg)]]</f>
        <v>171.82</v>
      </c>
      <c r="V281" s="37">
        <f>(Table1[[#This Row],[Gross Weight (gm)]]-Table1[[#This Row],[Part Weight (gm)]])*Table1[[#This Row],[Shift Output]]/1000</f>
        <v>0</v>
      </c>
      <c r="W281" s="3">
        <v>0</v>
      </c>
      <c r="X281" s="36">
        <f>Table1[[#This Row],[Reject Startup (kg)]]/Table1[[#This Row],[Material Used]]</f>
        <v>0</v>
      </c>
      <c r="Y281" s="3">
        <v>0</v>
      </c>
      <c r="Z281" s="36">
        <f>Table1[[#This Row],[Reject Prod (kg)]]/Table1[[#This Row],[Material Used]]</f>
        <v>0</v>
      </c>
      <c r="AA281" s="4">
        <v>42.685020446777301</v>
      </c>
      <c r="AB281" s="5">
        <v>11.92</v>
      </c>
      <c r="AC281" s="4" cm="1">
        <f t="array" ref="AC281">IFERROR(INDEX(ReferenceCard, MATCH(1, (INDEX(ReferenceCard,,1)=Table1[[#This Row],[SAP No]]) * (INDEX(ReferenceCard,,2)=Table1[[#This Row],[Mould No]]), 0), 9),)</f>
        <v>55</v>
      </c>
      <c r="AD281" s="5">
        <v>0</v>
      </c>
      <c r="AE281" s="5">
        <v>0</v>
      </c>
      <c r="AF281" s="5">
        <v>0</v>
      </c>
      <c r="AG281" s="5">
        <v>0</v>
      </c>
      <c r="AH281" s="5">
        <v>0.08</v>
      </c>
      <c r="AI281" s="5">
        <v>0</v>
      </c>
      <c r="AJ281" s="5">
        <v>0</v>
      </c>
      <c r="AL281" s="2"/>
      <c r="AM281" s="2"/>
      <c r="AN281" s="3">
        <v>0</v>
      </c>
      <c r="AO281" s="3">
        <v>0</v>
      </c>
      <c r="AP28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2" spans="1:42" x14ac:dyDescent="0.35">
      <c r="A282" s="1">
        <v>46014</v>
      </c>
      <c r="B282">
        <v>1</v>
      </c>
      <c r="C282" t="s">
        <v>35</v>
      </c>
      <c r="D282" t="str" cm="1">
        <f t="array" ref="D282">IFERROR(INDEX(ReferenceCard, MATCH(1, (INDEX(ReferenceCard,,1)=Table1[[#This Row],[SAP No]]) * (INDEX(ReferenceCard,,2)=Table1[[#This Row],[Mould No]]), 0), 6),)</f>
        <v>PPSB520Y</v>
      </c>
      <c r="E282">
        <v>552181</v>
      </c>
      <c r="F282">
        <v>1</v>
      </c>
      <c r="G282" t="str" cm="1">
        <f t="array" ref="G282">IFERROR(INDEX(ReferenceCard, MATCH(1, (INDEX(ReferenceCard,,1)=Table1[[#This Row],[SAP No]]) * (INDEX(ReferenceCard,,2)=Table1[[#This Row],[Mould No]]), 0), 3),)</f>
        <v>BC28-0090-D-APH-5180-3538-PP-6 NOTCHES-MOLD1</v>
      </c>
      <c r="H282">
        <v>0</v>
      </c>
      <c r="I282" cm="1">
        <f t="array" ref="I282">IFERROR(INDEX(ReferenceCard, MATCH(1, (INDEX(ReferenceCard,,1)=Table1[[#This Row],[SAP No]]) * (INDEX(ReferenceCard,,2)=Table1[[#This Row],[Mould No]]), 0), 4),)</f>
        <v>6</v>
      </c>
      <c r="J282" s="4" cm="1">
        <f t="array" ref="J282">IFERROR(INDEX(ReferenceCard, MATCH(1, (INDEX(ReferenceCard,,1)=Table1[[#This Row],[SAP No]]) * (INDEX(ReferenceCard,,2)=Table1[[#This Row],[Mould No]]), 0), 9),)</f>
        <v>18.8</v>
      </c>
      <c r="K282" s="4" cm="1">
        <f t="array" ref="K282">IFERROR(INDEX(ReferenceCard, MATCH(1, (INDEX(ReferenceCard,,1)=Table1[[#This Row],[SAP No]]) * (INDEX(ReferenceCard,,2)=Table1[[#This Row],[Mould No]]), 0), 7),)</f>
        <v>18.8</v>
      </c>
      <c r="L282">
        <v>1556</v>
      </c>
      <c r="M282">
        <v>0</v>
      </c>
      <c r="N282">
        <v>0</v>
      </c>
      <c r="O282">
        <v>0</v>
      </c>
      <c r="P282">
        <f>Table1[[#This Row],[Shot]]*Table1[[#This Row],[Cav]]</f>
        <v>9336</v>
      </c>
      <c r="Q282">
        <v>0</v>
      </c>
      <c r="R282">
        <f>(Table1[[#This Row],[Part Weight (gm)]]*Table1[[#This Row],[Finish Good]])/1000</f>
        <v>0</v>
      </c>
      <c r="S282">
        <v>0</v>
      </c>
      <c r="T282">
        <f>IF(Table1[[#This Row],[Qty Order]]="Sample","-",IF(Table1[[#This Row],[Qty Order]]="RTFN","-",Table1[[#This Row],[Qty Order]]-Table1[[#This Row],[Qty Accumulate]]))</f>
        <v>0</v>
      </c>
      <c r="U282">
        <f>((Table1[[#This Row],[Shift Output]]*Table1[[#This Row],[Part Weight (gm)]])/1000)+Table1[[#This Row],[Reject Startup (kg)]]+Table1[[#This Row],[Reject Purging (kg)]]+Table1[[#This Row],[Reject Preform (kg)]]</f>
        <v>175.51680000000002</v>
      </c>
      <c r="V282" s="37">
        <f>(Table1[[#This Row],[Gross Weight (gm)]]-Table1[[#This Row],[Part Weight (gm)]])*Table1[[#This Row],[Shift Output]]/1000</f>
        <v>0</v>
      </c>
      <c r="W282" s="3">
        <v>0</v>
      </c>
      <c r="X282" s="36">
        <f>Table1[[#This Row],[Reject Startup (kg)]]/Table1[[#This Row],[Material Used]]</f>
        <v>0</v>
      </c>
      <c r="Y282" s="3">
        <v>0</v>
      </c>
      <c r="Z282" s="36">
        <f>Table1[[#This Row],[Reject Prod (kg)]]/Table1[[#This Row],[Material Used]]</f>
        <v>0</v>
      </c>
      <c r="AA282" s="4">
        <v>31.2460117340087</v>
      </c>
      <c r="AB282" s="5">
        <v>11.97</v>
      </c>
      <c r="AC282" s="4" cm="1">
        <f t="array" ref="AC282">IFERROR(INDEX(ReferenceCard, MATCH(1, (INDEX(ReferenceCard,,1)=Table1[[#This Row],[SAP No]]) * (INDEX(ReferenceCard,,2)=Table1[[#This Row],[Mould No]]), 0), 9),)</f>
        <v>18.8</v>
      </c>
      <c r="AD282" s="5">
        <v>0</v>
      </c>
      <c r="AE282" s="5">
        <v>0</v>
      </c>
      <c r="AF282" s="5">
        <v>0</v>
      </c>
      <c r="AG282" s="5">
        <v>0</v>
      </c>
      <c r="AH282" s="5">
        <v>2.9999999999999898E-2</v>
      </c>
      <c r="AI282" s="5">
        <v>0</v>
      </c>
      <c r="AJ282" s="5">
        <v>0</v>
      </c>
      <c r="AL282" s="2"/>
      <c r="AM282" s="2"/>
      <c r="AN282" s="3">
        <v>0</v>
      </c>
      <c r="AO282" s="3">
        <v>0</v>
      </c>
      <c r="AP28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3" spans="1:42" x14ac:dyDescent="0.35">
      <c r="A283" s="1">
        <v>46014</v>
      </c>
      <c r="B283">
        <v>1</v>
      </c>
      <c r="C283" t="s">
        <v>18</v>
      </c>
      <c r="D283" t="str" cm="1">
        <f t="array" ref="D283">IFERROR(INDEX(ReferenceCard, MATCH(1, (INDEX(ReferenceCard,,1)=Table1[[#This Row],[SAP No]]) * (INDEX(ReferenceCard,,2)=Table1[[#This Row],[Mould No]]), 0), 6),)</f>
        <v>PPSB520Y</v>
      </c>
      <c r="E283">
        <v>555979</v>
      </c>
      <c r="F283">
        <v>4</v>
      </c>
      <c r="G283" t="str" cm="1">
        <f t="array" ref="G283">IFERROR(INDEX(ReferenceCard, MATCH(1, (INDEX(ReferenceCard,,1)=Table1[[#This Row],[SAP No]]) * (INDEX(ReferenceCard,,2)=Table1[[#This Row],[Mould No]]), 0), 3),)</f>
        <v>BC28-0170-D-APH-5180-3539-PP-6 NOTCHES-MOLD4</v>
      </c>
      <c r="H283">
        <v>0</v>
      </c>
      <c r="I283" cm="1">
        <f t="array" ref="I283">IFERROR(INDEX(ReferenceCard, MATCH(1, (INDEX(ReferenceCard,,1)=Table1[[#This Row],[SAP No]]) * (INDEX(ReferenceCard,,2)=Table1[[#This Row],[Mould No]]), 0), 4),)</f>
        <v>6</v>
      </c>
      <c r="J283" s="4" cm="1">
        <f t="array" ref="J283">IFERROR(INDEX(ReferenceCard, MATCH(1, (INDEX(ReferenceCard,,1)=Table1[[#This Row],[SAP No]]) * (INDEX(ReferenceCard,,2)=Table1[[#This Row],[Mould No]]), 0), 9),)</f>
        <v>28</v>
      </c>
      <c r="K283" s="4" cm="1">
        <f t="array" ref="K283">IFERROR(INDEX(ReferenceCard, MATCH(1, (INDEX(ReferenceCard,,1)=Table1[[#This Row],[SAP No]]) * (INDEX(ReferenceCard,,2)=Table1[[#This Row],[Mould No]]), 0), 7),)</f>
        <v>28</v>
      </c>
      <c r="L283">
        <v>970</v>
      </c>
      <c r="M283">
        <v>0</v>
      </c>
      <c r="N283">
        <v>0</v>
      </c>
      <c r="O283">
        <v>0</v>
      </c>
      <c r="P283">
        <f>Table1[[#This Row],[Shot]]*Table1[[#This Row],[Cav]]</f>
        <v>5820</v>
      </c>
      <c r="Q283">
        <v>0</v>
      </c>
      <c r="R283">
        <f>(Table1[[#This Row],[Part Weight (gm)]]*Table1[[#This Row],[Finish Good]])/1000</f>
        <v>0</v>
      </c>
      <c r="S283">
        <v>0</v>
      </c>
      <c r="T283">
        <f>IF(Table1[[#This Row],[Qty Order]]="Sample","-",IF(Table1[[#This Row],[Qty Order]]="RTFN","-",Table1[[#This Row],[Qty Order]]-Table1[[#This Row],[Qty Accumulate]]))</f>
        <v>0</v>
      </c>
      <c r="U283">
        <f>((Table1[[#This Row],[Shift Output]]*Table1[[#This Row],[Part Weight (gm)]])/1000)+Table1[[#This Row],[Reject Startup (kg)]]+Table1[[#This Row],[Reject Purging (kg)]]+Table1[[#This Row],[Reject Preform (kg)]]</f>
        <v>162.96</v>
      </c>
      <c r="V283" s="37">
        <f>(Table1[[#This Row],[Gross Weight (gm)]]-Table1[[#This Row],[Part Weight (gm)]])*Table1[[#This Row],[Shift Output]]/1000</f>
        <v>0</v>
      </c>
      <c r="W283" s="3">
        <v>0</v>
      </c>
      <c r="X283" s="36">
        <f>Table1[[#This Row],[Reject Startup (kg)]]/Table1[[#This Row],[Material Used]]</f>
        <v>0</v>
      </c>
      <c r="Y283" s="3">
        <v>0</v>
      </c>
      <c r="Z283" s="36">
        <f>Table1[[#This Row],[Reject Prod (kg)]]/Table1[[#This Row],[Material Used]]</f>
        <v>0</v>
      </c>
      <c r="AA283" s="4">
        <v>43.5</v>
      </c>
      <c r="AB283" s="5">
        <v>12</v>
      </c>
      <c r="AC283" s="4" cm="1">
        <f t="array" ref="AC283">IFERROR(INDEX(ReferenceCard, MATCH(1, (INDEX(ReferenceCard,,1)=Table1[[#This Row],[SAP No]]) * (INDEX(ReferenceCard,,2)=Table1[[#This Row],[Mould No]]), 0), 9),)</f>
        <v>28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L283" s="2"/>
      <c r="AM283" s="2"/>
      <c r="AN283" s="3">
        <v>0</v>
      </c>
      <c r="AO283" s="3">
        <v>0</v>
      </c>
      <c r="AP28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4" spans="1:42" x14ac:dyDescent="0.35">
      <c r="A284" s="1">
        <v>46014</v>
      </c>
      <c r="B284">
        <v>1</v>
      </c>
      <c r="C284" t="s">
        <v>0</v>
      </c>
      <c r="D284" t="str" cm="1">
        <f t="array" ref="D284">IFERROR(INDEX(ReferenceCard, MATCH(1, (INDEX(ReferenceCard,,1)=Table1[[#This Row],[SAP No]]) * (INDEX(ReferenceCard,,2)=Table1[[#This Row],[Mould No]]), 0), 6),)</f>
        <v>PET</v>
      </c>
      <c r="E284">
        <v>347623</v>
      </c>
      <c r="F284">
        <v>0</v>
      </c>
      <c r="G284" t="str" cm="1">
        <f t="array" ref="G284">IFERROR(INDEX(ReferenceCard, MATCH(1, (INDEX(ReferenceCard,,1)=Table1[[#This Row],[SAP No]]) * (INDEX(ReferenceCard,,2)=Table1[[#This Row],[Mould No]]), 0), 3),)</f>
        <v>BC28-0375-K-R-CL</v>
      </c>
      <c r="H284">
        <v>0</v>
      </c>
      <c r="I284" cm="1">
        <f t="array" ref="I284">IFERROR(INDEX(ReferenceCard, MATCH(1, (INDEX(ReferenceCard,,1)=Table1[[#This Row],[SAP No]]) * (INDEX(ReferenceCard,,2)=Table1[[#This Row],[Mould No]]), 0), 4),)</f>
        <v>4</v>
      </c>
      <c r="J284" s="4" cm="1">
        <f t="array" ref="J284">IFERROR(INDEX(ReferenceCard, MATCH(1, (INDEX(ReferenceCard,,1)=Table1[[#This Row],[SAP No]]) * (INDEX(ReferenceCard,,2)=Table1[[#This Row],[Mould No]]), 0), 9),)</f>
        <v>35.6</v>
      </c>
      <c r="K284" s="4" cm="1">
        <f t="array" ref="K284">IFERROR(INDEX(ReferenceCard, MATCH(1, (INDEX(ReferenceCard,,1)=Table1[[#This Row],[SAP No]]) * (INDEX(ReferenceCard,,2)=Table1[[#This Row],[Mould No]]), 0), 7),)</f>
        <v>35.6</v>
      </c>
      <c r="L284">
        <v>10901</v>
      </c>
      <c r="M284">
        <v>0</v>
      </c>
      <c r="N284">
        <v>0</v>
      </c>
      <c r="O284">
        <v>0</v>
      </c>
      <c r="P284">
        <f>Table1[[#This Row],[Shot]]*Table1[[#This Row],[Cav]]</f>
        <v>43604</v>
      </c>
      <c r="Q284">
        <v>0</v>
      </c>
      <c r="R284">
        <f>(Table1[[#This Row],[Part Weight (gm)]]*Table1[[#This Row],[Finish Good]])/1000</f>
        <v>0</v>
      </c>
      <c r="S284">
        <v>0</v>
      </c>
      <c r="T284">
        <f>IF(Table1[[#This Row],[Qty Order]]="Sample","-",IF(Table1[[#This Row],[Qty Order]]="RTFN","-",Table1[[#This Row],[Qty Order]]-Table1[[#This Row],[Qty Accumulate]]))</f>
        <v>0</v>
      </c>
      <c r="U284">
        <f>((Table1[[#This Row],[Shift Output]]*Table1[[#This Row],[Part Weight (gm)]])/1000)+Table1[[#This Row],[Reject Startup (kg)]]+Table1[[#This Row],[Reject Purging (kg)]]+Table1[[#This Row],[Reject Preform (kg)]]</f>
        <v>1552.3024</v>
      </c>
      <c r="V284" s="37">
        <f>(Table1[[#This Row],[Gross Weight (gm)]]-Table1[[#This Row],[Part Weight (gm)]])*Table1[[#This Row],[Shift Output]]/1000</f>
        <v>0</v>
      </c>
      <c r="W284" s="3">
        <v>0</v>
      </c>
      <c r="X284" s="36">
        <f>Table1[[#This Row],[Reject Startup (kg)]]/Table1[[#This Row],[Material Used]]</f>
        <v>0</v>
      </c>
      <c r="Y284" s="3">
        <v>0</v>
      </c>
      <c r="Z284" s="36">
        <f>Table1[[#This Row],[Reject Prod (kg)]]/Table1[[#This Row],[Material Used]]</f>
        <v>0</v>
      </c>
      <c r="AA284" s="4">
        <v>26.146886825561499</v>
      </c>
      <c r="AB284" s="5">
        <v>12</v>
      </c>
      <c r="AC284" s="4" cm="1">
        <f t="array" ref="AC284">IFERROR(INDEX(ReferenceCard, MATCH(1, (INDEX(ReferenceCard,,1)=Table1[[#This Row],[SAP No]]) * (INDEX(ReferenceCard,,2)=Table1[[#This Row],[Mould No]]), 0), 9),)</f>
        <v>35.6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L284" s="2"/>
      <c r="AM284" s="2"/>
      <c r="AN284" s="3">
        <v>0</v>
      </c>
      <c r="AO284" s="3">
        <v>0</v>
      </c>
      <c r="AP28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5" spans="1:42" x14ac:dyDescent="0.35">
      <c r="A285" s="1">
        <v>46014</v>
      </c>
      <c r="B285">
        <v>1</v>
      </c>
      <c r="C285" t="s">
        <v>3</v>
      </c>
      <c r="D285" t="str" cm="1">
        <f t="array" ref="D285">IFERROR(INDEX(ReferenceCard, MATCH(1, (INDEX(ReferenceCard,,1)=Table1[[#This Row],[SAP No]]) * (INDEX(ReferenceCard,,2)=Table1[[#This Row],[Mould No]]), 0), 6),)</f>
        <v>PET</v>
      </c>
      <c r="E285">
        <v>423215</v>
      </c>
      <c r="F285">
        <v>0</v>
      </c>
      <c r="G285" t="str" cm="1">
        <f t="array" ref="G285">IFERROR(INDEX(ReferenceCard, MATCH(1, (INDEX(ReferenceCard,,1)=Table1[[#This Row],[SAP No]]) * (INDEX(ReferenceCard,,2)=Table1[[#This Row],[Mould No]]), 0), 3),)</f>
        <v>BC28-0355-SCC-A-Q-CL</v>
      </c>
      <c r="H285">
        <v>0</v>
      </c>
      <c r="I285" cm="1">
        <f t="array" ref="I285">IFERROR(INDEX(ReferenceCard, MATCH(1, (INDEX(ReferenceCard,,1)=Table1[[#This Row],[SAP No]]) * (INDEX(ReferenceCard,,2)=Table1[[#This Row],[Mould No]]), 0), 4),)</f>
        <v>4</v>
      </c>
      <c r="J285" s="4" cm="1">
        <f t="array" ref="J285">IFERROR(INDEX(ReferenceCard, MATCH(1, (INDEX(ReferenceCard,,1)=Table1[[#This Row],[SAP No]]) * (INDEX(ReferenceCard,,2)=Table1[[#This Row],[Mould No]]), 0), 9),)</f>
        <v>24</v>
      </c>
      <c r="K285" s="4" cm="1">
        <f t="array" ref="K285">IFERROR(INDEX(ReferenceCard, MATCH(1, (INDEX(ReferenceCard,,1)=Table1[[#This Row],[SAP No]]) * (INDEX(ReferenceCard,,2)=Table1[[#This Row],[Mould No]]), 0), 7),)</f>
        <v>24</v>
      </c>
      <c r="L285">
        <v>1734</v>
      </c>
      <c r="M285">
        <v>0</v>
      </c>
      <c r="N285">
        <v>0</v>
      </c>
      <c r="O285">
        <v>0</v>
      </c>
      <c r="P285">
        <f>Table1[[#This Row],[Shot]]*Table1[[#This Row],[Cav]]</f>
        <v>6936</v>
      </c>
      <c r="Q285">
        <v>0</v>
      </c>
      <c r="R285">
        <f>(Table1[[#This Row],[Part Weight (gm)]]*Table1[[#This Row],[Finish Good]])/1000</f>
        <v>0</v>
      </c>
      <c r="S285">
        <v>0</v>
      </c>
      <c r="T285">
        <f>IF(Table1[[#This Row],[Qty Order]]="Sample","-",IF(Table1[[#This Row],[Qty Order]]="RTFN","-",Table1[[#This Row],[Qty Order]]-Table1[[#This Row],[Qty Accumulate]]))</f>
        <v>0</v>
      </c>
      <c r="U285">
        <f>((Table1[[#This Row],[Shift Output]]*Table1[[#This Row],[Part Weight (gm)]])/1000)+Table1[[#This Row],[Reject Startup (kg)]]+Table1[[#This Row],[Reject Purging (kg)]]+Table1[[#This Row],[Reject Preform (kg)]]</f>
        <v>166.464</v>
      </c>
      <c r="V285" s="37">
        <f>(Table1[[#This Row],[Gross Weight (gm)]]-Table1[[#This Row],[Part Weight (gm)]])*Table1[[#This Row],[Shift Output]]/1000</f>
        <v>0</v>
      </c>
      <c r="W285" s="3">
        <v>0</v>
      </c>
      <c r="X285" s="36">
        <f>Table1[[#This Row],[Reject Startup (kg)]]/Table1[[#This Row],[Material Used]]</f>
        <v>0</v>
      </c>
      <c r="Y285" s="3">
        <v>0</v>
      </c>
      <c r="Z285" s="36">
        <f>Table1[[#This Row],[Reject Prod (kg)]]/Table1[[#This Row],[Material Used]]</f>
        <v>0</v>
      </c>
      <c r="AA285" s="4">
        <v>33.679737091064403</v>
      </c>
      <c r="AB285" s="5">
        <v>12</v>
      </c>
      <c r="AC285" s="4" cm="1">
        <f t="array" ref="AC285">IFERROR(INDEX(ReferenceCard, MATCH(1, (INDEX(ReferenceCard,,1)=Table1[[#This Row],[SAP No]]) * (INDEX(ReferenceCard,,2)=Table1[[#This Row],[Mould No]]), 0), 9),)</f>
        <v>24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L285" s="2"/>
      <c r="AM285" s="2"/>
      <c r="AN285" s="3">
        <v>0</v>
      </c>
      <c r="AO285" s="3">
        <v>0</v>
      </c>
      <c r="AP28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6" spans="1:42" x14ac:dyDescent="0.35">
      <c r="A286" s="1">
        <v>46014</v>
      </c>
      <c r="B286">
        <v>1</v>
      </c>
      <c r="C286" t="s">
        <v>5</v>
      </c>
      <c r="D286" t="str" cm="1">
        <f t="array" ref="D286">IFERROR(INDEX(ReferenceCard, MATCH(1, (INDEX(ReferenceCard,,1)=Table1[[#This Row],[SAP No]]) * (INDEX(ReferenceCard,,2)=Table1[[#This Row],[Mould No]]), 0), 6),)</f>
        <v>PET</v>
      </c>
      <c r="E286">
        <v>543590</v>
      </c>
      <c r="F286">
        <v>0</v>
      </c>
      <c r="G286" t="str" cm="1">
        <f t="array" ref="G286">IFERROR(INDEX(ReferenceCard, MATCH(1, (INDEX(ReferenceCard,,1)=Table1[[#This Row],[SAP No]]) * (INDEX(ReferenceCard,,2)=Table1[[#This Row],[Mould No]]), 0), 3),)</f>
        <v>BC28-0130-R-R-AM</v>
      </c>
      <c r="H286">
        <v>0</v>
      </c>
      <c r="I286" cm="1">
        <f t="array" ref="I286">IFERROR(INDEX(ReferenceCard, MATCH(1, (INDEX(ReferenceCard,,1)=Table1[[#This Row],[SAP No]]) * (INDEX(ReferenceCard,,2)=Table1[[#This Row],[Mould No]]), 0), 4),)</f>
        <v>4</v>
      </c>
      <c r="J286" s="4" cm="1">
        <f t="array" ref="J286">IFERROR(INDEX(ReferenceCard, MATCH(1, (INDEX(ReferenceCard,,1)=Table1[[#This Row],[SAP No]]) * (INDEX(ReferenceCard,,2)=Table1[[#This Row],[Mould No]]), 0), 9),)</f>
        <v>19</v>
      </c>
      <c r="K286" s="4" cm="1">
        <f t="array" ref="K286">IFERROR(INDEX(ReferenceCard, MATCH(1, (INDEX(ReferenceCard,,1)=Table1[[#This Row],[SAP No]]) * (INDEX(ReferenceCard,,2)=Table1[[#This Row],[Mould No]]), 0), 7),)</f>
        <v>19</v>
      </c>
      <c r="L286">
        <v>0</v>
      </c>
      <c r="M286">
        <v>0</v>
      </c>
      <c r="N286">
        <v>0</v>
      </c>
      <c r="O286">
        <v>0</v>
      </c>
      <c r="P286">
        <f>Table1[[#This Row],[Shot]]*Table1[[#This Row],[Cav]]</f>
        <v>0</v>
      </c>
      <c r="Q286">
        <v>0</v>
      </c>
      <c r="R286">
        <f>(Table1[[#This Row],[Part Weight (gm)]]*Table1[[#This Row],[Finish Good]])/1000</f>
        <v>0</v>
      </c>
      <c r="S286">
        <v>0</v>
      </c>
      <c r="T286">
        <f>IF(Table1[[#This Row],[Qty Order]]="Sample","-",IF(Table1[[#This Row],[Qty Order]]="RTFN","-",Table1[[#This Row],[Qty Order]]-Table1[[#This Row],[Qty Accumulate]]))</f>
        <v>0</v>
      </c>
      <c r="U286">
        <f>((Table1[[#This Row],[Shift Output]]*Table1[[#This Row],[Part Weight (gm)]])/1000)+Table1[[#This Row],[Reject Startup (kg)]]+Table1[[#This Row],[Reject Purging (kg)]]+Table1[[#This Row],[Reject Preform (kg)]]</f>
        <v>0</v>
      </c>
      <c r="V286" s="37">
        <f>(Table1[[#This Row],[Gross Weight (gm)]]-Table1[[#This Row],[Part Weight (gm)]])*Table1[[#This Row],[Shift Output]]/1000</f>
        <v>0</v>
      </c>
      <c r="W286" s="3">
        <v>0</v>
      </c>
      <c r="X286" s="36" t="e">
        <f>Table1[[#This Row],[Reject Startup (kg)]]/Table1[[#This Row],[Material Used]]</f>
        <v>#DIV/0!</v>
      </c>
      <c r="Y286" s="3">
        <v>0</v>
      </c>
      <c r="Z286" s="36" t="e">
        <f>Table1[[#This Row],[Reject Prod (kg)]]/Table1[[#This Row],[Material Used]]</f>
        <v>#DIV/0!</v>
      </c>
      <c r="AA286" s="4">
        <v>0</v>
      </c>
      <c r="AB286" s="5">
        <v>0</v>
      </c>
      <c r="AC286" s="4" cm="1">
        <f t="array" ref="AC286">IFERROR(INDEX(ReferenceCard, MATCH(1, (INDEX(ReferenceCard,,1)=Table1[[#This Row],[SAP No]]) * (INDEX(ReferenceCard,,2)=Table1[[#This Row],[Mould No]]), 0), 9),)</f>
        <v>19</v>
      </c>
      <c r="AD286" s="5">
        <v>0</v>
      </c>
      <c r="AE286" s="5">
        <v>0</v>
      </c>
      <c r="AF286" s="5">
        <v>0</v>
      </c>
      <c r="AG286" s="5">
        <v>12</v>
      </c>
      <c r="AH286" s="5">
        <v>0</v>
      </c>
      <c r="AI286" s="5">
        <v>0</v>
      </c>
      <c r="AJ286" s="5">
        <v>0</v>
      </c>
      <c r="AK286" t="s">
        <v>69</v>
      </c>
      <c r="AL286" s="2"/>
      <c r="AM286" s="2"/>
      <c r="AN286" s="3">
        <v>0</v>
      </c>
      <c r="AO286" s="3">
        <v>0</v>
      </c>
      <c r="AP28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7" spans="1:42" x14ac:dyDescent="0.35">
      <c r="A287" s="1">
        <v>46014</v>
      </c>
      <c r="B287">
        <v>1</v>
      </c>
      <c r="C287" t="s">
        <v>7</v>
      </c>
      <c r="D287" t="str" cm="1">
        <f t="array" ref="D287">IFERROR(INDEX(ReferenceCard, MATCH(1, (INDEX(ReferenceCard,,1)=Table1[[#This Row],[SAP No]]) * (INDEX(ReferenceCard,,2)=Table1[[#This Row],[Mould No]]), 0), 6),)</f>
        <v>PET</v>
      </c>
      <c r="E287">
        <v>451191</v>
      </c>
      <c r="F287">
        <v>0</v>
      </c>
      <c r="G287" t="str" cm="1">
        <f t="array" ref="G287">IFERROR(INDEX(ReferenceCard, MATCH(1, (INDEX(ReferenceCard,,1)=Table1[[#This Row],[SAP No]]) * (INDEX(ReferenceCard,,2)=Table1[[#This Row],[Mould No]]), 0), 3),)</f>
        <v>BX38-0350-Z-C-CL</v>
      </c>
      <c r="H287">
        <v>0</v>
      </c>
      <c r="I287" cm="1">
        <f t="array" ref="I287">IFERROR(INDEX(ReferenceCard, MATCH(1, (INDEX(ReferenceCard,,1)=Table1[[#This Row],[SAP No]]) * (INDEX(ReferenceCard,,2)=Table1[[#This Row],[Mould No]]), 0), 4),)</f>
        <v>4</v>
      </c>
      <c r="J287" s="4" cm="1">
        <f t="array" ref="J287">IFERROR(INDEX(ReferenceCard, MATCH(1, (INDEX(ReferenceCard,,1)=Table1[[#This Row],[SAP No]]) * (INDEX(ReferenceCard,,2)=Table1[[#This Row],[Mould No]]), 0), 9),)</f>
        <v>29</v>
      </c>
      <c r="K287" s="4" cm="1">
        <f t="array" ref="K287">IFERROR(INDEX(ReferenceCard, MATCH(1, (INDEX(ReferenceCard,,1)=Table1[[#This Row],[SAP No]]) * (INDEX(ReferenceCard,,2)=Table1[[#This Row],[Mould No]]), 0), 7),)</f>
        <v>29</v>
      </c>
      <c r="L287">
        <v>806</v>
      </c>
      <c r="M287">
        <v>0</v>
      </c>
      <c r="N287">
        <v>0</v>
      </c>
      <c r="O287">
        <v>0</v>
      </c>
      <c r="P287">
        <f>Table1[[#This Row],[Shot]]*Table1[[#This Row],[Cav]]</f>
        <v>3224</v>
      </c>
      <c r="Q287">
        <v>0</v>
      </c>
      <c r="R287">
        <f>(Table1[[#This Row],[Part Weight (gm)]]*Table1[[#This Row],[Finish Good]])/1000</f>
        <v>0</v>
      </c>
      <c r="S287">
        <v>0</v>
      </c>
      <c r="T287">
        <f>IF(Table1[[#This Row],[Qty Order]]="Sample","-",IF(Table1[[#This Row],[Qty Order]]="RTFN","-",Table1[[#This Row],[Qty Order]]-Table1[[#This Row],[Qty Accumulate]]))</f>
        <v>0</v>
      </c>
      <c r="U287">
        <f>((Table1[[#This Row],[Shift Output]]*Table1[[#This Row],[Part Weight (gm)]])/1000)+Table1[[#This Row],[Reject Startup (kg)]]+Table1[[#This Row],[Reject Purging (kg)]]+Table1[[#This Row],[Reject Preform (kg)]]</f>
        <v>93.495999999999995</v>
      </c>
      <c r="V287" s="37">
        <f>(Table1[[#This Row],[Gross Weight (gm)]]-Table1[[#This Row],[Part Weight (gm)]])*Table1[[#This Row],[Shift Output]]/1000</f>
        <v>0</v>
      </c>
      <c r="W287" s="3">
        <v>0</v>
      </c>
      <c r="X287" s="36">
        <f>Table1[[#This Row],[Reject Startup (kg)]]/Table1[[#This Row],[Material Used]]</f>
        <v>0</v>
      </c>
      <c r="Y287" s="3">
        <v>0</v>
      </c>
      <c r="Z287" s="36">
        <f>Table1[[#This Row],[Reject Prod (kg)]]/Table1[[#This Row],[Material Used]]</f>
        <v>0</v>
      </c>
      <c r="AA287" s="4">
        <v>20.8902873992919</v>
      </c>
      <c r="AB287" s="5">
        <v>11.0399999999999</v>
      </c>
      <c r="AC287" s="4" cm="1">
        <f t="array" ref="AC287">IFERROR(INDEX(ReferenceCard, MATCH(1, (INDEX(ReferenceCard,,1)=Table1[[#This Row],[SAP No]]) * (INDEX(ReferenceCard,,2)=Table1[[#This Row],[Mould No]]), 0), 9),)</f>
        <v>29</v>
      </c>
      <c r="AD287" s="5">
        <v>0</v>
      </c>
      <c r="AE287" s="5">
        <v>0</v>
      </c>
      <c r="AF287" s="5">
        <v>0.79</v>
      </c>
      <c r="AG287" s="5">
        <v>0</v>
      </c>
      <c r="AH287" s="5">
        <v>0</v>
      </c>
      <c r="AI287" s="5">
        <v>0.17999999999999899</v>
      </c>
      <c r="AJ287" s="5">
        <v>0</v>
      </c>
      <c r="AK287" t="s">
        <v>70</v>
      </c>
      <c r="AL287" s="2"/>
      <c r="AM287" s="2"/>
      <c r="AN287" s="3">
        <v>0</v>
      </c>
      <c r="AO287" s="3">
        <v>0</v>
      </c>
      <c r="AP28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8" spans="1:42" x14ac:dyDescent="0.35">
      <c r="A288" s="1">
        <v>46014</v>
      </c>
      <c r="B288">
        <v>1</v>
      </c>
      <c r="C288" t="s">
        <v>9</v>
      </c>
      <c r="D288" t="str" cm="1">
        <f t="array" ref="D288">IFERROR(INDEX(ReferenceCard, MATCH(1, (INDEX(ReferenceCard,,1)=Table1[[#This Row],[SAP No]]) * (INDEX(ReferenceCard,,2)=Table1[[#This Row],[Mould No]]), 0), 6),)</f>
        <v>PET</v>
      </c>
      <c r="E288">
        <v>322451</v>
      </c>
      <c r="F288">
        <v>0</v>
      </c>
      <c r="G288" t="str" cm="1">
        <f t="array" ref="G288">IFERROR(INDEX(ReferenceCard, MATCH(1, (INDEX(ReferenceCard,,1)=Table1[[#This Row],[SAP No]]) * (INDEX(ReferenceCard,,2)=Table1[[#This Row],[Mould No]]), 0), 3),)</f>
        <v>BC28-0500-WNHP-R-BR</v>
      </c>
      <c r="H288">
        <v>0</v>
      </c>
      <c r="I288" cm="1">
        <f t="array" ref="I288">IFERROR(INDEX(ReferenceCard, MATCH(1, (INDEX(ReferenceCard,,1)=Table1[[#This Row],[SAP No]]) * (INDEX(ReferenceCard,,2)=Table1[[#This Row],[Mould No]]), 0), 4),)</f>
        <v>4</v>
      </c>
      <c r="J288" s="4" cm="1">
        <f t="array" ref="J288">IFERROR(INDEX(ReferenceCard, MATCH(1, (INDEX(ReferenceCard,,1)=Table1[[#This Row],[SAP No]]) * (INDEX(ReferenceCard,,2)=Table1[[#This Row],[Mould No]]), 0), 9),)</f>
        <v>45.6</v>
      </c>
      <c r="K288" s="4" cm="1">
        <f t="array" ref="K288">IFERROR(INDEX(ReferenceCard, MATCH(1, (INDEX(ReferenceCard,,1)=Table1[[#This Row],[SAP No]]) * (INDEX(ReferenceCard,,2)=Table1[[#This Row],[Mould No]]), 0), 7),)</f>
        <v>45.6</v>
      </c>
      <c r="L288">
        <v>247</v>
      </c>
      <c r="M288">
        <v>0</v>
      </c>
      <c r="N288">
        <v>0</v>
      </c>
      <c r="O288">
        <v>0</v>
      </c>
      <c r="P288">
        <f>Table1[[#This Row],[Shot]]*Table1[[#This Row],[Cav]]</f>
        <v>988</v>
      </c>
      <c r="Q288">
        <v>0</v>
      </c>
      <c r="R288">
        <f>(Table1[[#This Row],[Part Weight (gm)]]*Table1[[#This Row],[Finish Good]])/1000</f>
        <v>0</v>
      </c>
      <c r="S288">
        <v>0</v>
      </c>
      <c r="T288">
        <f>IF(Table1[[#This Row],[Qty Order]]="Sample","-",IF(Table1[[#This Row],[Qty Order]]="RTFN","-",Table1[[#This Row],[Qty Order]]-Table1[[#This Row],[Qty Accumulate]]))</f>
        <v>0</v>
      </c>
      <c r="U288">
        <f>((Table1[[#This Row],[Shift Output]]*Table1[[#This Row],[Part Weight (gm)]])/1000)+Table1[[#This Row],[Reject Startup (kg)]]+Table1[[#This Row],[Reject Purging (kg)]]+Table1[[#This Row],[Reject Preform (kg)]]</f>
        <v>45.052800000000005</v>
      </c>
      <c r="V288" s="37">
        <f>(Table1[[#This Row],[Gross Weight (gm)]]-Table1[[#This Row],[Part Weight (gm)]])*Table1[[#This Row],[Shift Output]]/1000</f>
        <v>0</v>
      </c>
      <c r="W288" s="3">
        <v>0</v>
      </c>
      <c r="X288" s="36">
        <f>Table1[[#This Row],[Reject Startup (kg)]]/Table1[[#This Row],[Material Used]]</f>
        <v>0</v>
      </c>
      <c r="Y288" s="3">
        <v>0</v>
      </c>
      <c r="Z288" s="36">
        <f>Table1[[#This Row],[Reject Prod (kg)]]/Table1[[#This Row],[Material Used]]</f>
        <v>0</v>
      </c>
      <c r="AA288" s="4">
        <v>41.520759582519503</v>
      </c>
      <c r="AB288" s="5">
        <v>7.95</v>
      </c>
      <c r="AC288" s="4" cm="1">
        <f t="array" ref="AC288">IFERROR(INDEX(ReferenceCard, MATCH(1, (INDEX(ReferenceCard,,1)=Table1[[#This Row],[SAP No]]) * (INDEX(ReferenceCard,,2)=Table1[[#This Row],[Mould No]]), 0), 9),)</f>
        <v>45.6</v>
      </c>
      <c r="AD288" s="5">
        <v>0</v>
      </c>
      <c r="AE288" s="5">
        <v>0</v>
      </c>
      <c r="AF288" s="5">
        <v>0</v>
      </c>
      <c r="AG288" s="5">
        <v>0</v>
      </c>
      <c r="AH288" s="5">
        <v>4.0499999999999901</v>
      </c>
      <c r="AI288" s="5">
        <v>0</v>
      </c>
      <c r="AJ288" s="5">
        <v>0</v>
      </c>
      <c r="AL288" s="2"/>
      <c r="AM288" s="2"/>
      <c r="AN288" s="3">
        <v>0</v>
      </c>
      <c r="AO288" s="3">
        <v>0</v>
      </c>
      <c r="AP28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89" spans="1:42" x14ac:dyDescent="0.35">
      <c r="A289" s="1">
        <v>46014</v>
      </c>
      <c r="B289">
        <v>1</v>
      </c>
      <c r="C289" t="s">
        <v>11</v>
      </c>
      <c r="D289" t="str" cm="1">
        <f t="array" ref="D289">IFERROR(INDEX(ReferenceCard, MATCH(1, (INDEX(ReferenceCard,,1)=Table1[[#This Row],[SAP No]]) * (INDEX(ReferenceCard,,2)=Table1[[#This Row],[Mould No]]), 0), 6),)</f>
        <v>rPET</v>
      </c>
      <c r="E289">
        <v>620994</v>
      </c>
      <c r="F289">
        <v>0</v>
      </c>
      <c r="G289" t="str" cm="1">
        <f t="array" ref="G289">IFERROR(INDEX(ReferenceCard, MATCH(1, (INDEX(ReferenceCard,,1)=Table1[[#This Row],[SAP No]]) * (INDEX(ReferenceCard,,2)=Table1[[#This Row],[Mould No]]), 0), 3),)</f>
        <v>JJ63-0400-SH-S-CL-rPET</v>
      </c>
      <c r="H289">
        <v>0</v>
      </c>
      <c r="I289" cm="1">
        <f t="array" ref="I289">IFERROR(INDEX(ReferenceCard, MATCH(1, (INDEX(ReferenceCard,,1)=Table1[[#This Row],[SAP No]]) * (INDEX(ReferenceCard,,2)=Table1[[#This Row],[Mould No]]), 0), 4),)</f>
        <v>4</v>
      </c>
      <c r="J289" s="4" cm="1">
        <f t="array" ref="J289">IFERROR(INDEX(ReferenceCard, MATCH(1, (INDEX(ReferenceCard,,1)=Table1[[#This Row],[SAP No]]) * (INDEX(ReferenceCard,,2)=Table1[[#This Row],[Mould No]]), 0), 9),)</f>
        <v>32.74</v>
      </c>
      <c r="K289" s="4" cm="1">
        <f t="array" ref="K289">IFERROR(INDEX(ReferenceCard, MATCH(1, (INDEX(ReferenceCard,,1)=Table1[[#This Row],[SAP No]]) * (INDEX(ReferenceCard,,2)=Table1[[#This Row],[Mould No]]), 0), 7),)</f>
        <v>33</v>
      </c>
      <c r="L289">
        <v>2517</v>
      </c>
      <c r="M289">
        <v>0</v>
      </c>
      <c r="N289">
        <v>0</v>
      </c>
      <c r="O289">
        <v>0</v>
      </c>
      <c r="P289">
        <f>Table1[[#This Row],[Shot]]*Table1[[#This Row],[Cav]]</f>
        <v>10068</v>
      </c>
      <c r="Q289">
        <v>0</v>
      </c>
      <c r="R289">
        <f>(Table1[[#This Row],[Part Weight (gm)]]*Table1[[#This Row],[Finish Good]])/1000</f>
        <v>0</v>
      </c>
      <c r="S289">
        <v>0</v>
      </c>
      <c r="T289">
        <f>IF(Table1[[#This Row],[Qty Order]]="Sample","-",IF(Table1[[#This Row],[Qty Order]]="RTFN","-",Table1[[#This Row],[Qty Order]]-Table1[[#This Row],[Qty Accumulate]]))</f>
        <v>0</v>
      </c>
      <c r="U289">
        <f>((Table1[[#This Row],[Shift Output]]*Table1[[#This Row],[Part Weight (gm)]])/1000)+Table1[[#This Row],[Reject Startup (kg)]]+Table1[[#This Row],[Reject Purging (kg)]]+Table1[[#This Row],[Reject Preform (kg)]]</f>
        <v>332.24400000000003</v>
      </c>
      <c r="V289" s="37">
        <f>(Table1[[#This Row],[Gross Weight (gm)]]-Table1[[#This Row],[Part Weight (gm)]])*Table1[[#This Row],[Shift Output]]/1000</f>
        <v>-2.61767999999998</v>
      </c>
      <c r="W289" s="3">
        <v>0</v>
      </c>
      <c r="X289" s="36">
        <f>Table1[[#This Row],[Reject Startup (kg)]]/Table1[[#This Row],[Material Used]]</f>
        <v>0</v>
      </c>
      <c r="Y289" s="3">
        <v>0</v>
      </c>
      <c r="Z289" s="36">
        <f>Table1[[#This Row],[Reject Prod (kg)]]/Table1[[#This Row],[Material Used]]</f>
        <v>0</v>
      </c>
      <c r="AA289" s="4">
        <v>22.5729866027832</v>
      </c>
      <c r="AB289" s="5">
        <v>12</v>
      </c>
      <c r="AC289" s="4" cm="1">
        <f t="array" ref="AC289">IFERROR(INDEX(ReferenceCard, MATCH(1, (INDEX(ReferenceCard,,1)=Table1[[#This Row],[SAP No]]) * (INDEX(ReferenceCard,,2)=Table1[[#This Row],[Mould No]]), 0), 9),)</f>
        <v>32.74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L289" s="2"/>
      <c r="AM289" s="2"/>
      <c r="AN289" s="3">
        <v>0</v>
      </c>
      <c r="AO289" s="3">
        <v>0</v>
      </c>
      <c r="AP28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0" spans="1:42" x14ac:dyDescent="0.35">
      <c r="A290" s="1">
        <v>46014</v>
      </c>
      <c r="B290">
        <v>1</v>
      </c>
      <c r="C290" t="s">
        <v>14</v>
      </c>
      <c r="D290" t="str" cm="1">
        <f t="array" ref="D290">IFERROR(INDEX(ReferenceCard, MATCH(1, (INDEX(ReferenceCard,,1)=Table1[[#This Row],[SAP No]]) * (INDEX(ReferenceCard,,2)=Table1[[#This Row],[Mould No]]), 0), 6),)</f>
        <v>PET</v>
      </c>
      <c r="E290">
        <v>322444</v>
      </c>
      <c r="F290">
        <v>0</v>
      </c>
      <c r="G290" t="str" cm="1">
        <f t="array" ref="G290">IFERROR(INDEX(ReferenceCard, MATCH(1, (INDEX(ReferenceCard,,1)=Table1[[#This Row],[SAP No]]) * (INDEX(ReferenceCard,,2)=Table1[[#This Row],[Mould No]]), 0), 3),)</f>
        <v>JJ63-0400-RH-R-CL</v>
      </c>
      <c r="H290">
        <v>0</v>
      </c>
      <c r="I290" cm="1">
        <f t="array" ref="I290">IFERROR(INDEX(ReferenceCard, MATCH(1, (INDEX(ReferenceCard,,1)=Table1[[#This Row],[SAP No]]) * (INDEX(ReferenceCard,,2)=Table1[[#This Row],[Mould No]]), 0), 4),)</f>
        <v>4</v>
      </c>
      <c r="J290" s="4" cm="1">
        <f t="array" ref="J290">IFERROR(INDEX(ReferenceCard, MATCH(1, (INDEX(ReferenceCard,,1)=Table1[[#This Row],[SAP No]]) * (INDEX(ReferenceCard,,2)=Table1[[#This Row],[Mould No]]), 0), 9),)</f>
        <v>32.74</v>
      </c>
      <c r="K290" s="4" cm="1">
        <f t="array" ref="K290">IFERROR(INDEX(ReferenceCard, MATCH(1, (INDEX(ReferenceCard,,1)=Table1[[#This Row],[SAP No]]) * (INDEX(ReferenceCard,,2)=Table1[[#This Row],[Mould No]]), 0), 7),)</f>
        <v>34.5</v>
      </c>
      <c r="L290">
        <v>1343</v>
      </c>
      <c r="M290">
        <v>0</v>
      </c>
      <c r="N290">
        <v>0</v>
      </c>
      <c r="O290">
        <v>0</v>
      </c>
      <c r="P290">
        <f>Table1[[#This Row],[Shot]]*Table1[[#This Row],[Cav]]</f>
        <v>5372</v>
      </c>
      <c r="Q290">
        <v>0</v>
      </c>
      <c r="R290">
        <f>(Table1[[#This Row],[Part Weight (gm)]]*Table1[[#This Row],[Finish Good]])/1000</f>
        <v>0</v>
      </c>
      <c r="S290">
        <v>0</v>
      </c>
      <c r="T290">
        <f>IF(Table1[[#This Row],[Qty Order]]="Sample","-",IF(Table1[[#This Row],[Qty Order]]="RTFN","-",Table1[[#This Row],[Qty Order]]-Table1[[#This Row],[Qty Accumulate]]))</f>
        <v>0</v>
      </c>
      <c r="U290">
        <f>((Table1[[#This Row],[Shift Output]]*Table1[[#This Row],[Part Weight (gm)]])/1000)+Table1[[#This Row],[Reject Startup (kg)]]+Table1[[#This Row],[Reject Purging (kg)]]+Table1[[#This Row],[Reject Preform (kg)]]</f>
        <v>185.334</v>
      </c>
      <c r="V290" s="37">
        <f>(Table1[[#This Row],[Gross Weight (gm)]]-Table1[[#This Row],[Part Weight (gm)]])*Table1[[#This Row],[Shift Output]]/1000</f>
        <v>-9.4547199999999876</v>
      </c>
      <c r="W290" s="3">
        <v>0</v>
      </c>
      <c r="X290" s="36">
        <f>Table1[[#This Row],[Reject Startup (kg)]]/Table1[[#This Row],[Material Used]]</f>
        <v>0</v>
      </c>
      <c r="Y290" s="3">
        <v>0</v>
      </c>
      <c r="Z290" s="36">
        <f>Table1[[#This Row],[Reject Prod (kg)]]/Table1[[#This Row],[Material Used]]</f>
        <v>0</v>
      </c>
      <c r="AA290" s="4">
        <v>21.736083984375</v>
      </c>
      <c r="AB290" s="5">
        <v>12</v>
      </c>
      <c r="AC290" s="4" cm="1">
        <f t="array" ref="AC290">IFERROR(INDEX(ReferenceCard, MATCH(1, (INDEX(ReferenceCard,,1)=Table1[[#This Row],[SAP No]]) * (INDEX(ReferenceCard,,2)=Table1[[#This Row],[Mould No]]), 0), 9),)</f>
        <v>32.74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L290" s="2"/>
      <c r="AM290" s="2"/>
      <c r="AN290" s="3">
        <v>0</v>
      </c>
      <c r="AO290" s="3">
        <v>0</v>
      </c>
      <c r="AP29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1" spans="1:42" x14ac:dyDescent="0.35">
      <c r="A291" s="1">
        <v>46014</v>
      </c>
      <c r="B291">
        <v>1</v>
      </c>
      <c r="C291" t="s">
        <v>16</v>
      </c>
      <c r="D291" t="str" cm="1">
        <f t="array" ref="D291">IFERROR(INDEX(ReferenceCard, MATCH(1, (INDEX(ReferenceCard,,1)=Table1[[#This Row],[SAP No]]) * (INDEX(ReferenceCard,,2)=Table1[[#This Row],[Mould No]]), 0), 6),)</f>
        <v>PET</v>
      </c>
      <c r="E291">
        <v>324206</v>
      </c>
      <c r="F291">
        <v>0</v>
      </c>
      <c r="G291" t="str" cm="1">
        <f t="array" ref="G291">IFERROR(INDEX(ReferenceCard, MATCH(1, (INDEX(ReferenceCard,,1)=Table1[[#This Row],[SAP No]]) * (INDEX(ReferenceCard,,2)=Table1[[#This Row],[Mould No]]), 0), 3),)</f>
        <v>BX38-1000-HC-S-CL</v>
      </c>
      <c r="H291">
        <v>0</v>
      </c>
      <c r="I291" cm="1">
        <f t="array" ref="I291">IFERROR(INDEX(ReferenceCard, MATCH(1, (INDEX(ReferenceCard,,1)=Table1[[#This Row],[SAP No]]) * (INDEX(ReferenceCard,,2)=Table1[[#This Row],[Mould No]]), 0), 4),)</f>
        <v>4</v>
      </c>
      <c r="J291" s="4" cm="1">
        <f t="array" ref="J291">IFERROR(INDEX(ReferenceCard, MATCH(1, (INDEX(ReferenceCard,,1)=Table1[[#This Row],[SAP No]]) * (INDEX(ReferenceCard,,2)=Table1[[#This Row],[Mould No]]), 0), 9),)</f>
        <v>49</v>
      </c>
      <c r="K291" s="4" cm="1">
        <f t="array" ref="K291">IFERROR(INDEX(ReferenceCard, MATCH(1, (INDEX(ReferenceCard,,1)=Table1[[#This Row],[SAP No]]) * (INDEX(ReferenceCard,,2)=Table1[[#This Row],[Mould No]]), 0), 7),)</f>
        <v>48</v>
      </c>
      <c r="L291">
        <v>0</v>
      </c>
      <c r="M291">
        <v>0</v>
      </c>
      <c r="N291">
        <v>0</v>
      </c>
      <c r="O291">
        <v>0</v>
      </c>
      <c r="P291">
        <f>Table1[[#This Row],[Shot]]*Table1[[#This Row],[Cav]]</f>
        <v>0</v>
      </c>
      <c r="Q291">
        <v>0</v>
      </c>
      <c r="R291">
        <f>(Table1[[#This Row],[Part Weight (gm)]]*Table1[[#This Row],[Finish Good]])/1000</f>
        <v>0</v>
      </c>
      <c r="S291">
        <v>0</v>
      </c>
      <c r="T291">
        <f>IF(Table1[[#This Row],[Qty Order]]="Sample","-",IF(Table1[[#This Row],[Qty Order]]="RTFN","-",Table1[[#This Row],[Qty Order]]-Table1[[#This Row],[Qty Accumulate]]))</f>
        <v>0</v>
      </c>
      <c r="U291">
        <f>((Table1[[#This Row],[Shift Output]]*Table1[[#This Row],[Part Weight (gm)]])/1000)+Table1[[#This Row],[Reject Startup (kg)]]+Table1[[#This Row],[Reject Purging (kg)]]+Table1[[#This Row],[Reject Preform (kg)]]</f>
        <v>0</v>
      </c>
      <c r="V291" s="37">
        <f>(Table1[[#This Row],[Gross Weight (gm)]]-Table1[[#This Row],[Part Weight (gm)]])*Table1[[#This Row],[Shift Output]]/1000</f>
        <v>0</v>
      </c>
      <c r="W291" s="3">
        <v>0</v>
      </c>
      <c r="X291" s="36" t="e">
        <f>Table1[[#This Row],[Reject Startup (kg)]]/Table1[[#This Row],[Material Used]]</f>
        <v>#DIV/0!</v>
      </c>
      <c r="Y291" s="3">
        <v>0</v>
      </c>
      <c r="Z291" s="36" t="e">
        <f>Table1[[#This Row],[Reject Prod (kg)]]/Table1[[#This Row],[Material Used]]</f>
        <v>#DIV/0!</v>
      </c>
      <c r="AA291" s="4">
        <v>0</v>
      </c>
      <c r="AB291" s="5">
        <v>0</v>
      </c>
      <c r="AC291" s="4" cm="1">
        <f t="array" ref="AC291">IFERROR(INDEX(ReferenceCard, MATCH(1, (INDEX(ReferenceCard,,1)=Table1[[#This Row],[SAP No]]) * (INDEX(ReferenceCard,,2)=Table1[[#This Row],[Mould No]]), 0), 9),)</f>
        <v>49</v>
      </c>
      <c r="AD291" s="5">
        <v>0</v>
      </c>
      <c r="AE291" s="5">
        <v>0</v>
      </c>
      <c r="AF291" s="5">
        <v>0</v>
      </c>
      <c r="AG291" s="5">
        <v>12</v>
      </c>
      <c r="AH291" s="5">
        <v>0</v>
      </c>
      <c r="AI291" s="5">
        <v>0</v>
      </c>
      <c r="AJ291" s="5">
        <v>0</v>
      </c>
      <c r="AL291" s="2"/>
      <c r="AM291" s="2"/>
      <c r="AN291" s="3">
        <v>0</v>
      </c>
      <c r="AO291" s="3">
        <v>0</v>
      </c>
      <c r="AP29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2" spans="1:42" x14ac:dyDescent="0.35">
      <c r="A292" s="1">
        <v>46014</v>
      </c>
      <c r="B292">
        <v>1</v>
      </c>
      <c r="C292" t="s">
        <v>23</v>
      </c>
      <c r="D292" t="str" cm="1">
        <f t="array" ref="D292">IFERROR(INDEX(ReferenceCard, MATCH(1, (INDEX(ReferenceCard,,1)=Table1[[#This Row],[SAP No]]) * (INDEX(ReferenceCard,,2)=Table1[[#This Row],[Mould No]]), 0), 6),)</f>
        <v>PPSB520Y</v>
      </c>
      <c r="E292">
        <v>586276</v>
      </c>
      <c r="F292">
        <v>2</v>
      </c>
      <c r="G292" t="str" cm="1">
        <f t="array" ref="G292">IFERROR(INDEX(ReferenceCard, MATCH(1, (INDEX(ReferenceCard,,1)=Table1[[#This Row],[SAP No]]) * (INDEX(ReferenceCard,,2)=Table1[[#This Row],[Mould No]]), 0), 3),)</f>
        <v>BC28-0056-D-APH-LEB-604001-MOLD2</v>
      </c>
      <c r="H292">
        <v>0</v>
      </c>
      <c r="I292" cm="1">
        <f t="array" ref="I292">IFERROR(INDEX(ReferenceCard, MATCH(1, (INDEX(ReferenceCard,,1)=Table1[[#This Row],[SAP No]]) * (INDEX(ReferenceCard,,2)=Table1[[#This Row],[Mould No]]), 0), 4),)</f>
        <v>6</v>
      </c>
      <c r="J292" s="4" cm="1">
        <f t="array" ref="J292">IFERROR(INDEX(ReferenceCard, MATCH(1, (INDEX(ReferenceCard,,1)=Table1[[#This Row],[SAP No]]) * (INDEX(ReferenceCard,,2)=Table1[[#This Row],[Mould No]]), 0), 9),)</f>
        <v>12.3</v>
      </c>
      <c r="K292" s="4" cm="1">
        <f t="array" ref="K292">IFERROR(INDEX(ReferenceCard, MATCH(1, (INDEX(ReferenceCard,,1)=Table1[[#This Row],[SAP No]]) * (INDEX(ReferenceCard,,2)=Table1[[#This Row],[Mould No]]), 0), 7),)</f>
        <v>12.3</v>
      </c>
      <c r="L292">
        <v>1134</v>
      </c>
      <c r="M292">
        <v>0</v>
      </c>
      <c r="N292">
        <v>0</v>
      </c>
      <c r="O292">
        <v>0</v>
      </c>
      <c r="P292">
        <f>Table1[[#This Row],[Shot]]*Table1[[#This Row],[Cav]]</f>
        <v>6804</v>
      </c>
      <c r="Q292">
        <v>0</v>
      </c>
      <c r="R292">
        <f>(Table1[[#This Row],[Part Weight (gm)]]*Table1[[#This Row],[Finish Good]])/1000</f>
        <v>0</v>
      </c>
      <c r="S292">
        <v>0</v>
      </c>
      <c r="T292">
        <f>IF(Table1[[#This Row],[Qty Order]]="Sample","-",IF(Table1[[#This Row],[Qty Order]]="RTFN","-",Table1[[#This Row],[Qty Order]]-Table1[[#This Row],[Qty Accumulate]]))</f>
        <v>0</v>
      </c>
      <c r="U292">
        <f>((Table1[[#This Row],[Shift Output]]*Table1[[#This Row],[Part Weight (gm)]])/1000)+Table1[[#This Row],[Reject Startup (kg)]]+Table1[[#This Row],[Reject Purging (kg)]]+Table1[[#This Row],[Reject Preform (kg)]]</f>
        <v>83.689200000000014</v>
      </c>
      <c r="V292" s="37">
        <f>(Table1[[#This Row],[Gross Weight (gm)]]-Table1[[#This Row],[Part Weight (gm)]])*Table1[[#This Row],[Shift Output]]/1000</f>
        <v>0</v>
      </c>
      <c r="W292" s="3">
        <v>0</v>
      </c>
      <c r="X292" s="36">
        <f>Table1[[#This Row],[Reject Startup (kg)]]/Table1[[#This Row],[Material Used]]</f>
        <v>0</v>
      </c>
      <c r="Y292" s="3">
        <v>0</v>
      </c>
      <c r="Z292" s="36">
        <f>Table1[[#This Row],[Reject Prod (kg)]]/Table1[[#This Row],[Material Used]]</f>
        <v>0</v>
      </c>
      <c r="AA292" s="4">
        <v>25.753185272216701</v>
      </c>
      <c r="AB292" s="5">
        <v>12</v>
      </c>
      <c r="AC292" s="4" cm="1">
        <f t="array" ref="AC292">IFERROR(INDEX(ReferenceCard, MATCH(1, (INDEX(ReferenceCard,,1)=Table1[[#This Row],[SAP No]]) * (INDEX(ReferenceCard,,2)=Table1[[#This Row],[Mould No]]), 0), 9),)</f>
        <v>12.3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L292" s="2"/>
      <c r="AM292" s="2"/>
      <c r="AN292" s="3">
        <v>0</v>
      </c>
      <c r="AO292" s="3">
        <v>0</v>
      </c>
      <c r="AP29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3" spans="1:42" x14ac:dyDescent="0.35">
      <c r="A293" s="1">
        <v>46014</v>
      </c>
      <c r="B293">
        <v>1</v>
      </c>
      <c r="C293" t="s">
        <v>25</v>
      </c>
      <c r="D293" t="str" cm="1">
        <f t="array" ref="D293">IFERROR(INDEX(ReferenceCard, MATCH(1, (INDEX(ReferenceCard,,1)=Table1[[#This Row],[SAP No]]) * (INDEX(ReferenceCard,,2)=Table1[[#This Row],[Mould No]]), 0), 6),)</f>
        <v>PET</v>
      </c>
      <c r="E293">
        <v>323133</v>
      </c>
      <c r="F293">
        <v>0</v>
      </c>
      <c r="G293" t="str" cm="1">
        <f t="array" ref="G293">IFERROR(INDEX(ReferenceCard, MATCH(1, (INDEX(ReferenceCard,,1)=Table1[[#This Row],[SAP No]]) * (INDEX(ReferenceCard,,2)=Table1[[#This Row],[Mould No]]), 0), 3),)</f>
        <v>BX38-2000-RH-R-CL(GREEN) (ASEM)</v>
      </c>
      <c r="H293">
        <v>0</v>
      </c>
      <c r="I293" cm="1">
        <f t="array" ref="I293">IFERROR(INDEX(ReferenceCard, MATCH(1, (INDEX(ReferenceCard,,1)=Table1[[#This Row],[SAP No]]) * (INDEX(ReferenceCard,,2)=Table1[[#This Row],[Mould No]]), 0), 4),)</f>
        <v>4</v>
      </c>
      <c r="J293" s="4" cm="1">
        <f t="array" ref="J293">IFERROR(INDEX(ReferenceCard, MATCH(1, (INDEX(ReferenceCard,,1)=Table1[[#This Row],[SAP No]]) * (INDEX(ReferenceCard,,2)=Table1[[#This Row],[Mould No]]), 0), 9),)</f>
        <v>77</v>
      </c>
      <c r="K293" s="4" cm="1">
        <f t="array" ref="K293">IFERROR(INDEX(ReferenceCard, MATCH(1, (INDEX(ReferenceCard,,1)=Table1[[#This Row],[SAP No]]) * (INDEX(ReferenceCard,,2)=Table1[[#This Row],[Mould No]]), 0), 7),)</f>
        <v>77</v>
      </c>
      <c r="L293">
        <v>86</v>
      </c>
      <c r="M293">
        <v>0</v>
      </c>
      <c r="N293">
        <v>0</v>
      </c>
      <c r="O293">
        <v>0</v>
      </c>
      <c r="P293">
        <f>Table1[[#This Row],[Shot]]*Table1[[#This Row],[Cav]]</f>
        <v>344</v>
      </c>
      <c r="Q293">
        <v>0</v>
      </c>
      <c r="R293">
        <f>(Table1[[#This Row],[Part Weight (gm)]]*Table1[[#This Row],[Finish Good]])/1000</f>
        <v>0</v>
      </c>
      <c r="S293">
        <v>0</v>
      </c>
      <c r="T293">
        <f>IF(Table1[[#This Row],[Qty Order]]="Sample","-",IF(Table1[[#This Row],[Qty Order]]="RTFN","-",Table1[[#This Row],[Qty Order]]-Table1[[#This Row],[Qty Accumulate]]))</f>
        <v>0</v>
      </c>
      <c r="U293">
        <f>((Table1[[#This Row],[Shift Output]]*Table1[[#This Row],[Part Weight (gm)]])/1000)+Table1[[#This Row],[Reject Startup (kg)]]+Table1[[#This Row],[Reject Purging (kg)]]+Table1[[#This Row],[Reject Preform (kg)]]</f>
        <v>26.488</v>
      </c>
      <c r="V293" s="37">
        <f>(Table1[[#This Row],[Gross Weight (gm)]]-Table1[[#This Row],[Part Weight (gm)]])*Table1[[#This Row],[Shift Output]]/1000</f>
        <v>0</v>
      </c>
      <c r="W293" s="3">
        <v>0</v>
      </c>
      <c r="X293" s="36">
        <f>Table1[[#This Row],[Reject Startup (kg)]]/Table1[[#This Row],[Material Used]]</f>
        <v>0</v>
      </c>
      <c r="Y293" s="3">
        <v>0</v>
      </c>
      <c r="Z293" s="36">
        <f>Table1[[#This Row],[Reject Prod (kg)]]/Table1[[#This Row],[Material Used]]</f>
        <v>0</v>
      </c>
      <c r="AA293" s="4">
        <v>0</v>
      </c>
      <c r="AB293" s="5">
        <v>0</v>
      </c>
      <c r="AC293" s="4" cm="1">
        <f t="array" ref="AC293">IFERROR(INDEX(ReferenceCard, MATCH(1, (INDEX(ReferenceCard,,1)=Table1[[#This Row],[SAP No]]) * (INDEX(ReferenceCard,,2)=Table1[[#This Row],[Mould No]]), 0), 9),)</f>
        <v>77</v>
      </c>
      <c r="AD293" s="5">
        <v>0</v>
      </c>
      <c r="AE293" s="5">
        <v>0</v>
      </c>
      <c r="AF293" s="5">
        <v>0</v>
      </c>
      <c r="AG293" s="5">
        <v>12</v>
      </c>
      <c r="AH293" s="5">
        <v>0</v>
      </c>
      <c r="AI293" s="5">
        <v>0</v>
      </c>
      <c r="AJ293" s="5">
        <v>0</v>
      </c>
      <c r="AK293" t="s">
        <v>71</v>
      </c>
      <c r="AL293" s="2"/>
      <c r="AM293" s="2"/>
      <c r="AN293" s="3">
        <v>0</v>
      </c>
      <c r="AO293" s="3">
        <v>0</v>
      </c>
      <c r="AP29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4" spans="1:42" x14ac:dyDescent="0.35">
      <c r="A294" s="1">
        <v>46014</v>
      </c>
      <c r="B294">
        <v>1</v>
      </c>
      <c r="C294" t="s">
        <v>27</v>
      </c>
      <c r="D294" t="str" cm="1">
        <f t="array" ref="D294">IFERROR(INDEX(ReferenceCard, MATCH(1, (INDEX(ReferenceCard,,1)=Table1[[#This Row],[SAP No]]) * (INDEX(ReferenceCard,,2)=Table1[[#This Row],[Mould No]]), 0), 6),)</f>
        <v>PPSB520Y</v>
      </c>
      <c r="E294">
        <v>552181</v>
      </c>
      <c r="F294">
        <v>4</v>
      </c>
      <c r="G294" t="str" cm="1">
        <f t="array" ref="G294">IFERROR(INDEX(ReferenceCard, MATCH(1, (INDEX(ReferenceCard,,1)=Table1[[#This Row],[SAP No]]) * (INDEX(ReferenceCard,,2)=Table1[[#This Row],[Mould No]]), 0), 3),)</f>
        <v>BC28-0090-D-APH-5180-3538-PP-6 NOTCHES-MOLD4</v>
      </c>
      <c r="H294">
        <v>0</v>
      </c>
      <c r="I294" cm="1">
        <f t="array" ref="I294">IFERROR(INDEX(ReferenceCard, MATCH(1, (INDEX(ReferenceCard,,1)=Table1[[#This Row],[SAP No]]) * (INDEX(ReferenceCard,,2)=Table1[[#This Row],[Mould No]]), 0), 4),)</f>
        <v>6</v>
      </c>
      <c r="J294" s="4" cm="1">
        <f t="array" ref="J294">IFERROR(INDEX(ReferenceCard, MATCH(1, (INDEX(ReferenceCard,,1)=Table1[[#This Row],[SAP No]]) * (INDEX(ReferenceCard,,2)=Table1[[#This Row],[Mould No]]), 0), 9),)</f>
        <v>18.8</v>
      </c>
      <c r="K294" s="4" cm="1">
        <f t="array" ref="K294">IFERROR(INDEX(ReferenceCard, MATCH(1, (INDEX(ReferenceCard,,1)=Table1[[#This Row],[SAP No]]) * (INDEX(ReferenceCard,,2)=Table1[[#This Row],[Mould No]]), 0), 7),)</f>
        <v>18.8</v>
      </c>
      <c r="L294">
        <v>987</v>
      </c>
      <c r="M294">
        <v>0</v>
      </c>
      <c r="N294">
        <v>0</v>
      </c>
      <c r="O294">
        <v>0</v>
      </c>
      <c r="P294">
        <f>Table1[[#This Row],[Shot]]*Table1[[#This Row],[Cav]]</f>
        <v>5922</v>
      </c>
      <c r="Q294">
        <v>0</v>
      </c>
      <c r="R294">
        <f>(Table1[[#This Row],[Part Weight (gm)]]*Table1[[#This Row],[Finish Good]])/1000</f>
        <v>0</v>
      </c>
      <c r="S294">
        <v>0</v>
      </c>
      <c r="T294">
        <f>IF(Table1[[#This Row],[Qty Order]]="Sample","-",IF(Table1[[#This Row],[Qty Order]]="RTFN","-",Table1[[#This Row],[Qty Order]]-Table1[[#This Row],[Qty Accumulate]]))</f>
        <v>0</v>
      </c>
      <c r="U294">
        <f>((Table1[[#This Row],[Shift Output]]*Table1[[#This Row],[Part Weight (gm)]])/1000)+Table1[[#This Row],[Reject Startup (kg)]]+Table1[[#This Row],[Reject Purging (kg)]]+Table1[[#This Row],[Reject Preform (kg)]]</f>
        <v>111.3336</v>
      </c>
      <c r="V294" s="37">
        <f>(Table1[[#This Row],[Gross Weight (gm)]]-Table1[[#This Row],[Part Weight (gm)]])*Table1[[#This Row],[Shift Output]]/1000</f>
        <v>0</v>
      </c>
      <c r="W294" s="3">
        <v>0</v>
      </c>
      <c r="X294" s="36">
        <f>Table1[[#This Row],[Reject Startup (kg)]]/Table1[[#This Row],[Material Used]]</f>
        <v>0</v>
      </c>
      <c r="Y294" s="3">
        <v>0</v>
      </c>
      <c r="Z294" s="36">
        <f>Table1[[#This Row],[Reject Prod (kg)]]/Table1[[#This Row],[Material Used]]</f>
        <v>0</v>
      </c>
      <c r="AA294" s="4">
        <v>29.592809677123999</v>
      </c>
      <c r="AB294" s="5">
        <v>12</v>
      </c>
      <c r="AC294" s="4" cm="1">
        <f t="array" ref="AC294">IFERROR(INDEX(ReferenceCard, MATCH(1, (INDEX(ReferenceCard,,1)=Table1[[#This Row],[SAP No]]) * (INDEX(ReferenceCard,,2)=Table1[[#This Row],[Mould No]]), 0), 9),)</f>
        <v>18.8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L294" s="2"/>
      <c r="AM294" s="2"/>
      <c r="AN294" s="3">
        <v>0</v>
      </c>
      <c r="AO294" s="3">
        <v>0</v>
      </c>
      <c r="AP29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5" spans="1:42" x14ac:dyDescent="0.35">
      <c r="A295" s="1">
        <v>46014</v>
      </c>
      <c r="B295">
        <v>1</v>
      </c>
      <c r="C295" t="s">
        <v>29</v>
      </c>
      <c r="D295" t="str" cm="1">
        <f t="array" ref="D295">IFERROR(INDEX(ReferenceCard, MATCH(1, (INDEX(ReferenceCard,,1)=Table1[[#This Row],[SAP No]]) * (INDEX(ReferenceCard,,2)=Table1[[#This Row],[Mould No]]), 0), 6),)</f>
        <v>PET</v>
      </c>
      <c r="E295">
        <v>620599</v>
      </c>
      <c r="F295">
        <v>0</v>
      </c>
      <c r="G295" t="str" cm="1">
        <f t="array" ref="G295">IFERROR(INDEX(ReferenceCard, MATCH(1, (INDEX(ReferenceCard,,1)=Table1[[#This Row],[SAP No]]) * (INDEX(ReferenceCard,,2)=Table1[[#This Row],[Mould No]]), 0), 3),)</f>
        <v>BC28-0750-K4-R-CL (55g)</v>
      </c>
      <c r="H295">
        <v>0</v>
      </c>
      <c r="I295" cm="1">
        <f t="array" ref="I295">IFERROR(INDEX(ReferenceCard, MATCH(1, (INDEX(ReferenceCard,,1)=Table1[[#This Row],[SAP No]]) * (INDEX(ReferenceCard,,2)=Table1[[#This Row],[Mould No]]), 0), 4),)</f>
        <v>4</v>
      </c>
      <c r="J295" s="4" cm="1">
        <f t="array" ref="J295">IFERROR(INDEX(ReferenceCard, MATCH(1, (INDEX(ReferenceCard,,1)=Table1[[#This Row],[SAP No]]) * (INDEX(ReferenceCard,,2)=Table1[[#This Row],[Mould No]]), 0), 9),)</f>
        <v>55</v>
      </c>
      <c r="K295" s="4" cm="1">
        <f t="array" ref="K295">IFERROR(INDEX(ReferenceCard, MATCH(1, (INDEX(ReferenceCard,,1)=Table1[[#This Row],[SAP No]]) * (INDEX(ReferenceCard,,2)=Table1[[#This Row],[Mould No]]), 0), 7),)</f>
        <v>55</v>
      </c>
      <c r="L295">
        <v>2250</v>
      </c>
      <c r="M295">
        <v>0</v>
      </c>
      <c r="N295">
        <v>0</v>
      </c>
      <c r="O295">
        <v>0</v>
      </c>
      <c r="P295">
        <f>Table1[[#This Row],[Shot]]*Table1[[#This Row],[Cav]]</f>
        <v>9000</v>
      </c>
      <c r="Q295">
        <v>0</v>
      </c>
      <c r="R295">
        <f>(Table1[[#This Row],[Part Weight (gm)]]*Table1[[#This Row],[Finish Good]])/1000</f>
        <v>0</v>
      </c>
      <c r="S295">
        <v>0</v>
      </c>
      <c r="T295">
        <f>IF(Table1[[#This Row],[Qty Order]]="Sample","-",IF(Table1[[#This Row],[Qty Order]]="RTFN","-",Table1[[#This Row],[Qty Order]]-Table1[[#This Row],[Qty Accumulate]]))</f>
        <v>0</v>
      </c>
      <c r="U295">
        <f>((Table1[[#This Row],[Shift Output]]*Table1[[#This Row],[Part Weight (gm)]])/1000)+Table1[[#This Row],[Reject Startup (kg)]]+Table1[[#This Row],[Reject Purging (kg)]]+Table1[[#This Row],[Reject Preform (kg)]]</f>
        <v>495</v>
      </c>
      <c r="V295" s="37">
        <f>(Table1[[#This Row],[Gross Weight (gm)]]-Table1[[#This Row],[Part Weight (gm)]])*Table1[[#This Row],[Shift Output]]/1000</f>
        <v>0</v>
      </c>
      <c r="W295" s="3">
        <v>0</v>
      </c>
      <c r="X295" s="36">
        <f>Table1[[#This Row],[Reject Startup (kg)]]/Table1[[#This Row],[Material Used]]</f>
        <v>0</v>
      </c>
      <c r="Y295" s="3">
        <v>0</v>
      </c>
      <c r="Z295" s="36">
        <f>Table1[[#This Row],[Reject Prod (kg)]]/Table1[[#This Row],[Material Used]]</f>
        <v>0</v>
      </c>
      <c r="AA295" s="4">
        <v>27.898130416870099</v>
      </c>
      <c r="AB295" s="5">
        <v>12</v>
      </c>
      <c r="AC295" s="4" cm="1">
        <f t="array" ref="AC295">IFERROR(INDEX(ReferenceCard, MATCH(1, (INDEX(ReferenceCard,,1)=Table1[[#This Row],[SAP No]]) * (INDEX(ReferenceCard,,2)=Table1[[#This Row],[Mould No]]), 0), 9),)</f>
        <v>55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L295" s="2"/>
      <c r="AM295" s="2"/>
      <c r="AN295" s="3">
        <v>0</v>
      </c>
      <c r="AO295" s="3">
        <v>0</v>
      </c>
      <c r="AP29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6" spans="1:42" x14ac:dyDescent="0.35">
      <c r="A296" s="1">
        <v>46014</v>
      </c>
      <c r="B296">
        <v>1</v>
      </c>
      <c r="C296" t="s">
        <v>31</v>
      </c>
      <c r="D296" t="str" cm="1">
        <f t="array" ref="D296">IFERROR(INDEX(ReferenceCard, MATCH(1, (INDEX(ReferenceCard,,1)=Table1[[#This Row],[SAP No]]) * (INDEX(ReferenceCard,,2)=Table1[[#This Row],[Mould No]]), 0), 6),)</f>
        <v>PPSB520Y</v>
      </c>
      <c r="E296">
        <v>586276</v>
      </c>
      <c r="F296">
        <v>4</v>
      </c>
      <c r="G296" t="str" cm="1">
        <f t="array" ref="G296">IFERROR(INDEX(ReferenceCard, MATCH(1, (INDEX(ReferenceCard,,1)=Table1[[#This Row],[SAP No]]) * (INDEX(ReferenceCard,,2)=Table1[[#This Row],[Mould No]]), 0), 3),)</f>
        <v>BC28-0056-D-APH-LEB-604001-MOLD4</v>
      </c>
      <c r="H296">
        <v>0</v>
      </c>
      <c r="I296" cm="1">
        <f t="array" ref="I296">IFERROR(INDEX(ReferenceCard, MATCH(1, (INDEX(ReferenceCard,,1)=Table1[[#This Row],[SAP No]]) * (INDEX(ReferenceCard,,2)=Table1[[#This Row],[Mould No]]), 0), 4),)</f>
        <v>6</v>
      </c>
      <c r="J296" s="4" cm="1">
        <f t="array" ref="J296">IFERROR(INDEX(ReferenceCard, MATCH(1, (INDEX(ReferenceCard,,1)=Table1[[#This Row],[SAP No]]) * (INDEX(ReferenceCard,,2)=Table1[[#This Row],[Mould No]]), 0), 9),)</f>
        <v>12.3</v>
      </c>
      <c r="K296" s="4" cm="1">
        <f t="array" ref="K296">IFERROR(INDEX(ReferenceCard, MATCH(1, (INDEX(ReferenceCard,,1)=Table1[[#This Row],[SAP No]]) * (INDEX(ReferenceCard,,2)=Table1[[#This Row],[Mould No]]), 0), 7),)</f>
        <v>12.3</v>
      </c>
      <c r="L296">
        <v>1116</v>
      </c>
      <c r="M296">
        <v>0</v>
      </c>
      <c r="N296">
        <v>0</v>
      </c>
      <c r="O296">
        <v>0</v>
      </c>
      <c r="P296">
        <f>Table1[[#This Row],[Shot]]*Table1[[#This Row],[Cav]]</f>
        <v>6696</v>
      </c>
      <c r="Q296">
        <v>0</v>
      </c>
      <c r="R296">
        <f>(Table1[[#This Row],[Part Weight (gm)]]*Table1[[#This Row],[Finish Good]])/1000</f>
        <v>0</v>
      </c>
      <c r="S296">
        <v>0</v>
      </c>
      <c r="T296">
        <f>IF(Table1[[#This Row],[Qty Order]]="Sample","-",IF(Table1[[#This Row],[Qty Order]]="RTFN","-",Table1[[#This Row],[Qty Order]]-Table1[[#This Row],[Qty Accumulate]]))</f>
        <v>0</v>
      </c>
      <c r="U296">
        <f>((Table1[[#This Row],[Shift Output]]*Table1[[#This Row],[Part Weight (gm)]])/1000)+Table1[[#This Row],[Reject Startup (kg)]]+Table1[[#This Row],[Reject Purging (kg)]]+Table1[[#This Row],[Reject Preform (kg)]]</f>
        <v>82.360799999999998</v>
      </c>
      <c r="V296" s="37">
        <f>(Table1[[#This Row],[Gross Weight (gm)]]-Table1[[#This Row],[Part Weight (gm)]])*Table1[[#This Row],[Shift Output]]/1000</f>
        <v>0</v>
      </c>
      <c r="W296" s="3">
        <v>0</v>
      </c>
      <c r="X296" s="36">
        <f>Table1[[#This Row],[Reject Startup (kg)]]/Table1[[#This Row],[Material Used]]</f>
        <v>0</v>
      </c>
      <c r="Y296" s="3">
        <v>0</v>
      </c>
      <c r="Z296" s="36">
        <f>Table1[[#This Row],[Reject Prod (kg)]]/Table1[[#This Row],[Material Used]]</f>
        <v>0</v>
      </c>
      <c r="AA296" s="4">
        <v>26.187925338745099</v>
      </c>
      <c r="AB296" s="5">
        <v>12</v>
      </c>
      <c r="AC296" s="4" cm="1">
        <f t="array" ref="AC296">IFERROR(INDEX(ReferenceCard, MATCH(1, (INDEX(ReferenceCard,,1)=Table1[[#This Row],[SAP No]]) * (INDEX(ReferenceCard,,2)=Table1[[#This Row],[Mould No]]), 0), 9),)</f>
        <v>12.3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L296" s="2"/>
      <c r="AM296" s="2"/>
      <c r="AN296" s="3">
        <v>0</v>
      </c>
      <c r="AO296" s="3">
        <v>0</v>
      </c>
      <c r="AP29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7" spans="1:42" x14ac:dyDescent="0.35">
      <c r="A297" s="1">
        <v>46013</v>
      </c>
      <c r="B297">
        <v>2</v>
      </c>
      <c r="C297" t="s">
        <v>9</v>
      </c>
      <c r="D297" t="str" cm="1">
        <f t="array" ref="D297">IFERROR(INDEX(ReferenceCard, MATCH(1, (INDEX(ReferenceCard,,1)=Table1[[#This Row],[SAP No]]) * (INDEX(ReferenceCard,,2)=Table1[[#This Row],[Mould No]]), 0), 6),)</f>
        <v>PET</v>
      </c>
      <c r="E297">
        <v>322451</v>
      </c>
      <c r="F297">
        <v>0</v>
      </c>
      <c r="G297" t="str" cm="1">
        <f t="array" ref="G297">IFERROR(INDEX(ReferenceCard, MATCH(1, (INDEX(ReferenceCard,,1)=Table1[[#This Row],[SAP No]]) * (INDEX(ReferenceCard,,2)=Table1[[#This Row],[Mould No]]), 0), 3),)</f>
        <v>BC28-0500-WNHP-R-BR</v>
      </c>
      <c r="H297">
        <v>0</v>
      </c>
      <c r="I297" cm="1">
        <f t="array" ref="I297">IFERROR(INDEX(ReferenceCard, MATCH(1, (INDEX(ReferenceCard,,1)=Table1[[#This Row],[SAP No]]) * (INDEX(ReferenceCard,,2)=Table1[[#This Row],[Mould No]]), 0), 4),)</f>
        <v>4</v>
      </c>
      <c r="J297" s="4" cm="1">
        <f t="array" ref="J297">IFERROR(INDEX(ReferenceCard, MATCH(1, (INDEX(ReferenceCard,,1)=Table1[[#This Row],[SAP No]]) * (INDEX(ReferenceCard,,2)=Table1[[#This Row],[Mould No]]), 0), 9),)</f>
        <v>45.6</v>
      </c>
      <c r="K297" s="4" cm="1">
        <f t="array" ref="K297">IFERROR(INDEX(ReferenceCard, MATCH(1, (INDEX(ReferenceCard,,1)=Table1[[#This Row],[SAP No]]) * (INDEX(ReferenceCard,,2)=Table1[[#This Row],[Mould No]]), 0), 7),)</f>
        <v>45.6</v>
      </c>
      <c r="L297">
        <v>390</v>
      </c>
      <c r="M297">
        <v>0</v>
      </c>
      <c r="N297">
        <v>0</v>
      </c>
      <c r="O297">
        <v>0</v>
      </c>
      <c r="P297">
        <f>Table1[[#This Row],[Shot]]*Table1[[#This Row],[Cav]]</f>
        <v>1560</v>
      </c>
      <c r="Q297">
        <v>0</v>
      </c>
      <c r="R297">
        <f>(Table1[[#This Row],[Part Weight (gm)]]*Table1[[#This Row],[Finish Good]])/1000</f>
        <v>0</v>
      </c>
      <c r="S297">
        <v>0</v>
      </c>
      <c r="T297">
        <f>IF(Table1[[#This Row],[Qty Order]]="Sample","-",IF(Table1[[#This Row],[Qty Order]]="RTFN","-",Table1[[#This Row],[Qty Order]]-Table1[[#This Row],[Qty Accumulate]]))</f>
        <v>0</v>
      </c>
      <c r="U297">
        <f>((Table1[[#This Row],[Shift Output]]*Table1[[#This Row],[Part Weight (gm)]])/1000)+Table1[[#This Row],[Reject Startup (kg)]]+Table1[[#This Row],[Reject Purging (kg)]]+Table1[[#This Row],[Reject Preform (kg)]]</f>
        <v>71.135999999999996</v>
      </c>
      <c r="V297" s="37">
        <f>(Table1[[#This Row],[Gross Weight (gm)]]-Table1[[#This Row],[Part Weight (gm)]])*Table1[[#This Row],[Shift Output]]/1000</f>
        <v>0</v>
      </c>
      <c r="W297" s="3">
        <v>0</v>
      </c>
      <c r="X297" s="36">
        <f>Table1[[#This Row],[Reject Startup (kg)]]/Table1[[#This Row],[Material Used]]</f>
        <v>0</v>
      </c>
      <c r="Y297" s="3">
        <v>0</v>
      </c>
      <c r="Z297" s="36">
        <f>Table1[[#This Row],[Reject Prod (kg)]]/Table1[[#This Row],[Material Used]]</f>
        <v>0</v>
      </c>
      <c r="AA297" s="4">
        <v>33.5816841125488</v>
      </c>
      <c r="AB297" s="5">
        <v>1.83</v>
      </c>
      <c r="AC297" s="4" cm="1">
        <f t="array" ref="AC297">IFERROR(INDEX(ReferenceCard, MATCH(1, (INDEX(ReferenceCard,,1)=Table1[[#This Row],[SAP No]]) * (INDEX(ReferenceCard,,2)=Table1[[#This Row],[Mould No]]), 0), 9),)</f>
        <v>45.6</v>
      </c>
      <c r="AD297" s="5">
        <v>0</v>
      </c>
      <c r="AE297" s="5">
        <v>0</v>
      </c>
      <c r="AF297" s="5">
        <v>0</v>
      </c>
      <c r="AG297" s="5">
        <v>0</v>
      </c>
      <c r="AH297" s="5">
        <v>10.17</v>
      </c>
      <c r="AI297" s="5">
        <v>0</v>
      </c>
      <c r="AJ297" s="5">
        <v>0</v>
      </c>
      <c r="AL297" s="2"/>
      <c r="AM297" s="2"/>
      <c r="AN297" s="3">
        <v>0</v>
      </c>
      <c r="AO297" s="3">
        <v>0</v>
      </c>
      <c r="AP29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8" spans="1:42" x14ac:dyDescent="0.35">
      <c r="A298" s="1">
        <v>46013</v>
      </c>
      <c r="B298">
        <v>2</v>
      </c>
      <c r="C298" t="s">
        <v>29</v>
      </c>
      <c r="D298" t="str" cm="1">
        <f t="array" ref="D298">IFERROR(INDEX(ReferenceCard, MATCH(1, (INDEX(ReferenceCard,,1)=Table1[[#This Row],[SAP No]]) * (INDEX(ReferenceCard,,2)=Table1[[#This Row],[Mould No]]), 0), 6),)</f>
        <v>PET</v>
      </c>
      <c r="E298">
        <v>620599</v>
      </c>
      <c r="F298">
        <v>0</v>
      </c>
      <c r="G298" t="str" cm="1">
        <f t="array" ref="G298">IFERROR(INDEX(ReferenceCard, MATCH(1, (INDEX(ReferenceCard,,1)=Table1[[#This Row],[SAP No]]) * (INDEX(ReferenceCard,,2)=Table1[[#This Row],[Mould No]]), 0), 3),)</f>
        <v>BC28-0750-K4-R-CL (55g)</v>
      </c>
      <c r="H298">
        <v>0</v>
      </c>
      <c r="I298" cm="1">
        <f t="array" ref="I298">IFERROR(INDEX(ReferenceCard, MATCH(1, (INDEX(ReferenceCard,,1)=Table1[[#This Row],[SAP No]]) * (INDEX(ReferenceCard,,2)=Table1[[#This Row],[Mould No]]), 0), 4),)</f>
        <v>4</v>
      </c>
      <c r="J298" s="4" cm="1">
        <f t="array" ref="J298">IFERROR(INDEX(ReferenceCard, MATCH(1, (INDEX(ReferenceCard,,1)=Table1[[#This Row],[SAP No]]) * (INDEX(ReferenceCard,,2)=Table1[[#This Row],[Mould No]]), 0), 9),)</f>
        <v>55</v>
      </c>
      <c r="K298" s="4" cm="1">
        <f t="array" ref="K298">IFERROR(INDEX(ReferenceCard, MATCH(1, (INDEX(ReferenceCard,,1)=Table1[[#This Row],[SAP No]]) * (INDEX(ReferenceCard,,2)=Table1[[#This Row],[Mould No]]), 0), 7),)</f>
        <v>55</v>
      </c>
      <c r="L298">
        <v>1548</v>
      </c>
      <c r="M298">
        <v>0</v>
      </c>
      <c r="N298">
        <v>0</v>
      </c>
      <c r="O298">
        <v>0</v>
      </c>
      <c r="P298">
        <f>Table1[[#This Row],[Shot]]*Table1[[#This Row],[Cav]]</f>
        <v>6192</v>
      </c>
      <c r="Q298">
        <v>0</v>
      </c>
      <c r="R298">
        <f>(Table1[[#This Row],[Part Weight (gm)]]*Table1[[#This Row],[Finish Good]])/1000</f>
        <v>0</v>
      </c>
      <c r="S298">
        <v>0</v>
      </c>
      <c r="T298">
        <f>IF(Table1[[#This Row],[Qty Order]]="Sample","-",IF(Table1[[#This Row],[Qty Order]]="RTFN","-",Table1[[#This Row],[Qty Order]]-Table1[[#This Row],[Qty Accumulate]]))</f>
        <v>0</v>
      </c>
      <c r="U298">
        <f>((Table1[[#This Row],[Shift Output]]*Table1[[#This Row],[Part Weight (gm)]])/1000)+Table1[[#This Row],[Reject Startup (kg)]]+Table1[[#This Row],[Reject Purging (kg)]]+Table1[[#This Row],[Reject Preform (kg)]]</f>
        <v>340.56</v>
      </c>
      <c r="V298" s="37">
        <f>(Table1[[#This Row],[Gross Weight (gm)]]-Table1[[#This Row],[Part Weight (gm)]])*Table1[[#This Row],[Shift Output]]/1000</f>
        <v>0</v>
      </c>
      <c r="W298" s="3">
        <v>0</v>
      </c>
      <c r="X298" s="36">
        <f>Table1[[#This Row],[Reject Startup (kg)]]/Table1[[#This Row],[Material Used]]</f>
        <v>0</v>
      </c>
      <c r="Y298" s="3">
        <v>0</v>
      </c>
      <c r="Z298" s="36">
        <f>Table1[[#This Row],[Reject Prod (kg)]]/Table1[[#This Row],[Material Used]]</f>
        <v>0</v>
      </c>
      <c r="AA298" s="4">
        <v>27.908086776733299</v>
      </c>
      <c r="AB298" s="5">
        <v>12</v>
      </c>
      <c r="AC298" s="4" cm="1">
        <f t="array" ref="AC298">IFERROR(INDEX(ReferenceCard, MATCH(1, (INDEX(ReferenceCard,,1)=Table1[[#This Row],[SAP No]]) * (INDEX(ReferenceCard,,2)=Table1[[#This Row],[Mould No]]), 0), 9),)</f>
        <v>55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L298" s="2"/>
      <c r="AM298" s="2"/>
      <c r="AN298" s="3">
        <v>0</v>
      </c>
      <c r="AO298" s="3">
        <v>0</v>
      </c>
      <c r="AP29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299" spans="1:42" x14ac:dyDescent="0.35">
      <c r="A299" s="1">
        <v>46013</v>
      </c>
      <c r="B299">
        <v>2</v>
      </c>
      <c r="C299" t="s">
        <v>31</v>
      </c>
      <c r="D299" t="str" cm="1">
        <f t="array" ref="D299">IFERROR(INDEX(ReferenceCard, MATCH(1, (INDEX(ReferenceCard,,1)=Table1[[#This Row],[SAP No]]) * (INDEX(ReferenceCard,,2)=Table1[[#This Row],[Mould No]]), 0), 6),)</f>
        <v>PPSB520Y</v>
      </c>
      <c r="E299">
        <v>586276</v>
      </c>
      <c r="F299">
        <v>4</v>
      </c>
      <c r="G299" t="str" cm="1">
        <f t="array" ref="G299">IFERROR(INDEX(ReferenceCard, MATCH(1, (INDEX(ReferenceCard,,1)=Table1[[#This Row],[SAP No]]) * (INDEX(ReferenceCard,,2)=Table1[[#This Row],[Mould No]]), 0), 3),)</f>
        <v>BC28-0056-D-APH-LEB-604001-MOLD4</v>
      </c>
      <c r="H299">
        <v>0</v>
      </c>
      <c r="I299" cm="1">
        <f t="array" ref="I299">IFERROR(INDEX(ReferenceCard, MATCH(1, (INDEX(ReferenceCard,,1)=Table1[[#This Row],[SAP No]]) * (INDEX(ReferenceCard,,2)=Table1[[#This Row],[Mould No]]), 0), 4),)</f>
        <v>6</v>
      </c>
      <c r="J299" s="4" cm="1">
        <f t="array" ref="J299">IFERROR(INDEX(ReferenceCard, MATCH(1, (INDEX(ReferenceCard,,1)=Table1[[#This Row],[SAP No]]) * (INDEX(ReferenceCard,,2)=Table1[[#This Row],[Mould No]]), 0), 9),)</f>
        <v>12.3</v>
      </c>
      <c r="K299" s="4" cm="1">
        <f t="array" ref="K299">IFERROR(INDEX(ReferenceCard, MATCH(1, (INDEX(ReferenceCard,,1)=Table1[[#This Row],[SAP No]]) * (INDEX(ReferenceCard,,2)=Table1[[#This Row],[Mould No]]), 0), 7),)</f>
        <v>12.3</v>
      </c>
      <c r="L299">
        <v>1652</v>
      </c>
      <c r="M299">
        <v>0</v>
      </c>
      <c r="N299">
        <v>0</v>
      </c>
      <c r="O299">
        <v>0</v>
      </c>
      <c r="P299">
        <f>Table1[[#This Row],[Shot]]*Table1[[#This Row],[Cav]]</f>
        <v>9912</v>
      </c>
      <c r="Q299">
        <v>0</v>
      </c>
      <c r="R299">
        <f>(Table1[[#This Row],[Part Weight (gm)]]*Table1[[#This Row],[Finish Good]])/1000</f>
        <v>0</v>
      </c>
      <c r="S299">
        <v>0</v>
      </c>
      <c r="T299">
        <f>IF(Table1[[#This Row],[Qty Order]]="Sample","-",IF(Table1[[#This Row],[Qty Order]]="RTFN","-",Table1[[#This Row],[Qty Order]]-Table1[[#This Row],[Qty Accumulate]]))</f>
        <v>0</v>
      </c>
      <c r="U299">
        <f>((Table1[[#This Row],[Shift Output]]*Table1[[#This Row],[Part Weight (gm)]])/1000)+Table1[[#This Row],[Reject Startup (kg)]]+Table1[[#This Row],[Reject Purging (kg)]]+Table1[[#This Row],[Reject Preform (kg)]]</f>
        <v>121.91760000000001</v>
      </c>
      <c r="V299" s="37">
        <f>(Table1[[#This Row],[Gross Weight (gm)]]-Table1[[#This Row],[Part Weight (gm)]])*Table1[[#This Row],[Shift Output]]/1000</f>
        <v>0</v>
      </c>
      <c r="W299" s="3">
        <v>0</v>
      </c>
      <c r="X299" s="36">
        <f>Table1[[#This Row],[Reject Startup (kg)]]/Table1[[#This Row],[Material Used]]</f>
        <v>0</v>
      </c>
      <c r="Y299" s="3">
        <v>0</v>
      </c>
      <c r="Z299" s="36">
        <f>Table1[[#This Row],[Reject Prod (kg)]]/Table1[[#This Row],[Material Used]]</f>
        <v>0</v>
      </c>
      <c r="AA299" s="4">
        <v>26.147590637206999</v>
      </c>
      <c r="AB299" s="5">
        <v>12</v>
      </c>
      <c r="AC299" s="4" cm="1">
        <f t="array" ref="AC299">IFERROR(INDEX(ReferenceCard, MATCH(1, (INDEX(ReferenceCard,,1)=Table1[[#This Row],[SAP No]]) * (INDEX(ReferenceCard,,2)=Table1[[#This Row],[Mould No]]), 0), 9),)</f>
        <v>12.3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L299" s="2"/>
      <c r="AM299" s="2"/>
      <c r="AN299" s="3">
        <v>0</v>
      </c>
      <c r="AO299" s="3">
        <v>0</v>
      </c>
      <c r="AP29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0" spans="1:42" x14ac:dyDescent="0.35">
      <c r="A300" s="1">
        <v>46013</v>
      </c>
      <c r="B300">
        <v>2</v>
      </c>
      <c r="C300" t="s">
        <v>33</v>
      </c>
      <c r="D300" t="str" cm="1">
        <f t="array" ref="D300">IFERROR(INDEX(ReferenceCard, MATCH(1, (INDEX(ReferenceCard,,1)=Table1[[#This Row],[SAP No]]) * (INDEX(ReferenceCard,,2)=Table1[[#This Row],[Mould No]]), 0), 6),)</f>
        <v>PET</v>
      </c>
      <c r="E300">
        <v>541381</v>
      </c>
      <c r="F300">
        <v>0</v>
      </c>
      <c r="G300" t="str" cm="1">
        <f t="array" ref="G300">IFERROR(INDEX(ReferenceCard, MATCH(1, (INDEX(ReferenceCard,,1)=Table1[[#This Row],[SAP No]]) * (INDEX(ReferenceCard,,2)=Table1[[#This Row],[Mould No]]), 0), 3),)</f>
        <v>BC28-1200-K-R-CL</v>
      </c>
      <c r="H300">
        <v>0</v>
      </c>
      <c r="I300" cm="1">
        <f t="array" ref="I300">IFERROR(INDEX(ReferenceCard, MATCH(1, (INDEX(ReferenceCard,,1)=Table1[[#This Row],[SAP No]]) * (INDEX(ReferenceCard,,2)=Table1[[#This Row],[Mould No]]), 0), 4),)</f>
        <v>4</v>
      </c>
      <c r="J300" s="4" cm="1">
        <f t="array" ref="J300">IFERROR(INDEX(ReferenceCard, MATCH(1, (INDEX(ReferenceCard,,1)=Table1[[#This Row],[SAP No]]) * (INDEX(ReferenceCard,,2)=Table1[[#This Row],[Mould No]]), 0), 9),)</f>
        <v>55</v>
      </c>
      <c r="K300" s="4" cm="1">
        <f t="array" ref="K300">IFERROR(INDEX(ReferenceCard, MATCH(1, (INDEX(ReferenceCard,,1)=Table1[[#This Row],[SAP No]]) * (INDEX(ReferenceCard,,2)=Table1[[#This Row],[Mould No]]), 0), 7),)</f>
        <v>55</v>
      </c>
      <c r="L300">
        <v>4941</v>
      </c>
      <c r="M300">
        <v>0</v>
      </c>
      <c r="N300">
        <v>0</v>
      </c>
      <c r="O300">
        <v>0</v>
      </c>
      <c r="P300">
        <f>Table1[[#This Row],[Shot]]*Table1[[#This Row],[Cav]]</f>
        <v>19764</v>
      </c>
      <c r="Q300">
        <v>0</v>
      </c>
      <c r="R300">
        <f>(Table1[[#This Row],[Part Weight (gm)]]*Table1[[#This Row],[Finish Good]])/1000</f>
        <v>0</v>
      </c>
      <c r="S300">
        <v>0</v>
      </c>
      <c r="T300">
        <f>IF(Table1[[#This Row],[Qty Order]]="Sample","-",IF(Table1[[#This Row],[Qty Order]]="RTFN","-",Table1[[#This Row],[Qty Order]]-Table1[[#This Row],[Qty Accumulate]]))</f>
        <v>0</v>
      </c>
      <c r="U300">
        <f>((Table1[[#This Row],[Shift Output]]*Table1[[#This Row],[Part Weight (gm)]])/1000)+Table1[[#This Row],[Reject Startup (kg)]]+Table1[[#This Row],[Reject Purging (kg)]]+Table1[[#This Row],[Reject Preform (kg)]]</f>
        <v>1087.02</v>
      </c>
      <c r="V300" s="37">
        <f>(Table1[[#This Row],[Gross Weight (gm)]]-Table1[[#This Row],[Part Weight (gm)]])*Table1[[#This Row],[Shift Output]]/1000</f>
        <v>0</v>
      </c>
      <c r="W300" s="3">
        <v>0</v>
      </c>
      <c r="X300" s="36">
        <f>Table1[[#This Row],[Reject Startup (kg)]]/Table1[[#This Row],[Material Used]]</f>
        <v>0</v>
      </c>
      <c r="Y300" s="3">
        <v>0</v>
      </c>
      <c r="Z300" s="36">
        <f>Table1[[#This Row],[Reject Prod (kg)]]/Table1[[#This Row],[Material Used]]</f>
        <v>0</v>
      </c>
      <c r="AA300" s="4">
        <v>42.638404846191399</v>
      </c>
      <c r="AB300" s="5">
        <v>11.23</v>
      </c>
      <c r="AC300" s="4" cm="1">
        <f t="array" ref="AC300">IFERROR(INDEX(ReferenceCard, MATCH(1, (INDEX(ReferenceCard,,1)=Table1[[#This Row],[SAP No]]) * (INDEX(ReferenceCard,,2)=Table1[[#This Row],[Mould No]]), 0), 9),)</f>
        <v>55</v>
      </c>
      <c r="AD300" s="5">
        <v>0</v>
      </c>
      <c r="AE300" s="5">
        <v>0</v>
      </c>
      <c r="AF300" s="5">
        <v>0</v>
      </c>
      <c r="AG300" s="5">
        <v>0.17</v>
      </c>
      <c r="AH300" s="5">
        <v>0.59999999999999898</v>
      </c>
      <c r="AI300" s="5">
        <v>0</v>
      </c>
      <c r="AJ300" s="5">
        <v>0</v>
      </c>
      <c r="AL300" s="2"/>
      <c r="AM300" s="2"/>
      <c r="AN300" s="3">
        <v>0</v>
      </c>
      <c r="AO300" s="3">
        <v>0</v>
      </c>
      <c r="AP30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1" spans="1:42" x14ac:dyDescent="0.35">
      <c r="A301" s="1">
        <v>46013</v>
      </c>
      <c r="B301">
        <v>2</v>
      </c>
      <c r="C301" t="s">
        <v>35</v>
      </c>
      <c r="D301" t="str" cm="1">
        <f t="array" ref="D301">IFERROR(INDEX(ReferenceCard, MATCH(1, (INDEX(ReferenceCard,,1)=Table1[[#This Row],[SAP No]]) * (INDEX(ReferenceCard,,2)=Table1[[#This Row],[Mould No]]), 0), 6),)</f>
        <v>PPSB520Y</v>
      </c>
      <c r="E301">
        <v>552181</v>
      </c>
      <c r="F301">
        <v>1</v>
      </c>
      <c r="G301" t="str" cm="1">
        <f t="array" ref="G301">IFERROR(INDEX(ReferenceCard, MATCH(1, (INDEX(ReferenceCard,,1)=Table1[[#This Row],[SAP No]]) * (INDEX(ReferenceCard,,2)=Table1[[#This Row],[Mould No]]), 0), 3),)</f>
        <v>BC28-0090-D-APH-5180-3538-PP-6 NOTCHES-MOLD1</v>
      </c>
      <c r="H301">
        <v>0</v>
      </c>
      <c r="I301" cm="1">
        <f t="array" ref="I301">IFERROR(INDEX(ReferenceCard, MATCH(1, (INDEX(ReferenceCard,,1)=Table1[[#This Row],[SAP No]]) * (INDEX(ReferenceCard,,2)=Table1[[#This Row],[Mould No]]), 0), 4),)</f>
        <v>6</v>
      </c>
      <c r="J301" s="4" cm="1">
        <f t="array" ref="J301">IFERROR(INDEX(ReferenceCard, MATCH(1, (INDEX(ReferenceCard,,1)=Table1[[#This Row],[SAP No]]) * (INDEX(ReferenceCard,,2)=Table1[[#This Row],[Mould No]]), 0), 9),)</f>
        <v>18.8</v>
      </c>
      <c r="K301" s="4" cm="1">
        <f t="array" ref="K301">IFERROR(INDEX(ReferenceCard, MATCH(1, (INDEX(ReferenceCard,,1)=Table1[[#This Row],[SAP No]]) * (INDEX(ReferenceCard,,2)=Table1[[#This Row],[Mould No]]), 0), 7),)</f>
        <v>18.8</v>
      </c>
      <c r="L301">
        <v>1387</v>
      </c>
      <c r="M301">
        <v>0</v>
      </c>
      <c r="N301">
        <v>0</v>
      </c>
      <c r="O301">
        <v>0</v>
      </c>
      <c r="P301">
        <f>Table1[[#This Row],[Shot]]*Table1[[#This Row],[Cav]]</f>
        <v>8322</v>
      </c>
      <c r="Q301">
        <v>0</v>
      </c>
      <c r="R301">
        <f>(Table1[[#This Row],[Part Weight (gm)]]*Table1[[#This Row],[Finish Good]])/1000</f>
        <v>0</v>
      </c>
      <c r="S301">
        <v>0</v>
      </c>
      <c r="T301">
        <f>IF(Table1[[#This Row],[Qty Order]]="Sample","-",IF(Table1[[#This Row],[Qty Order]]="RTFN","-",Table1[[#This Row],[Qty Order]]-Table1[[#This Row],[Qty Accumulate]]))</f>
        <v>0</v>
      </c>
      <c r="U301">
        <f>((Table1[[#This Row],[Shift Output]]*Table1[[#This Row],[Part Weight (gm)]])/1000)+Table1[[#This Row],[Reject Startup (kg)]]+Table1[[#This Row],[Reject Purging (kg)]]+Table1[[#This Row],[Reject Preform (kg)]]</f>
        <v>156.45359999999999</v>
      </c>
      <c r="V301" s="37">
        <f>(Table1[[#This Row],[Gross Weight (gm)]]-Table1[[#This Row],[Part Weight (gm)]])*Table1[[#This Row],[Shift Output]]/1000</f>
        <v>0</v>
      </c>
      <c r="W301" s="3">
        <v>0</v>
      </c>
      <c r="X301" s="36">
        <f>Table1[[#This Row],[Reject Startup (kg)]]/Table1[[#This Row],[Material Used]]</f>
        <v>0</v>
      </c>
      <c r="Y301" s="3">
        <v>0</v>
      </c>
      <c r="Z301" s="36">
        <f>Table1[[#This Row],[Reject Prod (kg)]]/Table1[[#This Row],[Material Used]]</f>
        <v>0</v>
      </c>
      <c r="AA301" s="4">
        <v>31.119256973266602</v>
      </c>
      <c r="AB301" s="5">
        <v>12</v>
      </c>
      <c r="AC301" s="4" cm="1">
        <f t="array" ref="AC301">IFERROR(INDEX(ReferenceCard, MATCH(1, (INDEX(ReferenceCard,,1)=Table1[[#This Row],[SAP No]]) * (INDEX(ReferenceCard,,2)=Table1[[#This Row],[Mould No]]), 0), 9),)</f>
        <v>18.8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L301" s="2"/>
      <c r="AM301" s="2"/>
      <c r="AN301" s="3">
        <v>0</v>
      </c>
      <c r="AO301" s="3">
        <v>0</v>
      </c>
      <c r="AP30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2" spans="1:42" x14ac:dyDescent="0.35">
      <c r="A302" s="1">
        <v>46013</v>
      </c>
      <c r="B302">
        <v>2</v>
      </c>
      <c r="C302" t="s">
        <v>18</v>
      </c>
      <c r="D302" t="str" cm="1">
        <f t="array" ref="D302">IFERROR(INDEX(ReferenceCard, MATCH(1, (INDEX(ReferenceCard,,1)=Table1[[#This Row],[SAP No]]) * (INDEX(ReferenceCard,,2)=Table1[[#This Row],[Mould No]]), 0), 6),)</f>
        <v>PPSB520Y</v>
      </c>
      <c r="E302">
        <v>555979</v>
      </c>
      <c r="F302">
        <v>4</v>
      </c>
      <c r="G302" t="str" cm="1">
        <f t="array" ref="G302">IFERROR(INDEX(ReferenceCard, MATCH(1, (INDEX(ReferenceCard,,1)=Table1[[#This Row],[SAP No]]) * (INDEX(ReferenceCard,,2)=Table1[[#This Row],[Mould No]]), 0), 3),)</f>
        <v>BC28-0170-D-APH-5180-3539-PP-6 NOTCHES-MOLD4</v>
      </c>
      <c r="H302">
        <v>0</v>
      </c>
      <c r="I302" cm="1">
        <f t="array" ref="I302">IFERROR(INDEX(ReferenceCard, MATCH(1, (INDEX(ReferenceCard,,1)=Table1[[#This Row],[SAP No]]) * (INDEX(ReferenceCard,,2)=Table1[[#This Row],[Mould No]]), 0), 4),)</f>
        <v>6</v>
      </c>
      <c r="J302" s="4" cm="1">
        <f t="array" ref="J302">IFERROR(INDEX(ReferenceCard, MATCH(1, (INDEX(ReferenceCard,,1)=Table1[[#This Row],[SAP No]]) * (INDEX(ReferenceCard,,2)=Table1[[#This Row],[Mould No]]), 0), 9),)</f>
        <v>28</v>
      </c>
      <c r="K302" s="4" cm="1">
        <f t="array" ref="K302">IFERROR(INDEX(ReferenceCard, MATCH(1, (INDEX(ReferenceCard,,1)=Table1[[#This Row],[SAP No]]) * (INDEX(ReferenceCard,,2)=Table1[[#This Row],[Mould No]]), 0), 7),)</f>
        <v>28</v>
      </c>
      <c r="L302">
        <v>960</v>
      </c>
      <c r="M302">
        <v>0</v>
      </c>
      <c r="N302">
        <v>0</v>
      </c>
      <c r="O302">
        <v>0</v>
      </c>
      <c r="P302">
        <f>Table1[[#This Row],[Shot]]*Table1[[#This Row],[Cav]]</f>
        <v>5760</v>
      </c>
      <c r="Q302">
        <v>0</v>
      </c>
      <c r="R302">
        <f>(Table1[[#This Row],[Part Weight (gm)]]*Table1[[#This Row],[Finish Good]])/1000</f>
        <v>0</v>
      </c>
      <c r="S302">
        <v>0</v>
      </c>
      <c r="T302">
        <f>IF(Table1[[#This Row],[Qty Order]]="Sample","-",IF(Table1[[#This Row],[Qty Order]]="RTFN","-",Table1[[#This Row],[Qty Order]]-Table1[[#This Row],[Qty Accumulate]]))</f>
        <v>0</v>
      </c>
      <c r="U302">
        <f>((Table1[[#This Row],[Shift Output]]*Table1[[#This Row],[Part Weight (gm)]])/1000)+Table1[[#This Row],[Reject Startup (kg)]]+Table1[[#This Row],[Reject Purging (kg)]]+Table1[[#This Row],[Reject Preform (kg)]]</f>
        <v>161.28</v>
      </c>
      <c r="V302" s="37">
        <f>(Table1[[#This Row],[Gross Weight (gm)]]-Table1[[#This Row],[Part Weight (gm)]])*Table1[[#This Row],[Shift Output]]/1000</f>
        <v>0</v>
      </c>
      <c r="W302" s="3">
        <v>0</v>
      </c>
      <c r="X302" s="36">
        <f>Table1[[#This Row],[Reject Startup (kg)]]/Table1[[#This Row],[Material Used]]</f>
        <v>0</v>
      </c>
      <c r="Y302" s="3">
        <v>0</v>
      </c>
      <c r="Z302" s="36">
        <f>Table1[[#This Row],[Reject Prod (kg)]]/Table1[[#This Row],[Material Used]]</f>
        <v>0</v>
      </c>
      <c r="AA302" s="4">
        <v>43.5</v>
      </c>
      <c r="AB302" s="5">
        <v>12</v>
      </c>
      <c r="AC302" s="4" cm="1">
        <f t="array" ref="AC302">IFERROR(INDEX(ReferenceCard, MATCH(1, (INDEX(ReferenceCard,,1)=Table1[[#This Row],[SAP No]]) * (INDEX(ReferenceCard,,2)=Table1[[#This Row],[Mould No]]), 0), 9),)</f>
        <v>28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L302" s="2"/>
      <c r="AM302" s="2"/>
      <c r="AN302" s="3">
        <v>0</v>
      </c>
      <c r="AO302" s="3">
        <v>0</v>
      </c>
      <c r="AP30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3" spans="1:42" x14ac:dyDescent="0.35">
      <c r="A303" s="1">
        <v>46013</v>
      </c>
      <c r="B303">
        <v>2</v>
      </c>
      <c r="C303" t="s">
        <v>11</v>
      </c>
      <c r="D303" t="str" cm="1">
        <f t="array" ref="D303">IFERROR(INDEX(ReferenceCard, MATCH(1, (INDEX(ReferenceCard,,1)=Table1[[#This Row],[SAP No]]) * (INDEX(ReferenceCard,,2)=Table1[[#This Row],[Mould No]]), 0), 6),)</f>
        <v>rPET</v>
      </c>
      <c r="E303">
        <v>620994</v>
      </c>
      <c r="F303">
        <v>0</v>
      </c>
      <c r="G303" t="str" cm="1">
        <f t="array" ref="G303">IFERROR(INDEX(ReferenceCard, MATCH(1, (INDEX(ReferenceCard,,1)=Table1[[#This Row],[SAP No]]) * (INDEX(ReferenceCard,,2)=Table1[[#This Row],[Mould No]]), 0), 3),)</f>
        <v>JJ63-0400-SH-S-CL-rPET</v>
      </c>
      <c r="H303">
        <v>0</v>
      </c>
      <c r="I303" cm="1">
        <f t="array" ref="I303">IFERROR(INDEX(ReferenceCard, MATCH(1, (INDEX(ReferenceCard,,1)=Table1[[#This Row],[SAP No]]) * (INDEX(ReferenceCard,,2)=Table1[[#This Row],[Mould No]]), 0), 4),)</f>
        <v>4</v>
      </c>
      <c r="J303" s="4" cm="1">
        <f t="array" ref="J303">IFERROR(INDEX(ReferenceCard, MATCH(1, (INDEX(ReferenceCard,,1)=Table1[[#This Row],[SAP No]]) * (INDEX(ReferenceCard,,2)=Table1[[#This Row],[Mould No]]), 0), 9),)</f>
        <v>32.74</v>
      </c>
      <c r="K303" s="4" cm="1">
        <f t="array" ref="K303">IFERROR(INDEX(ReferenceCard, MATCH(1, (INDEX(ReferenceCard,,1)=Table1[[#This Row],[SAP No]]) * (INDEX(ReferenceCard,,2)=Table1[[#This Row],[Mould No]]), 0), 7),)</f>
        <v>33</v>
      </c>
      <c r="L303">
        <v>6237</v>
      </c>
      <c r="M303">
        <v>0</v>
      </c>
      <c r="N303">
        <v>0</v>
      </c>
      <c r="O303">
        <v>0</v>
      </c>
      <c r="P303">
        <f>Table1[[#This Row],[Shot]]*Table1[[#This Row],[Cav]]</f>
        <v>24948</v>
      </c>
      <c r="Q303">
        <v>0</v>
      </c>
      <c r="R303">
        <f>(Table1[[#This Row],[Part Weight (gm)]]*Table1[[#This Row],[Finish Good]])/1000</f>
        <v>0</v>
      </c>
      <c r="S303">
        <v>0</v>
      </c>
      <c r="T303">
        <f>IF(Table1[[#This Row],[Qty Order]]="Sample","-",IF(Table1[[#This Row],[Qty Order]]="RTFN","-",Table1[[#This Row],[Qty Order]]-Table1[[#This Row],[Qty Accumulate]]))</f>
        <v>0</v>
      </c>
      <c r="U303">
        <f>((Table1[[#This Row],[Shift Output]]*Table1[[#This Row],[Part Weight (gm)]])/1000)+Table1[[#This Row],[Reject Startup (kg)]]+Table1[[#This Row],[Reject Purging (kg)]]+Table1[[#This Row],[Reject Preform (kg)]]</f>
        <v>823.28399999999999</v>
      </c>
      <c r="V303" s="37">
        <f>(Table1[[#This Row],[Gross Weight (gm)]]-Table1[[#This Row],[Part Weight (gm)]])*Table1[[#This Row],[Shift Output]]/1000</f>
        <v>-6.4864799999999505</v>
      </c>
      <c r="W303" s="3">
        <v>0</v>
      </c>
      <c r="X303" s="36">
        <f>Table1[[#This Row],[Reject Startup (kg)]]/Table1[[#This Row],[Material Used]]</f>
        <v>0</v>
      </c>
      <c r="Y303" s="3">
        <v>0</v>
      </c>
      <c r="Z303" s="36">
        <f>Table1[[#This Row],[Reject Prod (kg)]]/Table1[[#This Row],[Material Used]]</f>
        <v>0</v>
      </c>
      <c r="AA303" s="4">
        <v>22.5566596984863</v>
      </c>
      <c r="AB303" s="5">
        <v>11.8699999999999</v>
      </c>
      <c r="AC303" s="4" cm="1">
        <f t="array" ref="AC303">IFERROR(INDEX(ReferenceCard, MATCH(1, (INDEX(ReferenceCard,,1)=Table1[[#This Row],[SAP No]]) * (INDEX(ReferenceCard,,2)=Table1[[#This Row],[Mould No]]), 0), 9),)</f>
        <v>32.74</v>
      </c>
      <c r="AD303" s="5">
        <v>0</v>
      </c>
      <c r="AE303" s="5">
        <v>0</v>
      </c>
      <c r="AF303" s="5">
        <v>0</v>
      </c>
      <c r="AG303" s="5">
        <v>0</v>
      </c>
      <c r="AH303" s="5">
        <v>0.13</v>
      </c>
      <c r="AI303" s="5">
        <v>0</v>
      </c>
      <c r="AJ303" s="5">
        <v>0</v>
      </c>
      <c r="AL303" s="2"/>
      <c r="AM303" s="2"/>
      <c r="AN303" s="3">
        <v>0</v>
      </c>
      <c r="AO303" s="3">
        <v>0</v>
      </c>
      <c r="AP30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4" spans="1:42" x14ac:dyDescent="0.35">
      <c r="A304" s="1">
        <v>46013</v>
      </c>
      <c r="B304">
        <v>2</v>
      </c>
      <c r="C304" t="s">
        <v>14</v>
      </c>
      <c r="D304" t="str" cm="1">
        <f t="array" ref="D304">IFERROR(INDEX(ReferenceCard, MATCH(1, (INDEX(ReferenceCard,,1)=Table1[[#This Row],[SAP No]]) * (INDEX(ReferenceCard,,2)=Table1[[#This Row],[Mould No]]), 0), 6),)</f>
        <v>PET</v>
      </c>
      <c r="E304">
        <v>322444</v>
      </c>
      <c r="F304">
        <v>0</v>
      </c>
      <c r="G304" t="str" cm="1">
        <f t="array" ref="G304">IFERROR(INDEX(ReferenceCard, MATCH(1, (INDEX(ReferenceCard,,1)=Table1[[#This Row],[SAP No]]) * (INDEX(ReferenceCard,,2)=Table1[[#This Row],[Mould No]]), 0), 3),)</f>
        <v>JJ63-0400-RH-R-CL</v>
      </c>
      <c r="H304">
        <v>0</v>
      </c>
      <c r="I304" cm="1">
        <f t="array" ref="I304">IFERROR(INDEX(ReferenceCard, MATCH(1, (INDEX(ReferenceCard,,1)=Table1[[#This Row],[SAP No]]) * (INDEX(ReferenceCard,,2)=Table1[[#This Row],[Mould No]]), 0), 4),)</f>
        <v>4</v>
      </c>
      <c r="J304" s="4" cm="1">
        <f t="array" ref="J304">IFERROR(INDEX(ReferenceCard, MATCH(1, (INDEX(ReferenceCard,,1)=Table1[[#This Row],[SAP No]]) * (INDEX(ReferenceCard,,2)=Table1[[#This Row],[Mould No]]), 0), 9),)</f>
        <v>32.74</v>
      </c>
      <c r="K304" s="4" cm="1">
        <f t="array" ref="K304">IFERROR(INDEX(ReferenceCard, MATCH(1, (INDEX(ReferenceCard,,1)=Table1[[#This Row],[SAP No]]) * (INDEX(ReferenceCard,,2)=Table1[[#This Row],[Mould No]]), 0), 7),)</f>
        <v>34.5</v>
      </c>
      <c r="L304">
        <v>2654</v>
      </c>
      <c r="M304">
        <v>0</v>
      </c>
      <c r="N304">
        <v>0</v>
      </c>
      <c r="O304">
        <v>0</v>
      </c>
      <c r="P304">
        <f>Table1[[#This Row],[Shot]]*Table1[[#This Row],[Cav]]</f>
        <v>10616</v>
      </c>
      <c r="Q304">
        <v>0</v>
      </c>
      <c r="R304">
        <f>(Table1[[#This Row],[Part Weight (gm)]]*Table1[[#This Row],[Finish Good]])/1000</f>
        <v>0</v>
      </c>
      <c r="S304">
        <v>0</v>
      </c>
      <c r="T304">
        <f>IF(Table1[[#This Row],[Qty Order]]="Sample","-",IF(Table1[[#This Row],[Qty Order]]="RTFN","-",Table1[[#This Row],[Qty Order]]-Table1[[#This Row],[Qty Accumulate]]))</f>
        <v>0</v>
      </c>
      <c r="U304">
        <f>((Table1[[#This Row],[Shift Output]]*Table1[[#This Row],[Part Weight (gm)]])/1000)+Table1[[#This Row],[Reject Startup (kg)]]+Table1[[#This Row],[Reject Purging (kg)]]+Table1[[#This Row],[Reject Preform (kg)]]</f>
        <v>366.25200000000001</v>
      </c>
      <c r="V304" s="37">
        <f>(Table1[[#This Row],[Gross Weight (gm)]]-Table1[[#This Row],[Part Weight (gm)]])*Table1[[#This Row],[Shift Output]]/1000</f>
        <v>-18.684159999999977</v>
      </c>
      <c r="W304" s="3">
        <v>0</v>
      </c>
      <c r="X304" s="36">
        <f>Table1[[#This Row],[Reject Startup (kg)]]/Table1[[#This Row],[Material Used]]</f>
        <v>0</v>
      </c>
      <c r="Y304" s="3">
        <v>0</v>
      </c>
      <c r="Z304" s="36">
        <f>Table1[[#This Row],[Reject Prod (kg)]]/Table1[[#This Row],[Material Used]]</f>
        <v>0</v>
      </c>
      <c r="AA304" s="4">
        <v>21.7652587890625</v>
      </c>
      <c r="AB304" s="5">
        <v>9.2100000000000009</v>
      </c>
      <c r="AC304" s="4" cm="1">
        <f t="array" ref="AC304">IFERROR(INDEX(ReferenceCard, MATCH(1, (INDEX(ReferenceCard,,1)=Table1[[#This Row],[SAP No]]) * (INDEX(ReferenceCard,,2)=Table1[[#This Row],[Mould No]]), 0), 9),)</f>
        <v>32.74</v>
      </c>
      <c r="AD304" s="5">
        <v>0</v>
      </c>
      <c r="AE304" s="5">
        <v>0</v>
      </c>
      <c r="AF304" s="5">
        <v>2.27</v>
      </c>
      <c r="AG304" s="5">
        <v>0</v>
      </c>
      <c r="AH304" s="5">
        <v>0.52</v>
      </c>
      <c r="AI304" s="5">
        <v>0</v>
      </c>
      <c r="AJ304" s="5">
        <v>0</v>
      </c>
      <c r="AK304" t="s">
        <v>72</v>
      </c>
      <c r="AL304" s="2"/>
      <c r="AM304" s="2"/>
      <c r="AN304" s="3">
        <v>0</v>
      </c>
      <c r="AO304" s="3">
        <v>0</v>
      </c>
      <c r="AP30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5" spans="1:42" x14ac:dyDescent="0.35">
      <c r="A305" s="1">
        <v>46013</v>
      </c>
      <c r="B305">
        <v>2</v>
      </c>
      <c r="C305" t="s">
        <v>16</v>
      </c>
      <c r="D305" t="str" cm="1">
        <f t="array" ref="D305">IFERROR(INDEX(ReferenceCard, MATCH(1, (INDEX(ReferenceCard,,1)=Table1[[#This Row],[SAP No]]) * (INDEX(ReferenceCard,,2)=Table1[[#This Row],[Mould No]]), 0), 6),)</f>
        <v>PET</v>
      </c>
      <c r="E305">
        <v>324206</v>
      </c>
      <c r="F305">
        <v>0</v>
      </c>
      <c r="G305" t="str" cm="1">
        <f t="array" ref="G305">IFERROR(INDEX(ReferenceCard, MATCH(1, (INDEX(ReferenceCard,,1)=Table1[[#This Row],[SAP No]]) * (INDEX(ReferenceCard,,2)=Table1[[#This Row],[Mould No]]), 0), 3),)</f>
        <v>BX38-1000-HC-S-CL</v>
      </c>
      <c r="H305">
        <v>0</v>
      </c>
      <c r="I305" cm="1">
        <f t="array" ref="I305">IFERROR(INDEX(ReferenceCard, MATCH(1, (INDEX(ReferenceCard,,1)=Table1[[#This Row],[SAP No]]) * (INDEX(ReferenceCard,,2)=Table1[[#This Row],[Mould No]]), 0), 4),)</f>
        <v>4</v>
      </c>
      <c r="J305" s="4" cm="1">
        <f t="array" ref="J305">IFERROR(INDEX(ReferenceCard, MATCH(1, (INDEX(ReferenceCard,,1)=Table1[[#This Row],[SAP No]]) * (INDEX(ReferenceCard,,2)=Table1[[#This Row],[Mould No]]), 0), 9),)</f>
        <v>49</v>
      </c>
      <c r="K305" s="4" cm="1">
        <f t="array" ref="K305">IFERROR(INDEX(ReferenceCard, MATCH(1, (INDEX(ReferenceCard,,1)=Table1[[#This Row],[SAP No]]) * (INDEX(ReferenceCard,,2)=Table1[[#This Row],[Mould No]]), 0), 7),)</f>
        <v>48</v>
      </c>
      <c r="L305">
        <v>0</v>
      </c>
      <c r="M305">
        <v>0</v>
      </c>
      <c r="N305">
        <v>0</v>
      </c>
      <c r="O305">
        <v>0</v>
      </c>
      <c r="P305">
        <f>Table1[[#This Row],[Shot]]*Table1[[#This Row],[Cav]]</f>
        <v>0</v>
      </c>
      <c r="Q305">
        <v>0</v>
      </c>
      <c r="R305">
        <f>(Table1[[#This Row],[Part Weight (gm)]]*Table1[[#This Row],[Finish Good]])/1000</f>
        <v>0</v>
      </c>
      <c r="S305">
        <v>0</v>
      </c>
      <c r="T305">
        <f>IF(Table1[[#This Row],[Qty Order]]="Sample","-",IF(Table1[[#This Row],[Qty Order]]="RTFN","-",Table1[[#This Row],[Qty Order]]-Table1[[#This Row],[Qty Accumulate]]))</f>
        <v>0</v>
      </c>
      <c r="U305">
        <f>((Table1[[#This Row],[Shift Output]]*Table1[[#This Row],[Part Weight (gm)]])/1000)+Table1[[#This Row],[Reject Startup (kg)]]+Table1[[#This Row],[Reject Purging (kg)]]+Table1[[#This Row],[Reject Preform (kg)]]</f>
        <v>0</v>
      </c>
      <c r="V305" s="37">
        <f>(Table1[[#This Row],[Gross Weight (gm)]]-Table1[[#This Row],[Part Weight (gm)]])*Table1[[#This Row],[Shift Output]]/1000</f>
        <v>0</v>
      </c>
      <c r="W305" s="3">
        <v>0</v>
      </c>
      <c r="X305" s="36" t="e">
        <f>Table1[[#This Row],[Reject Startup (kg)]]/Table1[[#This Row],[Material Used]]</f>
        <v>#DIV/0!</v>
      </c>
      <c r="Y305" s="3">
        <v>0</v>
      </c>
      <c r="Z305" s="36" t="e">
        <f>Table1[[#This Row],[Reject Prod (kg)]]/Table1[[#This Row],[Material Used]]</f>
        <v>#DIV/0!</v>
      </c>
      <c r="AA305" s="4">
        <v>0</v>
      </c>
      <c r="AB305" s="5">
        <v>0</v>
      </c>
      <c r="AC305" s="4" cm="1">
        <f t="array" ref="AC305">IFERROR(INDEX(ReferenceCard, MATCH(1, (INDEX(ReferenceCard,,1)=Table1[[#This Row],[SAP No]]) * (INDEX(ReferenceCard,,2)=Table1[[#This Row],[Mould No]]), 0), 9),)</f>
        <v>49</v>
      </c>
      <c r="AD305" s="5">
        <v>0</v>
      </c>
      <c r="AE305" s="5">
        <v>0</v>
      </c>
      <c r="AF305" s="5">
        <v>0</v>
      </c>
      <c r="AG305" s="5">
        <v>12</v>
      </c>
      <c r="AH305" s="5">
        <v>0</v>
      </c>
      <c r="AI305" s="5">
        <v>0</v>
      </c>
      <c r="AJ305" s="5">
        <v>0</v>
      </c>
      <c r="AL305" s="2"/>
      <c r="AM305" s="2"/>
      <c r="AN305" s="3">
        <v>0</v>
      </c>
      <c r="AO305" s="3">
        <v>0</v>
      </c>
      <c r="AP30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6" spans="1:42" x14ac:dyDescent="0.35">
      <c r="A306" s="1">
        <v>46013</v>
      </c>
      <c r="B306">
        <v>2</v>
      </c>
      <c r="C306" t="s">
        <v>23</v>
      </c>
      <c r="D306" t="str" cm="1">
        <f t="array" ref="D306">IFERROR(INDEX(ReferenceCard, MATCH(1, (INDEX(ReferenceCard,,1)=Table1[[#This Row],[SAP No]]) * (INDEX(ReferenceCard,,2)=Table1[[#This Row],[Mould No]]), 0), 6),)</f>
        <v>PPSB520Y</v>
      </c>
      <c r="E306">
        <v>586276</v>
      </c>
      <c r="F306">
        <v>2</v>
      </c>
      <c r="G306" t="str" cm="1">
        <f t="array" ref="G306">IFERROR(INDEX(ReferenceCard, MATCH(1, (INDEX(ReferenceCard,,1)=Table1[[#This Row],[SAP No]]) * (INDEX(ReferenceCard,,2)=Table1[[#This Row],[Mould No]]), 0), 3),)</f>
        <v>BC28-0056-D-APH-LEB-604001-MOLD2</v>
      </c>
      <c r="H306">
        <v>0</v>
      </c>
      <c r="I306" cm="1">
        <f t="array" ref="I306">IFERROR(INDEX(ReferenceCard, MATCH(1, (INDEX(ReferenceCard,,1)=Table1[[#This Row],[SAP No]]) * (INDEX(ReferenceCard,,2)=Table1[[#This Row],[Mould No]]), 0), 4),)</f>
        <v>6</v>
      </c>
      <c r="J306" s="4" cm="1">
        <f t="array" ref="J306">IFERROR(INDEX(ReferenceCard, MATCH(1, (INDEX(ReferenceCard,,1)=Table1[[#This Row],[SAP No]]) * (INDEX(ReferenceCard,,2)=Table1[[#This Row],[Mould No]]), 0), 9),)</f>
        <v>12.3</v>
      </c>
      <c r="K306" s="4" cm="1">
        <f t="array" ref="K306">IFERROR(INDEX(ReferenceCard, MATCH(1, (INDEX(ReferenceCard,,1)=Table1[[#This Row],[SAP No]]) * (INDEX(ReferenceCard,,2)=Table1[[#This Row],[Mould No]]), 0), 7),)</f>
        <v>12.3</v>
      </c>
      <c r="L306">
        <v>1611</v>
      </c>
      <c r="M306">
        <v>0</v>
      </c>
      <c r="N306">
        <v>0</v>
      </c>
      <c r="O306">
        <v>0</v>
      </c>
      <c r="P306">
        <f>Table1[[#This Row],[Shot]]*Table1[[#This Row],[Cav]]</f>
        <v>9666</v>
      </c>
      <c r="Q306">
        <v>0</v>
      </c>
      <c r="R306">
        <f>(Table1[[#This Row],[Part Weight (gm)]]*Table1[[#This Row],[Finish Good]])/1000</f>
        <v>0</v>
      </c>
      <c r="S306">
        <v>0</v>
      </c>
      <c r="T306">
        <f>IF(Table1[[#This Row],[Qty Order]]="Sample","-",IF(Table1[[#This Row],[Qty Order]]="RTFN","-",Table1[[#This Row],[Qty Order]]-Table1[[#This Row],[Qty Accumulate]]))</f>
        <v>0</v>
      </c>
      <c r="U306">
        <f>((Table1[[#This Row],[Shift Output]]*Table1[[#This Row],[Part Weight (gm)]])/1000)+Table1[[#This Row],[Reject Startup (kg)]]+Table1[[#This Row],[Reject Purging (kg)]]+Table1[[#This Row],[Reject Preform (kg)]]</f>
        <v>118.8918</v>
      </c>
      <c r="V306" s="37">
        <f>(Table1[[#This Row],[Gross Weight (gm)]]-Table1[[#This Row],[Part Weight (gm)]])*Table1[[#This Row],[Shift Output]]/1000</f>
        <v>0</v>
      </c>
      <c r="W306" s="3">
        <v>0</v>
      </c>
      <c r="X306" s="36">
        <f>Table1[[#This Row],[Reject Startup (kg)]]/Table1[[#This Row],[Material Used]]</f>
        <v>0</v>
      </c>
      <c r="Y306" s="3">
        <v>0</v>
      </c>
      <c r="Z306" s="36">
        <f>Table1[[#This Row],[Reject Prod (kg)]]/Table1[[#This Row],[Material Used]]</f>
        <v>0</v>
      </c>
      <c r="AA306" s="4">
        <v>25.981288909912099</v>
      </c>
      <c r="AB306" s="5">
        <v>11.99</v>
      </c>
      <c r="AC306" s="4" cm="1">
        <f t="array" ref="AC306">IFERROR(INDEX(ReferenceCard, MATCH(1, (INDEX(ReferenceCard,,1)=Table1[[#This Row],[SAP No]]) * (INDEX(ReferenceCard,,2)=Table1[[#This Row],[Mould No]]), 0), 9),)</f>
        <v>12.3</v>
      </c>
      <c r="AD306" s="5">
        <v>0</v>
      </c>
      <c r="AE306" s="5">
        <v>0</v>
      </c>
      <c r="AF306" s="5">
        <v>0</v>
      </c>
      <c r="AG306" s="5">
        <v>0</v>
      </c>
      <c r="AH306" s="5">
        <v>0.01</v>
      </c>
      <c r="AI306" s="5">
        <v>0</v>
      </c>
      <c r="AJ306" s="5">
        <v>0</v>
      </c>
      <c r="AL306" s="2"/>
      <c r="AM306" s="2"/>
      <c r="AN306" s="3">
        <v>0</v>
      </c>
      <c r="AO306" s="3">
        <v>0</v>
      </c>
      <c r="AP30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7" spans="1:42" x14ac:dyDescent="0.35">
      <c r="A307" s="1">
        <v>46013</v>
      </c>
      <c r="B307">
        <v>2</v>
      </c>
      <c r="C307" t="s">
        <v>25</v>
      </c>
      <c r="D307" t="str" cm="1">
        <f t="array" ref="D307">IFERROR(INDEX(ReferenceCard, MATCH(1, (INDEX(ReferenceCard,,1)=Table1[[#This Row],[SAP No]]) * (INDEX(ReferenceCard,,2)=Table1[[#This Row],[Mould No]]), 0), 6),)</f>
        <v>PET</v>
      </c>
      <c r="E307">
        <v>323133</v>
      </c>
      <c r="F307">
        <v>0</v>
      </c>
      <c r="G307" t="str" cm="1">
        <f t="array" ref="G307">IFERROR(INDEX(ReferenceCard, MATCH(1, (INDEX(ReferenceCard,,1)=Table1[[#This Row],[SAP No]]) * (INDEX(ReferenceCard,,2)=Table1[[#This Row],[Mould No]]), 0), 3),)</f>
        <v>BX38-2000-RH-R-CL(GREEN) (ASEM)</v>
      </c>
      <c r="H307">
        <v>0</v>
      </c>
      <c r="I307" cm="1">
        <f t="array" ref="I307">IFERROR(INDEX(ReferenceCard, MATCH(1, (INDEX(ReferenceCard,,1)=Table1[[#This Row],[SAP No]]) * (INDEX(ReferenceCard,,2)=Table1[[#This Row],[Mould No]]), 0), 4),)</f>
        <v>4</v>
      </c>
      <c r="J307" s="4" cm="1">
        <f t="array" ref="J307">IFERROR(INDEX(ReferenceCard, MATCH(1, (INDEX(ReferenceCard,,1)=Table1[[#This Row],[SAP No]]) * (INDEX(ReferenceCard,,2)=Table1[[#This Row],[Mould No]]), 0), 9),)</f>
        <v>77</v>
      </c>
      <c r="K307" s="4" cm="1">
        <f t="array" ref="K307">IFERROR(INDEX(ReferenceCard, MATCH(1, (INDEX(ReferenceCard,,1)=Table1[[#This Row],[SAP No]]) * (INDEX(ReferenceCard,,2)=Table1[[#This Row],[Mould No]]), 0), 7),)</f>
        <v>77</v>
      </c>
      <c r="L307">
        <v>644</v>
      </c>
      <c r="M307">
        <v>0</v>
      </c>
      <c r="N307">
        <v>0</v>
      </c>
      <c r="O307">
        <v>0</v>
      </c>
      <c r="P307">
        <f>Table1[[#This Row],[Shot]]*Table1[[#This Row],[Cav]]</f>
        <v>2576</v>
      </c>
      <c r="Q307">
        <v>0</v>
      </c>
      <c r="R307">
        <f>(Table1[[#This Row],[Part Weight (gm)]]*Table1[[#This Row],[Finish Good]])/1000</f>
        <v>0</v>
      </c>
      <c r="S307">
        <v>0</v>
      </c>
      <c r="T307">
        <f>IF(Table1[[#This Row],[Qty Order]]="Sample","-",IF(Table1[[#This Row],[Qty Order]]="RTFN","-",Table1[[#This Row],[Qty Order]]-Table1[[#This Row],[Qty Accumulate]]))</f>
        <v>0</v>
      </c>
      <c r="U307">
        <f>((Table1[[#This Row],[Shift Output]]*Table1[[#This Row],[Part Weight (gm)]])/1000)+Table1[[#This Row],[Reject Startup (kg)]]+Table1[[#This Row],[Reject Purging (kg)]]+Table1[[#This Row],[Reject Preform (kg)]]</f>
        <v>198.352</v>
      </c>
      <c r="V307" s="37">
        <f>(Table1[[#This Row],[Gross Weight (gm)]]-Table1[[#This Row],[Part Weight (gm)]])*Table1[[#This Row],[Shift Output]]/1000</f>
        <v>0</v>
      </c>
      <c r="W307" s="3">
        <v>0</v>
      </c>
      <c r="X307" s="36">
        <f>Table1[[#This Row],[Reject Startup (kg)]]/Table1[[#This Row],[Material Used]]</f>
        <v>0</v>
      </c>
      <c r="Y307" s="3">
        <v>0</v>
      </c>
      <c r="Z307" s="36">
        <f>Table1[[#This Row],[Reject Prod (kg)]]/Table1[[#This Row],[Material Used]]</f>
        <v>0</v>
      </c>
      <c r="AA307" s="4">
        <v>0</v>
      </c>
      <c r="AB307" s="5">
        <v>0</v>
      </c>
      <c r="AC307" s="4" cm="1">
        <f t="array" ref="AC307">IFERROR(INDEX(ReferenceCard, MATCH(1, (INDEX(ReferenceCard,,1)=Table1[[#This Row],[SAP No]]) * (INDEX(ReferenceCard,,2)=Table1[[#This Row],[Mould No]]), 0), 9),)</f>
        <v>77</v>
      </c>
      <c r="AD307" s="5">
        <v>0</v>
      </c>
      <c r="AE307" s="5">
        <v>0</v>
      </c>
      <c r="AF307" s="5">
        <v>0</v>
      </c>
      <c r="AG307" s="5">
        <v>12</v>
      </c>
      <c r="AH307" s="5">
        <v>0</v>
      </c>
      <c r="AI307" s="5">
        <v>0</v>
      </c>
      <c r="AJ307" s="5">
        <v>0</v>
      </c>
      <c r="AK307" t="s">
        <v>73</v>
      </c>
      <c r="AL307" s="2"/>
      <c r="AM307" s="2"/>
      <c r="AN307" s="3">
        <v>0</v>
      </c>
      <c r="AO307" s="3">
        <v>0</v>
      </c>
      <c r="AP30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8" spans="1:42" x14ac:dyDescent="0.35">
      <c r="A308" s="1">
        <v>46013</v>
      </c>
      <c r="B308">
        <v>2</v>
      </c>
      <c r="C308" t="s">
        <v>27</v>
      </c>
      <c r="D308" t="str" cm="1">
        <f t="array" ref="D308">IFERROR(INDEX(ReferenceCard, MATCH(1, (INDEX(ReferenceCard,,1)=Table1[[#This Row],[SAP No]]) * (INDEX(ReferenceCard,,2)=Table1[[#This Row],[Mould No]]), 0), 6),)</f>
        <v>PPSB520Y</v>
      </c>
      <c r="E308">
        <v>552181</v>
      </c>
      <c r="F308">
        <v>4</v>
      </c>
      <c r="G308" t="str" cm="1">
        <f t="array" ref="G308">IFERROR(INDEX(ReferenceCard, MATCH(1, (INDEX(ReferenceCard,,1)=Table1[[#This Row],[SAP No]]) * (INDEX(ReferenceCard,,2)=Table1[[#This Row],[Mould No]]), 0), 3),)</f>
        <v>BC28-0090-D-APH-5180-3538-PP-6 NOTCHES-MOLD4</v>
      </c>
      <c r="H308">
        <v>0</v>
      </c>
      <c r="I308" cm="1">
        <f t="array" ref="I308">IFERROR(INDEX(ReferenceCard, MATCH(1, (INDEX(ReferenceCard,,1)=Table1[[#This Row],[SAP No]]) * (INDEX(ReferenceCard,,2)=Table1[[#This Row],[Mould No]]), 0), 4),)</f>
        <v>6</v>
      </c>
      <c r="J308" s="4" cm="1">
        <f t="array" ref="J308">IFERROR(INDEX(ReferenceCard, MATCH(1, (INDEX(ReferenceCard,,1)=Table1[[#This Row],[SAP No]]) * (INDEX(ReferenceCard,,2)=Table1[[#This Row],[Mould No]]), 0), 9),)</f>
        <v>18.8</v>
      </c>
      <c r="K308" s="4" cm="1">
        <f t="array" ref="K308">IFERROR(INDEX(ReferenceCard, MATCH(1, (INDEX(ReferenceCard,,1)=Table1[[#This Row],[SAP No]]) * (INDEX(ReferenceCard,,2)=Table1[[#This Row],[Mould No]]), 0), 7),)</f>
        <v>18.8</v>
      </c>
      <c r="L308">
        <v>1161</v>
      </c>
      <c r="M308">
        <v>0</v>
      </c>
      <c r="N308">
        <v>0</v>
      </c>
      <c r="O308">
        <v>0</v>
      </c>
      <c r="P308">
        <f>Table1[[#This Row],[Shot]]*Table1[[#This Row],[Cav]]</f>
        <v>6966</v>
      </c>
      <c r="Q308">
        <v>0</v>
      </c>
      <c r="R308">
        <f>(Table1[[#This Row],[Part Weight (gm)]]*Table1[[#This Row],[Finish Good]])/1000</f>
        <v>0</v>
      </c>
      <c r="S308">
        <v>0</v>
      </c>
      <c r="T308">
        <f>IF(Table1[[#This Row],[Qty Order]]="Sample","-",IF(Table1[[#This Row],[Qty Order]]="RTFN","-",Table1[[#This Row],[Qty Order]]-Table1[[#This Row],[Qty Accumulate]]))</f>
        <v>0</v>
      </c>
      <c r="U308">
        <f>((Table1[[#This Row],[Shift Output]]*Table1[[#This Row],[Part Weight (gm)]])/1000)+Table1[[#This Row],[Reject Startup (kg)]]+Table1[[#This Row],[Reject Purging (kg)]]+Table1[[#This Row],[Reject Preform (kg)]]</f>
        <v>130.96080000000001</v>
      </c>
      <c r="V308" s="37">
        <f>(Table1[[#This Row],[Gross Weight (gm)]]-Table1[[#This Row],[Part Weight (gm)]])*Table1[[#This Row],[Shift Output]]/1000</f>
        <v>0</v>
      </c>
      <c r="W308" s="3">
        <v>0</v>
      </c>
      <c r="X308" s="36">
        <f>Table1[[#This Row],[Reject Startup (kg)]]/Table1[[#This Row],[Material Used]]</f>
        <v>0</v>
      </c>
      <c r="Y308" s="3">
        <v>0</v>
      </c>
      <c r="Z308" s="36">
        <f>Table1[[#This Row],[Reject Prod (kg)]]/Table1[[#This Row],[Material Used]]</f>
        <v>0</v>
      </c>
      <c r="AA308" s="4">
        <v>29.488298416137599</v>
      </c>
      <c r="AB308" s="5">
        <v>9.5</v>
      </c>
      <c r="AC308" s="4" cm="1">
        <f t="array" ref="AC308">IFERROR(INDEX(ReferenceCard, MATCH(1, (INDEX(ReferenceCard,,1)=Table1[[#This Row],[SAP No]]) * (INDEX(ReferenceCard,,2)=Table1[[#This Row],[Mould No]]), 0), 9),)</f>
        <v>18.8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2.5</v>
      </c>
      <c r="AJ308" s="5">
        <v>0</v>
      </c>
      <c r="AL308" s="2"/>
      <c r="AM308" s="2"/>
      <c r="AN308" s="3">
        <v>0</v>
      </c>
      <c r="AO308" s="3">
        <v>0</v>
      </c>
      <c r="AP30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09" spans="1:42" x14ac:dyDescent="0.35">
      <c r="A309" s="1">
        <v>46013</v>
      </c>
      <c r="B309">
        <v>2</v>
      </c>
      <c r="C309" t="s">
        <v>0</v>
      </c>
      <c r="D309" t="str" cm="1">
        <f t="array" ref="D309">IFERROR(INDEX(ReferenceCard, MATCH(1, (INDEX(ReferenceCard,,1)=Table1[[#This Row],[SAP No]]) * (INDEX(ReferenceCard,,2)=Table1[[#This Row],[Mould No]]), 0), 6),)</f>
        <v>PET</v>
      </c>
      <c r="E309">
        <v>347623</v>
      </c>
      <c r="F309">
        <v>0</v>
      </c>
      <c r="G309" t="str" cm="1">
        <f t="array" ref="G309">IFERROR(INDEX(ReferenceCard, MATCH(1, (INDEX(ReferenceCard,,1)=Table1[[#This Row],[SAP No]]) * (INDEX(ReferenceCard,,2)=Table1[[#This Row],[Mould No]]), 0), 3),)</f>
        <v>BC28-0375-K-R-CL</v>
      </c>
      <c r="H309">
        <v>0</v>
      </c>
      <c r="I309" cm="1">
        <f t="array" ref="I309">IFERROR(INDEX(ReferenceCard, MATCH(1, (INDEX(ReferenceCard,,1)=Table1[[#This Row],[SAP No]]) * (INDEX(ReferenceCard,,2)=Table1[[#This Row],[Mould No]]), 0), 4),)</f>
        <v>4</v>
      </c>
      <c r="J309" s="4" cm="1">
        <f t="array" ref="J309">IFERROR(INDEX(ReferenceCard, MATCH(1, (INDEX(ReferenceCard,,1)=Table1[[#This Row],[SAP No]]) * (INDEX(ReferenceCard,,2)=Table1[[#This Row],[Mould No]]), 0), 9),)</f>
        <v>35.6</v>
      </c>
      <c r="K309" s="4" cm="1">
        <f t="array" ref="K309">IFERROR(INDEX(ReferenceCard, MATCH(1, (INDEX(ReferenceCard,,1)=Table1[[#This Row],[SAP No]]) * (INDEX(ReferenceCard,,2)=Table1[[#This Row],[Mould No]]), 0), 7),)</f>
        <v>35.6</v>
      </c>
      <c r="L309">
        <v>1644</v>
      </c>
      <c r="M309">
        <v>0</v>
      </c>
      <c r="N309">
        <v>0</v>
      </c>
      <c r="O309">
        <v>0</v>
      </c>
      <c r="P309">
        <f>Table1[[#This Row],[Shot]]*Table1[[#This Row],[Cav]]</f>
        <v>6576</v>
      </c>
      <c r="Q309">
        <v>0</v>
      </c>
      <c r="R309">
        <f>(Table1[[#This Row],[Part Weight (gm)]]*Table1[[#This Row],[Finish Good]])/1000</f>
        <v>0</v>
      </c>
      <c r="S309">
        <v>0</v>
      </c>
      <c r="T309">
        <f>IF(Table1[[#This Row],[Qty Order]]="Sample","-",IF(Table1[[#This Row],[Qty Order]]="RTFN","-",Table1[[#This Row],[Qty Order]]-Table1[[#This Row],[Qty Accumulate]]))</f>
        <v>0</v>
      </c>
      <c r="U309">
        <f>((Table1[[#This Row],[Shift Output]]*Table1[[#This Row],[Part Weight (gm)]])/1000)+Table1[[#This Row],[Reject Startup (kg)]]+Table1[[#This Row],[Reject Purging (kg)]]+Table1[[#This Row],[Reject Preform (kg)]]</f>
        <v>234.10560000000001</v>
      </c>
      <c r="V309" s="37">
        <f>(Table1[[#This Row],[Gross Weight (gm)]]-Table1[[#This Row],[Part Weight (gm)]])*Table1[[#This Row],[Shift Output]]/1000</f>
        <v>0</v>
      </c>
      <c r="W309" s="3">
        <v>0</v>
      </c>
      <c r="X309" s="36">
        <f>Table1[[#This Row],[Reject Startup (kg)]]/Table1[[#This Row],[Material Used]]</f>
        <v>0</v>
      </c>
      <c r="Y309" s="3">
        <v>0</v>
      </c>
      <c r="Z309" s="36">
        <f>Table1[[#This Row],[Reject Prod (kg)]]/Table1[[#This Row],[Material Used]]</f>
        <v>0</v>
      </c>
      <c r="AA309" s="4">
        <v>26.270246505737301</v>
      </c>
      <c r="AB309" s="5">
        <v>12</v>
      </c>
      <c r="AC309" s="4" cm="1">
        <f t="array" ref="AC309">IFERROR(INDEX(ReferenceCard, MATCH(1, (INDEX(ReferenceCard,,1)=Table1[[#This Row],[SAP No]]) * (INDEX(ReferenceCard,,2)=Table1[[#This Row],[Mould No]]), 0), 9),)</f>
        <v>35.6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L309" s="2"/>
      <c r="AM309" s="2"/>
      <c r="AN309" s="3">
        <v>0</v>
      </c>
      <c r="AO309" s="3">
        <v>0</v>
      </c>
      <c r="AP30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0" spans="1:42" x14ac:dyDescent="0.35">
      <c r="A310" s="1">
        <v>46013</v>
      </c>
      <c r="B310">
        <v>2</v>
      </c>
      <c r="C310" t="s">
        <v>3</v>
      </c>
      <c r="D310" t="str" cm="1">
        <f t="array" ref="D310">IFERROR(INDEX(ReferenceCard, MATCH(1, (INDEX(ReferenceCard,,1)=Table1[[#This Row],[SAP No]]) * (INDEX(ReferenceCard,,2)=Table1[[#This Row],[Mould No]]), 0), 6),)</f>
        <v>PET</v>
      </c>
      <c r="E310">
        <v>423215</v>
      </c>
      <c r="F310">
        <v>0</v>
      </c>
      <c r="G310" t="str" cm="1">
        <f t="array" ref="G310">IFERROR(INDEX(ReferenceCard, MATCH(1, (INDEX(ReferenceCard,,1)=Table1[[#This Row],[SAP No]]) * (INDEX(ReferenceCard,,2)=Table1[[#This Row],[Mould No]]), 0), 3),)</f>
        <v>BC28-0355-SCC-A-Q-CL</v>
      </c>
      <c r="H310">
        <v>0</v>
      </c>
      <c r="I310" cm="1">
        <f t="array" ref="I310">IFERROR(INDEX(ReferenceCard, MATCH(1, (INDEX(ReferenceCard,,1)=Table1[[#This Row],[SAP No]]) * (INDEX(ReferenceCard,,2)=Table1[[#This Row],[Mould No]]), 0), 4),)</f>
        <v>4</v>
      </c>
      <c r="J310" s="4" cm="1">
        <f t="array" ref="J310">IFERROR(INDEX(ReferenceCard, MATCH(1, (INDEX(ReferenceCard,,1)=Table1[[#This Row],[SAP No]]) * (INDEX(ReferenceCard,,2)=Table1[[#This Row],[Mould No]]), 0), 9),)</f>
        <v>24</v>
      </c>
      <c r="K310" s="4" cm="1">
        <f t="array" ref="K310">IFERROR(INDEX(ReferenceCard, MATCH(1, (INDEX(ReferenceCard,,1)=Table1[[#This Row],[SAP No]]) * (INDEX(ReferenceCard,,2)=Table1[[#This Row],[Mould No]]), 0), 7),)</f>
        <v>24</v>
      </c>
      <c r="L310">
        <v>1323</v>
      </c>
      <c r="M310">
        <v>0</v>
      </c>
      <c r="N310">
        <v>0</v>
      </c>
      <c r="O310">
        <v>0</v>
      </c>
      <c r="P310">
        <f>Table1[[#This Row],[Shot]]*Table1[[#This Row],[Cav]]</f>
        <v>5292</v>
      </c>
      <c r="Q310">
        <v>0</v>
      </c>
      <c r="R310">
        <f>(Table1[[#This Row],[Part Weight (gm)]]*Table1[[#This Row],[Finish Good]])/1000</f>
        <v>0</v>
      </c>
      <c r="S310">
        <v>0</v>
      </c>
      <c r="T310">
        <f>IF(Table1[[#This Row],[Qty Order]]="Sample","-",IF(Table1[[#This Row],[Qty Order]]="RTFN","-",Table1[[#This Row],[Qty Order]]-Table1[[#This Row],[Qty Accumulate]]))</f>
        <v>0</v>
      </c>
      <c r="U310">
        <f>((Table1[[#This Row],[Shift Output]]*Table1[[#This Row],[Part Weight (gm)]])/1000)+Table1[[#This Row],[Reject Startup (kg)]]+Table1[[#This Row],[Reject Purging (kg)]]+Table1[[#This Row],[Reject Preform (kg)]]</f>
        <v>127.008</v>
      </c>
      <c r="V310" s="37">
        <f>(Table1[[#This Row],[Gross Weight (gm)]]-Table1[[#This Row],[Part Weight (gm)]])*Table1[[#This Row],[Shift Output]]/1000</f>
        <v>0</v>
      </c>
      <c r="W310" s="3">
        <v>0</v>
      </c>
      <c r="X310" s="36">
        <f>Table1[[#This Row],[Reject Startup (kg)]]/Table1[[#This Row],[Material Used]]</f>
        <v>0</v>
      </c>
      <c r="Y310" s="3">
        <v>0</v>
      </c>
      <c r="Z310" s="36">
        <f>Table1[[#This Row],[Reject Prod (kg)]]/Table1[[#This Row],[Material Used]]</f>
        <v>0</v>
      </c>
      <c r="AA310" s="4">
        <v>33.533496856689403</v>
      </c>
      <c r="AB310" s="5">
        <v>11.94</v>
      </c>
      <c r="AC310" s="4" cm="1">
        <f t="array" ref="AC310">IFERROR(INDEX(ReferenceCard, MATCH(1, (INDEX(ReferenceCard,,1)=Table1[[#This Row],[SAP No]]) * (INDEX(ReferenceCard,,2)=Table1[[#This Row],[Mould No]]), 0), 9),)</f>
        <v>24</v>
      </c>
      <c r="AD310" s="5">
        <v>0</v>
      </c>
      <c r="AE310" s="5">
        <v>0</v>
      </c>
      <c r="AF310" s="5">
        <v>0</v>
      </c>
      <c r="AG310" s="5">
        <v>0</v>
      </c>
      <c r="AH310" s="5">
        <v>5.9999999999999901E-2</v>
      </c>
      <c r="AI310" s="5">
        <v>0</v>
      </c>
      <c r="AJ310" s="5">
        <v>0</v>
      </c>
      <c r="AL310" s="2"/>
      <c r="AM310" s="2"/>
      <c r="AN310" s="3">
        <v>0</v>
      </c>
      <c r="AO310" s="3">
        <v>0</v>
      </c>
      <c r="AP31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1" spans="1:42" x14ac:dyDescent="0.35">
      <c r="A311" s="1">
        <v>46013</v>
      </c>
      <c r="B311">
        <v>2</v>
      </c>
      <c r="C311" t="s">
        <v>5</v>
      </c>
      <c r="D311" t="str" cm="1">
        <f t="array" ref="D311">IFERROR(INDEX(ReferenceCard, MATCH(1, (INDEX(ReferenceCard,,1)=Table1[[#This Row],[SAP No]]) * (INDEX(ReferenceCard,,2)=Table1[[#This Row],[Mould No]]), 0), 6),)</f>
        <v>PET</v>
      </c>
      <c r="E311">
        <v>543590</v>
      </c>
      <c r="F311">
        <v>0</v>
      </c>
      <c r="G311" t="str" cm="1">
        <f t="array" ref="G311">IFERROR(INDEX(ReferenceCard, MATCH(1, (INDEX(ReferenceCard,,1)=Table1[[#This Row],[SAP No]]) * (INDEX(ReferenceCard,,2)=Table1[[#This Row],[Mould No]]), 0), 3),)</f>
        <v>BC28-0130-R-R-AM</v>
      </c>
      <c r="H311">
        <v>0</v>
      </c>
      <c r="I311" cm="1">
        <f t="array" ref="I311">IFERROR(INDEX(ReferenceCard, MATCH(1, (INDEX(ReferenceCard,,1)=Table1[[#This Row],[SAP No]]) * (INDEX(ReferenceCard,,2)=Table1[[#This Row],[Mould No]]), 0), 4),)</f>
        <v>4</v>
      </c>
      <c r="J311" s="4" cm="1">
        <f t="array" ref="J311">IFERROR(INDEX(ReferenceCard, MATCH(1, (INDEX(ReferenceCard,,1)=Table1[[#This Row],[SAP No]]) * (INDEX(ReferenceCard,,2)=Table1[[#This Row],[Mould No]]), 0), 9),)</f>
        <v>19</v>
      </c>
      <c r="K311" s="4" cm="1">
        <f t="array" ref="K311">IFERROR(INDEX(ReferenceCard, MATCH(1, (INDEX(ReferenceCard,,1)=Table1[[#This Row],[SAP No]]) * (INDEX(ReferenceCard,,2)=Table1[[#This Row],[Mould No]]), 0), 7),)</f>
        <v>19</v>
      </c>
      <c r="L311">
        <v>0</v>
      </c>
      <c r="M311">
        <v>0</v>
      </c>
      <c r="N311">
        <v>0</v>
      </c>
      <c r="O311">
        <v>0</v>
      </c>
      <c r="P311">
        <f>Table1[[#This Row],[Shot]]*Table1[[#This Row],[Cav]]</f>
        <v>0</v>
      </c>
      <c r="Q311">
        <v>0</v>
      </c>
      <c r="R311">
        <f>(Table1[[#This Row],[Part Weight (gm)]]*Table1[[#This Row],[Finish Good]])/1000</f>
        <v>0</v>
      </c>
      <c r="S311">
        <v>0</v>
      </c>
      <c r="T311">
        <f>IF(Table1[[#This Row],[Qty Order]]="Sample","-",IF(Table1[[#This Row],[Qty Order]]="RTFN","-",Table1[[#This Row],[Qty Order]]-Table1[[#This Row],[Qty Accumulate]]))</f>
        <v>0</v>
      </c>
      <c r="U311">
        <f>((Table1[[#This Row],[Shift Output]]*Table1[[#This Row],[Part Weight (gm)]])/1000)+Table1[[#This Row],[Reject Startup (kg)]]+Table1[[#This Row],[Reject Purging (kg)]]+Table1[[#This Row],[Reject Preform (kg)]]</f>
        <v>0</v>
      </c>
      <c r="V311" s="37">
        <f>(Table1[[#This Row],[Gross Weight (gm)]]-Table1[[#This Row],[Part Weight (gm)]])*Table1[[#This Row],[Shift Output]]/1000</f>
        <v>0</v>
      </c>
      <c r="W311" s="3">
        <v>0</v>
      </c>
      <c r="X311" s="36" t="e">
        <f>Table1[[#This Row],[Reject Startup (kg)]]/Table1[[#This Row],[Material Used]]</f>
        <v>#DIV/0!</v>
      </c>
      <c r="Y311" s="3">
        <v>0</v>
      </c>
      <c r="Z311" s="36" t="e">
        <f>Table1[[#This Row],[Reject Prod (kg)]]/Table1[[#This Row],[Material Used]]</f>
        <v>#DIV/0!</v>
      </c>
      <c r="AA311" s="4">
        <v>0</v>
      </c>
      <c r="AB311" s="5">
        <v>0</v>
      </c>
      <c r="AC311" s="4" cm="1">
        <f t="array" ref="AC311">IFERROR(INDEX(ReferenceCard, MATCH(1, (INDEX(ReferenceCard,,1)=Table1[[#This Row],[SAP No]]) * (INDEX(ReferenceCard,,2)=Table1[[#This Row],[Mould No]]), 0), 9),)</f>
        <v>19</v>
      </c>
      <c r="AD311" s="5">
        <v>0</v>
      </c>
      <c r="AE311" s="5">
        <v>0</v>
      </c>
      <c r="AF311" s="5">
        <v>0</v>
      </c>
      <c r="AG311" s="5">
        <v>12</v>
      </c>
      <c r="AH311" s="5">
        <v>0</v>
      </c>
      <c r="AI311" s="5">
        <v>0</v>
      </c>
      <c r="AJ311" s="5">
        <v>0</v>
      </c>
      <c r="AK311" t="s">
        <v>68</v>
      </c>
      <c r="AL311" s="2"/>
      <c r="AM311" s="2"/>
      <c r="AN311" s="3">
        <v>0</v>
      </c>
      <c r="AO311" s="3">
        <v>0</v>
      </c>
      <c r="AP31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2" spans="1:42" x14ac:dyDescent="0.35">
      <c r="A312" s="1">
        <v>46013</v>
      </c>
      <c r="B312">
        <v>2</v>
      </c>
      <c r="C312" t="s">
        <v>7</v>
      </c>
      <c r="D312" t="str" cm="1">
        <f t="array" ref="D312">IFERROR(INDEX(ReferenceCard, MATCH(1, (INDEX(ReferenceCard,,1)=Table1[[#This Row],[SAP No]]) * (INDEX(ReferenceCard,,2)=Table1[[#This Row],[Mould No]]), 0), 6),)</f>
        <v>PET</v>
      </c>
      <c r="E312">
        <v>451191</v>
      </c>
      <c r="F312">
        <v>0</v>
      </c>
      <c r="G312" t="str" cm="1">
        <f t="array" ref="G312">IFERROR(INDEX(ReferenceCard, MATCH(1, (INDEX(ReferenceCard,,1)=Table1[[#This Row],[SAP No]]) * (INDEX(ReferenceCard,,2)=Table1[[#This Row],[Mould No]]), 0), 3),)</f>
        <v>BX38-0350-Z-C-CL</v>
      </c>
      <c r="H312">
        <v>0</v>
      </c>
      <c r="I312" cm="1">
        <f t="array" ref="I312">IFERROR(INDEX(ReferenceCard, MATCH(1, (INDEX(ReferenceCard,,1)=Table1[[#This Row],[SAP No]]) * (INDEX(ReferenceCard,,2)=Table1[[#This Row],[Mould No]]), 0), 4),)</f>
        <v>4</v>
      </c>
      <c r="J312" s="4" cm="1">
        <f t="array" ref="J312">IFERROR(INDEX(ReferenceCard, MATCH(1, (INDEX(ReferenceCard,,1)=Table1[[#This Row],[SAP No]]) * (INDEX(ReferenceCard,,2)=Table1[[#This Row],[Mould No]]), 0), 9),)</f>
        <v>29</v>
      </c>
      <c r="K312" s="4" cm="1">
        <f t="array" ref="K312">IFERROR(INDEX(ReferenceCard, MATCH(1, (INDEX(ReferenceCard,,1)=Table1[[#This Row],[SAP No]]) * (INDEX(ReferenceCard,,2)=Table1[[#This Row],[Mould No]]), 0), 7),)</f>
        <v>29</v>
      </c>
      <c r="L312">
        <v>1685</v>
      </c>
      <c r="M312">
        <v>0</v>
      </c>
      <c r="N312">
        <v>0</v>
      </c>
      <c r="O312">
        <v>0</v>
      </c>
      <c r="P312">
        <f>Table1[[#This Row],[Shot]]*Table1[[#This Row],[Cav]]</f>
        <v>6740</v>
      </c>
      <c r="Q312">
        <v>0</v>
      </c>
      <c r="R312">
        <f>(Table1[[#This Row],[Part Weight (gm)]]*Table1[[#This Row],[Finish Good]])/1000</f>
        <v>0</v>
      </c>
      <c r="S312">
        <v>0</v>
      </c>
      <c r="T312">
        <f>IF(Table1[[#This Row],[Qty Order]]="Sample","-",IF(Table1[[#This Row],[Qty Order]]="RTFN","-",Table1[[#This Row],[Qty Order]]-Table1[[#This Row],[Qty Accumulate]]))</f>
        <v>0</v>
      </c>
      <c r="U312">
        <f>((Table1[[#This Row],[Shift Output]]*Table1[[#This Row],[Part Weight (gm)]])/1000)+Table1[[#This Row],[Reject Startup (kg)]]+Table1[[#This Row],[Reject Purging (kg)]]+Table1[[#This Row],[Reject Preform (kg)]]</f>
        <v>195.46</v>
      </c>
      <c r="V312" s="37">
        <f>(Table1[[#This Row],[Gross Weight (gm)]]-Table1[[#This Row],[Part Weight (gm)]])*Table1[[#This Row],[Shift Output]]/1000</f>
        <v>0</v>
      </c>
      <c r="W312" s="3">
        <v>0</v>
      </c>
      <c r="X312" s="36">
        <f>Table1[[#This Row],[Reject Startup (kg)]]/Table1[[#This Row],[Material Used]]</f>
        <v>0</v>
      </c>
      <c r="Y312" s="3">
        <v>0</v>
      </c>
      <c r="Z312" s="36">
        <f>Table1[[#This Row],[Reject Prod (kg)]]/Table1[[#This Row],[Material Used]]</f>
        <v>0</v>
      </c>
      <c r="AA312" s="4">
        <v>25.639019012451101</v>
      </c>
      <c r="AB312" s="5">
        <v>12</v>
      </c>
      <c r="AC312" s="4" cm="1">
        <f t="array" ref="AC312">IFERROR(INDEX(ReferenceCard, MATCH(1, (INDEX(ReferenceCard,,1)=Table1[[#This Row],[SAP No]]) * (INDEX(ReferenceCard,,2)=Table1[[#This Row],[Mould No]]), 0), 9),)</f>
        <v>29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L312" s="2"/>
      <c r="AM312" s="2"/>
      <c r="AN312" s="3">
        <v>0</v>
      </c>
      <c r="AO312" s="3">
        <v>0</v>
      </c>
      <c r="AP31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3" spans="1:42" x14ac:dyDescent="0.35">
      <c r="A313" s="1">
        <v>46013</v>
      </c>
      <c r="B313">
        <v>1</v>
      </c>
      <c r="C313" t="s">
        <v>0</v>
      </c>
      <c r="D313" t="str" cm="1">
        <f t="array" ref="D313">IFERROR(INDEX(ReferenceCard, MATCH(1, (INDEX(ReferenceCard,,1)=Table1[[#This Row],[SAP No]]) * (INDEX(ReferenceCard,,2)=Table1[[#This Row],[Mould No]]), 0), 6),)</f>
        <v>PET</v>
      </c>
      <c r="E313">
        <v>347623</v>
      </c>
      <c r="F313">
        <v>0</v>
      </c>
      <c r="G313" t="str" cm="1">
        <f t="array" ref="G313">IFERROR(INDEX(ReferenceCard, MATCH(1, (INDEX(ReferenceCard,,1)=Table1[[#This Row],[SAP No]]) * (INDEX(ReferenceCard,,2)=Table1[[#This Row],[Mould No]]), 0), 3),)</f>
        <v>BC28-0375-K-R-CL</v>
      </c>
      <c r="H313">
        <v>0</v>
      </c>
      <c r="I313" cm="1">
        <f t="array" ref="I313">IFERROR(INDEX(ReferenceCard, MATCH(1, (INDEX(ReferenceCard,,1)=Table1[[#This Row],[SAP No]]) * (INDEX(ReferenceCard,,2)=Table1[[#This Row],[Mould No]]), 0), 4),)</f>
        <v>4</v>
      </c>
      <c r="J313" s="4" cm="1">
        <f t="array" ref="J313">IFERROR(INDEX(ReferenceCard, MATCH(1, (INDEX(ReferenceCard,,1)=Table1[[#This Row],[SAP No]]) * (INDEX(ReferenceCard,,2)=Table1[[#This Row],[Mould No]]), 0), 9),)</f>
        <v>35.6</v>
      </c>
      <c r="K313" s="4" cm="1">
        <f t="array" ref="K313">IFERROR(INDEX(ReferenceCard, MATCH(1, (INDEX(ReferenceCard,,1)=Table1[[#This Row],[SAP No]]) * (INDEX(ReferenceCard,,2)=Table1[[#This Row],[Mould No]]), 0), 7),)</f>
        <v>35.6</v>
      </c>
      <c r="L313">
        <v>1489</v>
      </c>
      <c r="M313">
        <v>0</v>
      </c>
      <c r="N313">
        <v>0</v>
      </c>
      <c r="O313">
        <v>0</v>
      </c>
      <c r="P313">
        <f>Table1[[#This Row],[Shot]]*Table1[[#This Row],[Cav]]</f>
        <v>5956</v>
      </c>
      <c r="Q313">
        <v>0</v>
      </c>
      <c r="R313">
        <f>(Table1[[#This Row],[Part Weight (gm)]]*Table1[[#This Row],[Finish Good]])/1000</f>
        <v>0</v>
      </c>
      <c r="S313">
        <v>0</v>
      </c>
      <c r="T313">
        <f>IF(Table1[[#This Row],[Qty Order]]="Sample","-",IF(Table1[[#This Row],[Qty Order]]="RTFN","-",Table1[[#This Row],[Qty Order]]-Table1[[#This Row],[Qty Accumulate]]))</f>
        <v>0</v>
      </c>
      <c r="U313">
        <f>((Table1[[#This Row],[Shift Output]]*Table1[[#This Row],[Part Weight (gm)]])/1000)+Table1[[#This Row],[Reject Startup (kg)]]+Table1[[#This Row],[Reject Purging (kg)]]+Table1[[#This Row],[Reject Preform (kg)]]</f>
        <v>212.03360000000001</v>
      </c>
      <c r="V313" s="37">
        <f>(Table1[[#This Row],[Gross Weight (gm)]]-Table1[[#This Row],[Part Weight (gm)]])*Table1[[#This Row],[Shift Output]]/1000</f>
        <v>0</v>
      </c>
      <c r="W313" s="3">
        <v>0</v>
      </c>
      <c r="X313" s="36">
        <f>Table1[[#This Row],[Reject Startup (kg)]]/Table1[[#This Row],[Material Used]]</f>
        <v>0</v>
      </c>
      <c r="Y313" s="3">
        <v>0</v>
      </c>
      <c r="Z313" s="36">
        <f>Table1[[#This Row],[Reject Prod (kg)]]/Table1[[#This Row],[Material Used]]</f>
        <v>0</v>
      </c>
      <c r="AA313" s="4">
        <v>26.301280975341701</v>
      </c>
      <c r="AB313" s="5">
        <v>11.96</v>
      </c>
      <c r="AC313" s="4" cm="1">
        <f t="array" ref="AC313">IFERROR(INDEX(ReferenceCard, MATCH(1, (INDEX(ReferenceCard,,1)=Table1[[#This Row],[SAP No]]) * (INDEX(ReferenceCard,,2)=Table1[[#This Row],[Mould No]]), 0), 9),)</f>
        <v>35.6</v>
      </c>
      <c r="AD313" s="5">
        <v>0</v>
      </c>
      <c r="AE313" s="5">
        <v>0</v>
      </c>
      <c r="AF313" s="5">
        <v>0</v>
      </c>
      <c r="AG313" s="5">
        <v>0</v>
      </c>
      <c r="AH313" s="5">
        <v>0.04</v>
      </c>
      <c r="AI313" s="5">
        <v>0</v>
      </c>
      <c r="AJ313" s="5">
        <v>0</v>
      </c>
      <c r="AL313" s="2"/>
      <c r="AM313" s="2"/>
      <c r="AN313" s="3">
        <v>0</v>
      </c>
      <c r="AO313" s="3">
        <v>0</v>
      </c>
      <c r="AP31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4" spans="1:42" x14ac:dyDescent="0.35">
      <c r="A314" s="1">
        <v>46013</v>
      </c>
      <c r="B314">
        <v>1</v>
      </c>
      <c r="C314" t="s">
        <v>3</v>
      </c>
      <c r="D314" t="str" cm="1">
        <f t="array" ref="D314">IFERROR(INDEX(ReferenceCard, MATCH(1, (INDEX(ReferenceCard,,1)=Table1[[#This Row],[SAP No]]) * (INDEX(ReferenceCard,,2)=Table1[[#This Row],[Mould No]]), 0), 6),)</f>
        <v>PET</v>
      </c>
      <c r="E314">
        <v>423215</v>
      </c>
      <c r="F314">
        <v>0</v>
      </c>
      <c r="G314" t="str" cm="1">
        <f t="array" ref="G314">IFERROR(INDEX(ReferenceCard, MATCH(1, (INDEX(ReferenceCard,,1)=Table1[[#This Row],[SAP No]]) * (INDEX(ReferenceCard,,2)=Table1[[#This Row],[Mould No]]), 0), 3),)</f>
        <v>BC28-0355-SCC-A-Q-CL</v>
      </c>
      <c r="H314">
        <v>0</v>
      </c>
      <c r="I314" cm="1">
        <f t="array" ref="I314">IFERROR(INDEX(ReferenceCard, MATCH(1, (INDEX(ReferenceCard,,1)=Table1[[#This Row],[SAP No]]) * (INDEX(ReferenceCard,,2)=Table1[[#This Row],[Mould No]]), 0), 4),)</f>
        <v>4</v>
      </c>
      <c r="J314" s="4" cm="1">
        <f t="array" ref="J314">IFERROR(INDEX(ReferenceCard, MATCH(1, (INDEX(ReferenceCard,,1)=Table1[[#This Row],[SAP No]]) * (INDEX(ReferenceCard,,2)=Table1[[#This Row],[Mould No]]), 0), 9),)</f>
        <v>24</v>
      </c>
      <c r="K314" s="4" cm="1">
        <f t="array" ref="K314">IFERROR(INDEX(ReferenceCard, MATCH(1, (INDEX(ReferenceCard,,1)=Table1[[#This Row],[SAP No]]) * (INDEX(ReferenceCard,,2)=Table1[[#This Row],[Mould No]]), 0), 7),)</f>
        <v>24</v>
      </c>
      <c r="L314">
        <v>475</v>
      </c>
      <c r="M314">
        <v>0</v>
      </c>
      <c r="N314">
        <v>0</v>
      </c>
      <c r="O314">
        <v>0</v>
      </c>
      <c r="P314">
        <f>Table1[[#This Row],[Shot]]*Table1[[#This Row],[Cav]]</f>
        <v>1900</v>
      </c>
      <c r="Q314">
        <v>0</v>
      </c>
      <c r="R314">
        <f>(Table1[[#This Row],[Part Weight (gm)]]*Table1[[#This Row],[Finish Good]])/1000</f>
        <v>0</v>
      </c>
      <c r="S314">
        <v>0</v>
      </c>
      <c r="T314">
        <f>IF(Table1[[#This Row],[Qty Order]]="Sample","-",IF(Table1[[#This Row],[Qty Order]]="RTFN","-",Table1[[#This Row],[Qty Order]]-Table1[[#This Row],[Qty Accumulate]]))</f>
        <v>0</v>
      </c>
      <c r="U314">
        <f>((Table1[[#This Row],[Shift Output]]*Table1[[#This Row],[Part Weight (gm)]])/1000)+Table1[[#This Row],[Reject Startup (kg)]]+Table1[[#This Row],[Reject Purging (kg)]]+Table1[[#This Row],[Reject Preform (kg)]]</f>
        <v>45.6</v>
      </c>
      <c r="V314" s="37">
        <f>(Table1[[#This Row],[Gross Weight (gm)]]-Table1[[#This Row],[Part Weight (gm)]])*Table1[[#This Row],[Shift Output]]/1000</f>
        <v>0</v>
      </c>
      <c r="W314" s="3">
        <v>0</v>
      </c>
      <c r="X314" s="36">
        <f>Table1[[#This Row],[Reject Startup (kg)]]/Table1[[#This Row],[Material Used]]</f>
        <v>0</v>
      </c>
      <c r="Y314" s="3">
        <v>0</v>
      </c>
      <c r="Z314" s="36">
        <f>Table1[[#This Row],[Reject Prod (kg)]]/Table1[[#This Row],[Material Used]]</f>
        <v>0</v>
      </c>
      <c r="AA314" s="4">
        <v>33.339195251464801</v>
      </c>
      <c r="AB314" s="5">
        <v>3.48</v>
      </c>
      <c r="AC314" s="4" cm="1">
        <f t="array" ref="AC314">IFERROR(INDEX(ReferenceCard, MATCH(1, (INDEX(ReferenceCard,,1)=Table1[[#This Row],[SAP No]]) * (INDEX(ReferenceCard,,2)=Table1[[#This Row],[Mould No]]), 0), 9),)</f>
        <v>24</v>
      </c>
      <c r="AD314" s="5">
        <v>0</v>
      </c>
      <c r="AE314" s="5">
        <v>0</v>
      </c>
      <c r="AF314" s="5">
        <v>0</v>
      </c>
      <c r="AG314" s="5">
        <v>2.52</v>
      </c>
      <c r="AH314" s="5">
        <v>6.00999999999999</v>
      </c>
      <c r="AI314" s="5">
        <v>0</v>
      </c>
      <c r="AJ314" s="5">
        <v>0</v>
      </c>
      <c r="AK314" t="s">
        <v>74</v>
      </c>
      <c r="AL314" s="2"/>
      <c r="AM314" s="2"/>
      <c r="AN314" s="3">
        <v>0</v>
      </c>
      <c r="AO314" s="3">
        <v>0</v>
      </c>
      <c r="AP31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5" spans="1:42" x14ac:dyDescent="0.35">
      <c r="A315" s="1">
        <v>46013</v>
      </c>
      <c r="B315">
        <v>1</v>
      </c>
      <c r="C315" t="s">
        <v>5</v>
      </c>
      <c r="D315" t="str" cm="1">
        <f t="array" ref="D315">IFERROR(INDEX(ReferenceCard, MATCH(1, (INDEX(ReferenceCard,,1)=Table1[[#This Row],[SAP No]]) * (INDEX(ReferenceCard,,2)=Table1[[#This Row],[Mould No]]), 0), 6),)</f>
        <v>PET</v>
      </c>
      <c r="E315">
        <v>543590</v>
      </c>
      <c r="F315">
        <v>0</v>
      </c>
      <c r="G315" t="str" cm="1">
        <f t="array" ref="G315">IFERROR(INDEX(ReferenceCard, MATCH(1, (INDEX(ReferenceCard,,1)=Table1[[#This Row],[SAP No]]) * (INDEX(ReferenceCard,,2)=Table1[[#This Row],[Mould No]]), 0), 3),)</f>
        <v>BC28-0130-R-R-AM</v>
      </c>
      <c r="H315">
        <v>0</v>
      </c>
      <c r="I315" cm="1">
        <f t="array" ref="I315">IFERROR(INDEX(ReferenceCard, MATCH(1, (INDEX(ReferenceCard,,1)=Table1[[#This Row],[SAP No]]) * (INDEX(ReferenceCard,,2)=Table1[[#This Row],[Mould No]]), 0), 4),)</f>
        <v>4</v>
      </c>
      <c r="J315" s="4" cm="1">
        <f t="array" ref="J315">IFERROR(INDEX(ReferenceCard, MATCH(1, (INDEX(ReferenceCard,,1)=Table1[[#This Row],[SAP No]]) * (INDEX(ReferenceCard,,2)=Table1[[#This Row],[Mould No]]), 0), 9),)</f>
        <v>19</v>
      </c>
      <c r="K315" s="4" cm="1">
        <f t="array" ref="K315">IFERROR(INDEX(ReferenceCard, MATCH(1, (INDEX(ReferenceCard,,1)=Table1[[#This Row],[SAP No]]) * (INDEX(ReferenceCard,,2)=Table1[[#This Row],[Mould No]]), 0), 7),)</f>
        <v>19</v>
      </c>
      <c r="L315">
        <v>0</v>
      </c>
      <c r="M315">
        <v>0</v>
      </c>
      <c r="N315">
        <v>0</v>
      </c>
      <c r="O315">
        <v>0</v>
      </c>
      <c r="P315">
        <f>Table1[[#This Row],[Shot]]*Table1[[#This Row],[Cav]]</f>
        <v>0</v>
      </c>
      <c r="Q315">
        <v>0</v>
      </c>
      <c r="R315">
        <f>(Table1[[#This Row],[Part Weight (gm)]]*Table1[[#This Row],[Finish Good]])/1000</f>
        <v>0</v>
      </c>
      <c r="S315">
        <v>0</v>
      </c>
      <c r="T315">
        <f>IF(Table1[[#This Row],[Qty Order]]="Sample","-",IF(Table1[[#This Row],[Qty Order]]="RTFN","-",Table1[[#This Row],[Qty Order]]-Table1[[#This Row],[Qty Accumulate]]))</f>
        <v>0</v>
      </c>
      <c r="U315">
        <f>((Table1[[#This Row],[Shift Output]]*Table1[[#This Row],[Part Weight (gm)]])/1000)+Table1[[#This Row],[Reject Startup (kg)]]+Table1[[#This Row],[Reject Purging (kg)]]+Table1[[#This Row],[Reject Preform (kg)]]</f>
        <v>0</v>
      </c>
      <c r="V315" s="37">
        <f>(Table1[[#This Row],[Gross Weight (gm)]]-Table1[[#This Row],[Part Weight (gm)]])*Table1[[#This Row],[Shift Output]]/1000</f>
        <v>0</v>
      </c>
      <c r="W315" s="3">
        <v>0</v>
      </c>
      <c r="X315" s="36" t="e">
        <f>Table1[[#This Row],[Reject Startup (kg)]]/Table1[[#This Row],[Material Used]]</f>
        <v>#DIV/0!</v>
      </c>
      <c r="Y315" s="3">
        <v>0</v>
      </c>
      <c r="Z315" s="36" t="e">
        <f>Table1[[#This Row],[Reject Prod (kg)]]/Table1[[#This Row],[Material Used]]</f>
        <v>#DIV/0!</v>
      </c>
      <c r="AA315" s="4">
        <v>0</v>
      </c>
      <c r="AB315" s="5">
        <v>0</v>
      </c>
      <c r="AC315" s="4" cm="1">
        <f t="array" ref="AC315">IFERROR(INDEX(ReferenceCard, MATCH(1, (INDEX(ReferenceCard,,1)=Table1[[#This Row],[SAP No]]) * (INDEX(ReferenceCard,,2)=Table1[[#This Row],[Mould No]]), 0), 9),)</f>
        <v>19</v>
      </c>
      <c r="AD315" s="5">
        <v>0</v>
      </c>
      <c r="AE315" s="5">
        <v>0</v>
      </c>
      <c r="AF315" s="5">
        <v>0</v>
      </c>
      <c r="AG315" s="5">
        <v>12</v>
      </c>
      <c r="AH315" s="5">
        <v>0</v>
      </c>
      <c r="AI315" s="5">
        <v>0</v>
      </c>
      <c r="AJ315" s="5">
        <v>0</v>
      </c>
      <c r="AK315" t="s">
        <v>69</v>
      </c>
      <c r="AL315" s="2"/>
      <c r="AM315" s="2"/>
      <c r="AN315" s="3">
        <v>0</v>
      </c>
      <c r="AO315" s="3">
        <v>0</v>
      </c>
      <c r="AP31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6" spans="1:42" x14ac:dyDescent="0.35">
      <c r="A316" s="1">
        <v>46013</v>
      </c>
      <c r="B316">
        <v>1</v>
      </c>
      <c r="C316" t="s">
        <v>7</v>
      </c>
      <c r="D316" t="str" cm="1">
        <f t="array" ref="D316">IFERROR(INDEX(ReferenceCard, MATCH(1, (INDEX(ReferenceCard,,1)=Table1[[#This Row],[SAP No]]) * (INDEX(ReferenceCard,,2)=Table1[[#This Row],[Mould No]]), 0), 6),)</f>
        <v>PET</v>
      </c>
      <c r="E316">
        <v>451191</v>
      </c>
      <c r="F316">
        <v>0</v>
      </c>
      <c r="G316" t="str" cm="1">
        <f t="array" ref="G316">IFERROR(INDEX(ReferenceCard, MATCH(1, (INDEX(ReferenceCard,,1)=Table1[[#This Row],[SAP No]]) * (INDEX(ReferenceCard,,2)=Table1[[#This Row],[Mould No]]), 0), 3),)</f>
        <v>BX38-0350-Z-C-CL</v>
      </c>
      <c r="H316">
        <v>0</v>
      </c>
      <c r="I316" cm="1">
        <f t="array" ref="I316">IFERROR(INDEX(ReferenceCard, MATCH(1, (INDEX(ReferenceCard,,1)=Table1[[#This Row],[SAP No]]) * (INDEX(ReferenceCard,,2)=Table1[[#This Row],[Mould No]]), 0), 4),)</f>
        <v>4</v>
      </c>
      <c r="J316" s="4" cm="1">
        <f t="array" ref="J316">IFERROR(INDEX(ReferenceCard, MATCH(1, (INDEX(ReferenceCard,,1)=Table1[[#This Row],[SAP No]]) * (INDEX(ReferenceCard,,2)=Table1[[#This Row],[Mould No]]), 0), 9),)</f>
        <v>29</v>
      </c>
      <c r="K316" s="4" cm="1">
        <f t="array" ref="K316">IFERROR(INDEX(ReferenceCard, MATCH(1, (INDEX(ReferenceCard,,1)=Table1[[#This Row],[SAP No]]) * (INDEX(ReferenceCard,,2)=Table1[[#This Row],[Mould No]]), 0), 7),)</f>
        <v>29</v>
      </c>
      <c r="L316">
        <v>1378</v>
      </c>
      <c r="M316">
        <v>0</v>
      </c>
      <c r="N316">
        <v>0</v>
      </c>
      <c r="O316">
        <v>0</v>
      </c>
      <c r="P316">
        <f>Table1[[#This Row],[Shot]]*Table1[[#This Row],[Cav]]</f>
        <v>5512</v>
      </c>
      <c r="Q316">
        <v>0</v>
      </c>
      <c r="R316">
        <f>(Table1[[#This Row],[Part Weight (gm)]]*Table1[[#This Row],[Finish Good]])/1000</f>
        <v>0</v>
      </c>
      <c r="S316">
        <v>0</v>
      </c>
      <c r="T316">
        <f>IF(Table1[[#This Row],[Qty Order]]="Sample","-",IF(Table1[[#This Row],[Qty Order]]="RTFN","-",Table1[[#This Row],[Qty Order]]-Table1[[#This Row],[Qty Accumulate]]))</f>
        <v>0</v>
      </c>
      <c r="U316">
        <f>((Table1[[#This Row],[Shift Output]]*Table1[[#This Row],[Part Weight (gm)]])/1000)+Table1[[#This Row],[Reject Startup (kg)]]+Table1[[#This Row],[Reject Purging (kg)]]+Table1[[#This Row],[Reject Preform (kg)]]</f>
        <v>159.84800000000001</v>
      </c>
      <c r="V316" s="37">
        <f>(Table1[[#This Row],[Gross Weight (gm)]]-Table1[[#This Row],[Part Weight (gm)]])*Table1[[#This Row],[Shift Output]]/1000</f>
        <v>0</v>
      </c>
      <c r="W316" s="3">
        <v>0</v>
      </c>
      <c r="X316" s="36">
        <f>Table1[[#This Row],[Reject Startup (kg)]]/Table1[[#This Row],[Material Used]]</f>
        <v>0</v>
      </c>
      <c r="Y316" s="3">
        <v>0</v>
      </c>
      <c r="Z316" s="36">
        <f>Table1[[#This Row],[Reject Prod (kg)]]/Table1[[#This Row],[Material Used]]</f>
        <v>0</v>
      </c>
      <c r="AA316" s="4">
        <v>25.595483779907202</v>
      </c>
      <c r="AB316" s="5">
        <v>9.9499999999999904</v>
      </c>
      <c r="AC316" s="4" cm="1">
        <f t="array" ref="AC316">IFERROR(INDEX(ReferenceCard, MATCH(1, (INDEX(ReferenceCard,,1)=Table1[[#This Row],[SAP No]]) * (INDEX(ReferenceCard,,2)=Table1[[#This Row],[Mould No]]), 0), 9),)</f>
        <v>29</v>
      </c>
      <c r="AD316" s="5">
        <v>0</v>
      </c>
      <c r="AE316" s="5">
        <v>0</v>
      </c>
      <c r="AF316" s="5">
        <v>0</v>
      </c>
      <c r="AG316" s="5">
        <v>0</v>
      </c>
      <c r="AH316" s="5">
        <v>2.0499999999999901</v>
      </c>
      <c r="AI316" s="5">
        <v>0</v>
      </c>
      <c r="AJ316" s="5">
        <v>0</v>
      </c>
      <c r="AL316" s="2"/>
      <c r="AM316" s="2"/>
      <c r="AN316" s="3">
        <v>0</v>
      </c>
      <c r="AO316" s="3">
        <v>0</v>
      </c>
      <c r="AP31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7" spans="1:42" x14ac:dyDescent="0.35">
      <c r="A317" s="1">
        <v>46013</v>
      </c>
      <c r="B317">
        <v>1</v>
      </c>
      <c r="C317" t="s">
        <v>9</v>
      </c>
      <c r="D317" t="str" cm="1">
        <f t="array" ref="D317">IFERROR(INDEX(ReferenceCard, MATCH(1, (INDEX(ReferenceCard,,1)=Table1[[#This Row],[SAP No]]) * (INDEX(ReferenceCard,,2)=Table1[[#This Row],[Mould No]]), 0), 6),)</f>
        <v>PET</v>
      </c>
      <c r="E317">
        <v>322451</v>
      </c>
      <c r="F317">
        <v>0</v>
      </c>
      <c r="G317" t="str" cm="1">
        <f t="array" ref="G317">IFERROR(INDEX(ReferenceCard, MATCH(1, (INDEX(ReferenceCard,,1)=Table1[[#This Row],[SAP No]]) * (INDEX(ReferenceCard,,2)=Table1[[#This Row],[Mould No]]), 0), 3),)</f>
        <v>BC28-0500-WNHP-R-BR</v>
      </c>
      <c r="H317">
        <v>0</v>
      </c>
      <c r="I317" cm="1">
        <f t="array" ref="I317">IFERROR(INDEX(ReferenceCard, MATCH(1, (INDEX(ReferenceCard,,1)=Table1[[#This Row],[SAP No]]) * (INDEX(ReferenceCard,,2)=Table1[[#This Row],[Mould No]]), 0), 4),)</f>
        <v>4</v>
      </c>
      <c r="J317" s="4" cm="1">
        <f t="array" ref="J317">IFERROR(INDEX(ReferenceCard, MATCH(1, (INDEX(ReferenceCard,,1)=Table1[[#This Row],[SAP No]]) * (INDEX(ReferenceCard,,2)=Table1[[#This Row],[Mould No]]), 0), 9),)</f>
        <v>45.6</v>
      </c>
      <c r="K317" s="4" cm="1">
        <f t="array" ref="K317">IFERROR(INDEX(ReferenceCard, MATCH(1, (INDEX(ReferenceCard,,1)=Table1[[#This Row],[SAP No]]) * (INDEX(ReferenceCard,,2)=Table1[[#This Row],[Mould No]]), 0), 7),)</f>
        <v>45.6</v>
      </c>
      <c r="L317">
        <v>996</v>
      </c>
      <c r="M317">
        <v>0</v>
      </c>
      <c r="N317">
        <v>0</v>
      </c>
      <c r="O317">
        <v>0</v>
      </c>
      <c r="P317">
        <f>Table1[[#This Row],[Shot]]*Table1[[#This Row],[Cav]]</f>
        <v>3984</v>
      </c>
      <c r="Q317">
        <v>0</v>
      </c>
      <c r="R317">
        <f>(Table1[[#This Row],[Part Weight (gm)]]*Table1[[#This Row],[Finish Good]])/1000</f>
        <v>0</v>
      </c>
      <c r="S317">
        <v>0</v>
      </c>
      <c r="T317">
        <f>IF(Table1[[#This Row],[Qty Order]]="Sample","-",IF(Table1[[#This Row],[Qty Order]]="RTFN","-",Table1[[#This Row],[Qty Order]]-Table1[[#This Row],[Qty Accumulate]]))</f>
        <v>0</v>
      </c>
      <c r="U317">
        <f>((Table1[[#This Row],[Shift Output]]*Table1[[#This Row],[Part Weight (gm)]])/1000)+Table1[[#This Row],[Reject Startup (kg)]]+Table1[[#This Row],[Reject Purging (kg)]]+Table1[[#This Row],[Reject Preform (kg)]]</f>
        <v>181.6704</v>
      </c>
      <c r="V317" s="37">
        <f>(Table1[[#This Row],[Gross Weight (gm)]]-Table1[[#This Row],[Part Weight (gm)]])*Table1[[#This Row],[Shift Output]]/1000</f>
        <v>0</v>
      </c>
      <c r="W317" s="3">
        <v>0</v>
      </c>
      <c r="X317" s="36">
        <f>Table1[[#This Row],[Reject Startup (kg)]]/Table1[[#This Row],[Material Used]]</f>
        <v>0</v>
      </c>
      <c r="Y317" s="3">
        <v>0</v>
      </c>
      <c r="Z317" s="36">
        <f>Table1[[#This Row],[Reject Prod (kg)]]/Table1[[#This Row],[Material Used]]</f>
        <v>0</v>
      </c>
      <c r="AA317" s="4">
        <v>33.598312377929602</v>
      </c>
      <c r="AB317" s="5">
        <v>9.5199999999999907</v>
      </c>
      <c r="AC317" s="4" cm="1">
        <f t="array" ref="AC317">IFERROR(INDEX(ReferenceCard, MATCH(1, (INDEX(ReferenceCard,,1)=Table1[[#This Row],[SAP No]]) * (INDEX(ReferenceCard,,2)=Table1[[#This Row],[Mould No]]), 0), 9),)</f>
        <v>45.6</v>
      </c>
      <c r="AD317" s="5">
        <v>0</v>
      </c>
      <c r="AE317" s="5">
        <v>0</v>
      </c>
      <c r="AF317" s="5">
        <v>0</v>
      </c>
      <c r="AG317" s="5">
        <v>0</v>
      </c>
      <c r="AH317" s="5">
        <v>2.48</v>
      </c>
      <c r="AI317" s="5">
        <v>0</v>
      </c>
      <c r="AJ317" s="5">
        <v>0</v>
      </c>
      <c r="AL317" s="2"/>
      <c r="AM317" s="2"/>
      <c r="AN317" s="3">
        <v>0</v>
      </c>
      <c r="AO317" s="3">
        <v>0</v>
      </c>
      <c r="AP31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8" spans="1:42" x14ac:dyDescent="0.35">
      <c r="A318" s="1">
        <v>46013</v>
      </c>
      <c r="B318">
        <v>1</v>
      </c>
      <c r="C318" t="s">
        <v>11</v>
      </c>
      <c r="D318" t="str" cm="1">
        <f t="array" ref="D318">IFERROR(INDEX(ReferenceCard, MATCH(1, (INDEX(ReferenceCard,,1)=Table1[[#This Row],[SAP No]]) * (INDEX(ReferenceCard,,2)=Table1[[#This Row],[Mould No]]), 0), 6),)</f>
        <v>rPET</v>
      </c>
      <c r="E318">
        <v>620994</v>
      </c>
      <c r="F318">
        <v>0</v>
      </c>
      <c r="G318" t="str" cm="1">
        <f t="array" ref="G318">IFERROR(INDEX(ReferenceCard, MATCH(1, (INDEX(ReferenceCard,,1)=Table1[[#This Row],[SAP No]]) * (INDEX(ReferenceCard,,2)=Table1[[#This Row],[Mould No]]), 0), 3),)</f>
        <v>JJ63-0400-SH-S-CL-rPET</v>
      </c>
      <c r="H318">
        <v>0</v>
      </c>
      <c r="I318" cm="1">
        <f t="array" ref="I318">IFERROR(INDEX(ReferenceCard, MATCH(1, (INDEX(ReferenceCard,,1)=Table1[[#This Row],[SAP No]]) * (INDEX(ReferenceCard,,2)=Table1[[#This Row],[Mould No]]), 0), 4),)</f>
        <v>4</v>
      </c>
      <c r="J318" s="4" cm="1">
        <f t="array" ref="J318">IFERROR(INDEX(ReferenceCard, MATCH(1, (INDEX(ReferenceCard,,1)=Table1[[#This Row],[SAP No]]) * (INDEX(ReferenceCard,,2)=Table1[[#This Row],[Mould No]]), 0), 9),)</f>
        <v>32.74</v>
      </c>
      <c r="K318" s="4" cm="1">
        <f t="array" ref="K318">IFERROR(INDEX(ReferenceCard, MATCH(1, (INDEX(ReferenceCard,,1)=Table1[[#This Row],[SAP No]]) * (INDEX(ReferenceCard,,2)=Table1[[#This Row],[Mould No]]), 0), 7),)</f>
        <v>33</v>
      </c>
      <c r="L318">
        <v>1915</v>
      </c>
      <c r="M318">
        <v>0</v>
      </c>
      <c r="N318">
        <v>0</v>
      </c>
      <c r="O318">
        <v>0</v>
      </c>
      <c r="P318">
        <f>Table1[[#This Row],[Shot]]*Table1[[#This Row],[Cav]]</f>
        <v>7660</v>
      </c>
      <c r="Q318">
        <v>0</v>
      </c>
      <c r="R318">
        <f>(Table1[[#This Row],[Part Weight (gm)]]*Table1[[#This Row],[Finish Good]])/1000</f>
        <v>0</v>
      </c>
      <c r="S318">
        <v>0</v>
      </c>
      <c r="T318">
        <f>IF(Table1[[#This Row],[Qty Order]]="Sample","-",IF(Table1[[#This Row],[Qty Order]]="RTFN","-",Table1[[#This Row],[Qty Order]]-Table1[[#This Row],[Qty Accumulate]]))</f>
        <v>0</v>
      </c>
      <c r="U318">
        <f>((Table1[[#This Row],[Shift Output]]*Table1[[#This Row],[Part Weight (gm)]])/1000)+Table1[[#This Row],[Reject Startup (kg)]]+Table1[[#This Row],[Reject Purging (kg)]]+Table1[[#This Row],[Reject Preform (kg)]]</f>
        <v>252.78</v>
      </c>
      <c r="V318" s="37">
        <f>(Table1[[#This Row],[Gross Weight (gm)]]-Table1[[#This Row],[Part Weight (gm)]])*Table1[[#This Row],[Shift Output]]/1000</f>
        <v>-1.9915999999999847</v>
      </c>
      <c r="W318" s="3">
        <v>0</v>
      </c>
      <c r="X318" s="36">
        <f>Table1[[#This Row],[Reject Startup (kg)]]/Table1[[#This Row],[Material Used]]</f>
        <v>0</v>
      </c>
      <c r="Y318" s="3">
        <v>0</v>
      </c>
      <c r="Z318" s="36">
        <f>Table1[[#This Row],[Reject Prod (kg)]]/Table1[[#This Row],[Material Used]]</f>
        <v>0</v>
      </c>
      <c r="AA318" s="4">
        <v>22.544429779052699</v>
      </c>
      <c r="AB318" s="5">
        <v>12</v>
      </c>
      <c r="AC318" s="4" cm="1">
        <f t="array" ref="AC318">IFERROR(INDEX(ReferenceCard, MATCH(1, (INDEX(ReferenceCard,,1)=Table1[[#This Row],[SAP No]]) * (INDEX(ReferenceCard,,2)=Table1[[#This Row],[Mould No]]), 0), 9),)</f>
        <v>32.74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L318" s="2"/>
      <c r="AM318" s="2"/>
      <c r="AN318" s="3">
        <v>0</v>
      </c>
      <c r="AO318" s="3">
        <v>0</v>
      </c>
      <c r="AP31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19" spans="1:42" x14ac:dyDescent="0.35">
      <c r="A319" s="1">
        <v>46013</v>
      </c>
      <c r="B319">
        <v>1</v>
      </c>
      <c r="C319" t="s">
        <v>14</v>
      </c>
      <c r="D319" t="str" cm="1">
        <f t="array" ref="D319">IFERROR(INDEX(ReferenceCard, MATCH(1, (INDEX(ReferenceCard,,1)=Table1[[#This Row],[SAP No]]) * (INDEX(ReferenceCard,,2)=Table1[[#This Row],[Mould No]]), 0), 6),)</f>
        <v>PET</v>
      </c>
      <c r="E319">
        <v>322444</v>
      </c>
      <c r="F319">
        <v>0</v>
      </c>
      <c r="G319" t="str" cm="1">
        <f t="array" ref="G319">IFERROR(INDEX(ReferenceCard, MATCH(1, (INDEX(ReferenceCard,,1)=Table1[[#This Row],[SAP No]]) * (INDEX(ReferenceCard,,2)=Table1[[#This Row],[Mould No]]), 0), 3),)</f>
        <v>JJ63-0400-RH-R-CL</v>
      </c>
      <c r="H319">
        <v>0</v>
      </c>
      <c r="I319" cm="1">
        <f t="array" ref="I319">IFERROR(INDEX(ReferenceCard, MATCH(1, (INDEX(ReferenceCard,,1)=Table1[[#This Row],[SAP No]]) * (INDEX(ReferenceCard,,2)=Table1[[#This Row],[Mould No]]), 0), 4),)</f>
        <v>4</v>
      </c>
      <c r="J319" s="4" cm="1">
        <f t="array" ref="J319">IFERROR(INDEX(ReferenceCard, MATCH(1, (INDEX(ReferenceCard,,1)=Table1[[#This Row],[SAP No]]) * (INDEX(ReferenceCard,,2)=Table1[[#This Row],[Mould No]]), 0), 9),)</f>
        <v>32.74</v>
      </c>
      <c r="K319" s="4" cm="1">
        <f t="array" ref="K319">IFERROR(INDEX(ReferenceCard, MATCH(1, (INDEX(ReferenceCard,,1)=Table1[[#This Row],[SAP No]]) * (INDEX(ReferenceCard,,2)=Table1[[#This Row],[Mould No]]), 0), 7),)</f>
        <v>34.5</v>
      </c>
      <c r="L319">
        <v>1606</v>
      </c>
      <c r="M319">
        <v>0</v>
      </c>
      <c r="N319">
        <v>0</v>
      </c>
      <c r="O319">
        <v>0</v>
      </c>
      <c r="P319">
        <f>Table1[[#This Row],[Shot]]*Table1[[#This Row],[Cav]]</f>
        <v>6424</v>
      </c>
      <c r="Q319">
        <v>0</v>
      </c>
      <c r="R319">
        <f>(Table1[[#This Row],[Part Weight (gm)]]*Table1[[#This Row],[Finish Good]])/1000</f>
        <v>0</v>
      </c>
      <c r="S319">
        <v>0</v>
      </c>
      <c r="T319">
        <f>IF(Table1[[#This Row],[Qty Order]]="Sample","-",IF(Table1[[#This Row],[Qty Order]]="RTFN","-",Table1[[#This Row],[Qty Order]]-Table1[[#This Row],[Qty Accumulate]]))</f>
        <v>0</v>
      </c>
      <c r="U319">
        <f>((Table1[[#This Row],[Shift Output]]*Table1[[#This Row],[Part Weight (gm)]])/1000)+Table1[[#This Row],[Reject Startup (kg)]]+Table1[[#This Row],[Reject Purging (kg)]]+Table1[[#This Row],[Reject Preform (kg)]]</f>
        <v>221.62799999999999</v>
      </c>
      <c r="V319" s="37">
        <f>(Table1[[#This Row],[Gross Weight (gm)]]-Table1[[#This Row],[Part Weight (gm)]])*Table1[[#This Row],[Shift Output]]/1000</f>
        <v>-11.306239999999987</v>
      </c>
      <c r="W319" s="3">
        <v>0</v>
      </c>
      <c r="X319" s="36">
        <f>Table1[[#This Row],[Reject Startup (kg)]]/Table1[[#This Row],[Material Used]]</f>
        <v>0</v>
      </c>
      <c r="Y319" s="3">
        <v>0</v>
      </c>
      <c r="Z319" s="36">
        <f>Table1[[#This Row],[Reject Prod (kg)]]/Table1[[#This Row],[Material Used]]</f>
        <v>0</v>
      </c>
      <c r="AA319" s="4">
        <v>21.282234191894499</v>
      </c>
      <c r="AB319" s="5">
        <v>9.3599999999999905</v>
      </c>
      <c r="AC319" s="4" cm="1">
        <f t="array" ref="AC319">IFERROR(INDEX(ReferenceCard, MATCH(1, (INDEX(ReferenceCard,,1)=Table1[[#This Row],[SAP No]]) * (INDEX(ReferenceCard,,2)=Table1[[#This Row],[Mould No]]), 0), 9),)</f>
        <v>32.74</v>
      </c>
      <c r="AD319" s="5">
        <v>0</v>
      </c>
      <c r="AE319" s="5">
        <v>0</v>
      </c>
      <c r="AF319" s="5">
        <v>0</v>
      </c>
      <c r="AG319" s="5">
        <v>0</v>
      </c>
      <c r="AH319" s="5">
        <v>2.64</v>
      </c>
      <c r="AI319" s="5">
        <v>0</v>
      </c>
      <c r="AJ319" s="5">
        <v>0</v>
      </c>
      <c r="AL319" s="2"/>
      <c r="AM319" s="2"/>
      <c r="AN319" s="3">
        <v>0</v>
      </c>
      <c r="AO319" s="3">
        <v>0</v>
      </c>
      <c r="AP31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0" spans="1:42" x14ac:dyDescent="0.35">
      <c r="A320" s="1">
        <v>46013</v>
      </c>
      <c r="B320">
        <v>1</v>
      </c>
      <c r="C320" t="s">
        <v>16</v>
      </c>
      <c r="D320" t="str" cm="1">
        <f t="array" ref="D320">IFERROR(INDEX(ReferenceCard, MATCH(1, (INDEX(ReferenceCard,,1)=Table1[[#This Row],[SAP No]]) * (INDEX(ReferenceCard,,2)=Table1[[#This Row],[Mould No]]), 0), 6),)</f>
        <v>PET</v>
      </c>
      <c r="E320">
        <v>324206</v>
      </c>
      <c r="F320">
        <v>0</v>
      </c>
      <c r="G320" t="str" cm="1">
        <f t="array" ref="G320">IFERROR(INDEX(ReferenceCard, MATCH(1, (INDEX(ReferenceCard,,1)=Table1[[#This Row],[SAP No]]) * (INDEX(ReferenceCard,,2)=Table1[[#This Row],[Mould No]]), 0), 3),)</f>
        <v>BX38-1000-HC-S-CL</v>
      </c>
      <c r="H320">
        <v>0</v>
      </c>
      <c r="I320" cm="1">
        <f t="array" ref="I320">IFERROR(INDEX(ReferenceCard, MATCH(1, (INDEX(ReferenceCard,,1)=Table1[[#This Row],[SAP No]]) * (INDEX(ReferenceCard,,2)=Table1[[#This Row],[Mould No]]), 0), 4),)</f>
        <v>4</v>
      </c>
      <c r="J320" s="4" cm="1">
        <f t="array" ref="J320">IFERROR(INDEX(ReferenceCard, MATCH(1, (INDEX(ReferenceCard,,1)=Table1[[#This Row],[SAP No]]) * (INDEX(ReferenceCard,,2)=Table1[[#This Row],[Mould No]]), 0), 9),)</f>
        <v>49</v>
      </c>
      <c r="K320" s="4" cm="1">
        <f t="array" ref="K320">IFERROR(INDEX(ReferenceCard, MATCH(1, (INDEX(ReferenceCard,,1)=Table1[[#This Row],[SAP No]]) * (INDEX(ReferenceCard,,2)=Table1[[#This Row],[Mould No]]), 0), 7),)</f>
        <v>48</v>
      </c>
      <c r="L320">
        <v>0</v>
      </c>
      <c r="M320">
        <v>0</v>
      </c>
      <c r="N320">
        <v>0</v>
      </c>
      <c r="O320">
        <v>0</v>
      </c>
      <c r="P320">
        <f>Table1[[#This Row],[Shot]]*Table1[[#This Row],[Cav]]</f>
        <v>0</v>
      </c>
      <c r="Q320">
        <v>0</v>
      </c>
      <c r="R320">
        <f>(Table1[[#This Row],[Part Weight (gm)]]*Table1[[#This Row],[Finish Good]])/1000</f>
        <v>0</v>
      </c>
      <c r="S320">
        <v>0</v>
      </c>
      <c r="T320">
        <f>IF(Table1[[#This Row],[Qty Order]]="Sample","-",IF(Table1[[#This Row],[Qty Order]]="RTFN","-",Table1[[#This Row],[Qty Order]]-Table1[[#This Row],[Qty Accumulate]]))</f>
        <v>0</v>
      </c>
      <c r="U320">
        <f>((Table1[[#This Row],[Shift Output]]*Table1[[#This Row],[Part Weight (gm)]])/1000)+Table1[[#This Row],[Reject Startup (kg)]]+Table1[[#This Row],[Reject Purging (kg)]]+Table1[[#This Row],[Reject Preform (kg)]]</f>
        <v>0</v>
      </c>
      <c r="V320" s="37">
        <f>(Table1[[#This Row],[Gross Weight (gm)]]-Table1[[#This Row],[Part Weight (gm)]])*Table1[[#This Row],[Shift Output]]/1000</f>
        <v>0</v>
      </c>
      <c r="W320" s="3">
        <v>0</v>
      </c>
      <c r="X320" s="36" t="e">
        <f>Table1[[#This Row],[Reject Startup (kg)]]/Table1[[#This Row],[Material Used]]</f>
        <v>#DIV/0!</v>
      </c>
      <c r="Y320" s="3">
        <v>0</v>
      </c>
      <c r="Z320" s="36" t="e">
        <f>Table1[[#This Row],[Reject Prod (kg)]]/Table1[[#This Row],[Material Used]]</f>
        <v>#DIV/0!</v>
      </c>
      <c r="AA320" s="4">
        <v>0</v>
      </c>
      <c r="AB320" s="5">
        <v>2.71</v>
      </c>
      <c r="AC320" s="4" cm="1">
        <f t="array" ref="AC320">IFERROR(INDEX(ReferenceCard, MATCH(1, (INDEX(ReferenceCard,,1)=Table1[[#This Row],[SAP No]]) * (INDEX(ReferenceCard,,2)=Table1[[#This Row],[Mould No]]), 0), 9),)</f>
        <v>49</v>
      </c>
      <c r="AD320" s="5">
        <v>0</v>
      </c>
      <c r="AE320" s="5">
        <v>0</v>
      </c>
      <c r="AF320" s="5">
        <v>0</v>
      </c>
      <c r="AG320" s="5">
        <v>2.62</v>
      </c>
      <c r="AH320" s="5">
        <v>0</v>
      </c>
      <c r="AI320" s="5">
        <v>6.6699999999999902</v>
      </c>
      <c r="AJ320" s="5">
        <v>0</v>
      </c>
      <c r="AK320" t="s">
        <v>75</v>
      </c>
      <c r="AL320" s="2"/>
      <c r="AM320" s="2"/>
      <c r="AN320" s="3">
        <v>0</v>
      </c>
      <c r="AO320" s="3">
        <v>0</v>
      </c>
      <c r="AP32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1" spans="1:42" x14ac:dyDescent="0.35">
      <c r="A321" s="1">
        <v>46013</v>
      </c>
      <c r="B321">
        <v>1</v>
      </c>
      <c r="C321" t="s">
        <v>23</v>
      </c>
      <c r="D321" t="str" cm="1">
        <f t="array" ref="D321">IFERROR(INDEX(ReferenceCard, MATCH(1, (INDEX(ReferenceCard,,1)=Table1[[#This Row],[SAP No]]) * (INDEX(ReferenceCard,,2)=Table1[[#This Row],[Mould No]]), 0), 6),)</f>
        <v>PPSB520Y</v>
      </c>
      <c r="E321">
        <v>586276</v>
      </c>
      <c r="F321">
        <v>2</v>
      </c>
      <c r="G321" t="str" cm="1">
        <f t="array" ref="G321">IFERROR(INDEX(ReferenceCard, MATCH(1, (INDEX(ReferenceCard,,1)=Table1[[#This Row],[SAP No]]) * (INDEX(ReferenceCard,,2)=Table1[[#This Row],[Mould No]]), 0), 3),)</f>
        <v>BC28-0056-D-APH-LEB-604001-MOLD2</v>
      </c>
      <c r="H321">
        <v>0</v>
      </c>
      <c r="I321" cm="1">
        <f t="array" ref="I321">IFERROR(INDEX(ReferenceCard, MATCH(1, (INDEX(ReferenceCard,,1)=Table1[[#This Row],[SAP No]]) * (INDEX(ReferenceCard,,2)=Table1[[#This Row],[Mould No]]), 0), 4),)</f>
        <v>6</v>
      </c>
      <c r="J321" s="4" cm="1">
        <f t="array" ref="J321">IFERROR(INDEX(ReferenceCard, MATCH(1, (INDEX(ReferenceCard,,1)=Table1[[#This Row],[SAP No]]) * (INDEX(ReferenceCard,,2)=Table1[[#This Row],[Mould No]]), 0), 9),)</f>
        <v>12.3</v>
      </c>
      <c r="K321" s="4" cm="1">
        <f t="array" ref="K321">IFERROR(INDEX(ReferenceCard, MATCH(1, (INDEX(ReferenceCard,,1)=Table1[[#This Row],[SAP No]]) * (INDEX(ReferenceCard,,2)=Table1[[#This Row],[Mould No]]), 0), 7),)</f>
        <v>12.3</v>
      </c>
      <c r="L321">
        <v>2883</v>
      </c>
      <c r="M321">
        <v>0</v>
      </c>
      <c r="N321">
        <v>0</v>
      </c>
      <c r="O321">
        <v>0</v>
      </c>
      <c r="P321">
        <f>Table1[[#This Row],[Shot]]*Table1[[#This Row],[Cav]]</f>
        <v>17298</v>
      </c>
      <c r="Q321">
        <v>0</v>
      </c>
      <c r="R321">
        <f>(Table1[[#This Row],[Part Weight (gm)]]*Table1[[#This Row],[Finish Good]])/1000</f>
        <v>0</v>
      </c>
      <c r="S321">
        <v>0</v>
      </c>
      <c r="T321">
        <f>IF(Table1[[#This Row],[Qty Order]]="Sample","-",IF(Table1[[#This Row],[Qty Order]]="RTFN","-",Table1[[#This Row],[Qty Order]]-Table1[[#This Row],[Qty Accumulate]]))</f>
        <v>0</v>
      </c>
      <c r="U321">
        <f>((Table1[[#This Row],[Shift Output]]*Table1[[#This Row],[Part Weight (gm)]])/1000)+Table1[[#This Row],[Reject Startup (kg)]]+Table1[[#This Row],[Reject Purging (kg)]]+Table1[[#This Row],[Reject Preform (kg)]]</f>
        <v>212.76540000000003</v>
      </c>
      <c r="V321" s="37">
        <f>(Table1[[#This Row],[Gross Weight (gm)]]-Table1[[#This Row],[Part Weight (gm)]])*Table1[[#This Row],[Shift Output]]/1000</f>
        <v>0</v>
      </c>
      <c r="W321" s="3">
        <v>0</v>
      </c>
      <c r="X321" s="36">
        <f>Table1[[#This Row],[Reject Startup (kg)]]/Table1[[#This Row],[Material Used]]</f>
        <v>0</v>
      </c>
      <c r="Y321" s="3">
        <v>0</v>
      </c>
      <c r="Z321" s="36">
        <f>Table1[[#This Row],[Reject Prod (kg)]]/Table1[[#This Row],[Material Used]]</f>
        <v>0</v>
      </c>
      <c r="AA321" s="4">
        <v>29.560396194458001</v>
      </c>
      <c r="AB321" s="5">
        <v>11.97</v>
      </c>
      <c r="AC321" s="4" cm="1">
        <f t="array" ref="AC321">IFERROR(INDEX(ReferenceCard, MATCH(1, (INDEX(ReferenceCard,,1)=Table1[[#This Row],[SAP No]]) * (INDEX(ReferenceCard,,2)=Table1[[#This Row],[Mould No]]), 0), 9),)</f>
        <v>12.3</v>
      </c>
      <c r="AD321" s="5">
        <v>0</v>
      </c>
      <c r="AE321" s="5">
        <v>0</v>
      </c>
      <c r="AF321" s="5">
        <v>0</v>
      </c>
      <c r="AG321" s="5">
        <v>2.9999999999999898E-2</v>
      </c>
      <c r="AH321" s="5">
        <v>0.01</v>
      </c>
      <c r="AI321" s="5">
        <v>0</v>
      </c>
      <c r="AJ321" s="5">
        <v>0</v>
      </c>
      <c r="AL321" s="2"/>
      <c r="AM321" s="2"/>
      <c r="AN321" s="3">
        <v>0</v>
      </c>
      <c r="AO321" s="3">
        <v>0</v>
      </c>
      <c r="AP32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2" spans="1:42" x14ac:dyDescent="0.35">
      <c r="A322" s="1">
        <v>46013</v>
      </c>
      <c r="B322">
        <v>1</v>
      </c>
      <c r="C322" t="s">
        <v>25</v>
      </c>
      <c r="D322" t="str" cm="1">
        <f t="array" ref="D322">IFERROR(INDEX(ReferenceCard, MATCH(1, (INDEX(ReferenceCard,,1)=Table1[[#This Row],[SAP No]]) * (INDEX(ReferenceCard,,2)=Table1[[#This Row],[Mould No]]), 0), 6),)</f>
        <v>PET</v>
      </c>
      <c r="E322">
        <v>323133</v>
      </c>
      <c r="F322">
        <v>0</v>
      </c>
      <c r="G322" t="str" cm="1">
        <f t="array" ref="G322">IFERROR(INDEX(ReferenceCard, MATCH(1, (INDEX(ReferenceCard,,1)=Table1[[#This Row],[SAP No]]) * (INDEX(ReferenceCard,,2)=Table1[[#This Row],[Mould No]]), 0), 3),)</f>
        <v>BX38-2000-RH-R-CL(GREEN) (ASEM)</v>
      </c>
      <c r="H322">
        <v>0</v>
      </c>
      <c r="I322" cm="1">
        <f t="array" ref="I322">IFERROR(INDEX(ReferenceCard, MATCH(1, (INDEX(ReferenceCard,,1)=Table1[[#This Row],[SAP No]]) * (INDEX(ReferenceCard,,2)=Table1[[#This Row],[Mould No]]), 0), 4),)</f>
        <v>4</v>
      </c>
      <c r="J322" s="4" cm="1">
        <f t="array" ref="J322">IFERROR(INDEX(ReferenceCard, MATCH(1, (INDEX(ReferenceCard,,1)=Table1[[#This Row],[SAP No]]) * (INDEX(ReferenceCard,,2)=Table1[[#This Row],[Mould No]]), 0), 9),)</f>
        <v>77</v>
      </c>
      <c r="K322" s="4" cm="1">
        <f t="array" ref="K322">IFERROR(INDEX(ReferenceCard, MATCH(1, (INDEX(ReferenceCard,,1)=Table1[[#This Row],[SAP No]]) * (INDEX(ReferenceCard,,2)=Table1[[#This Row],[Mould No]]), 0), 7),)</f>
        <v>77</v>
      </c>
      <c r="L322">
        <v>0</v>
      </c>
      <c r="M322">
        <v>0</v>
      </c>
      <c r="N322">
        <v>0</v>
      </c>
      <c r="O322">
        <v>0</v>
      </c>
      <c r="P322">
        <f>Table1[[#This Row],[Shot]]*Table1[[#This Row],[Cav]]</f>
        <v>0</v>
      </c>
      <c r="Q322">
        <v>0</v>
      </c>
      <c r="R322">
        <f>(Table1[[#This Row],[Part Weight (gm)]]*Table1[[#This Row],[Finish Good]])/1000</f>
        <v>0</v>
      </c>
      <c r="S322">
        <v>0</v>
      </c>
      <c r="T322">
        <f>IF(Table1[[#This Row],[Qty Order]]="Sample","-",IF(Table1[[#This Row],[Qty Order]]="RTFN","-",Table1[[#This Row],[Qty Order]]-Table1[[#This Row],[Qty Accumulate]]))</f>
        <v>0</v>
      </c>
      <c r="U322">
        <f>((Table1[[#This Row],[Shift Output]]*Table1[[#This Row],[Part Weight (gm)]])/1000)+Table1[[#This Row],[Reject Startup (kg)]]+Table1[[#This Row],[Reject Purging (kg)]]+Table1[[#This Row],[Reject Preform (kg)]]</f>
        <v>0</v>
      </c>
      <c r="V322" s="37">
        <f>(Table1[[#This Row],[Gross Weight (gm)]]-Table1[[#This Row],[Part Weight (gm)]])*Table1[[#This Row],[Shift Output]]/1000</f>
        <v>0</v>
      </c>
      <c r="W322" s="3">
        <v>0</v>
      </c>
      <c r="X322" s="36" t="e">
        <f>Table1[[#This Row],[Reject Startup (kg)]]/Table1[[#This Row],[Material Used]]</f>
        <v>#DIV/0!</v>
      </c>
      <c r="Y322" s="3">
        <v>0</v>
      </c>
      <c r="Z322" s="36" t="e">
        <f>Table1[[#This Row],[Reject Prod (kg)]]/Table1[[#This Row],[Material Used]]</f>
        <v>#DIV/0!</v>
      </c>
      <c r="AA322" s="4">
        <v>0</v>
      </c>
      <c r="AB322" s="5">
        <v>0</v>
      </c>
      <c r="AC322" s="4" cm="1">
        <f t="array" ref="AC322">IFERROR(INDEX(ReferenceCard, MATCH(1, (INDEX(ReferenceCard,,1)=Table1[[#This Row],[SAP No]]) * (INDEX(ReferenceCard,,2)=Table1[[#This Row],[Mould No]]), 0), 9),)</f>
        <v>77</v>
      </c>
      <c r="AD322" s="5">
        <v>0</v>
      </c>
      <c r="AE322" s="5">
        <v>0</v>
      </c>
      <c r="AF322" s="5">
        <v>0</v>
      </c>
      <c r="AG322" s="5">
        <v>12</v>
      </c>
      <c r="AH322" s="5">
        <v>0</v>
      </c>
      <c r="AI322" s="5">
        <v>0</v>
      </c>
      <c r="AJ322" s="5">
        <v>0</v>
      </c>
      <c r="AK322" t="s">
        <v>44</v>
      </c>
      <c r="AL322" s="2"/>
      <c r="AM322" s="2"/>
      <c r="AN322" s="3">
        <v>0</v>
      </c>
      <c r="AO322" s="3">
        <v>0</v>
      </c>
      <c r="AP32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3" spans="1:42" x14ac:dyDescent="0.35">
      <c r="A323" s="1">
        <v>46013</v>
      </c>
      <c r="B323">
        <v>1</v>
      </c>
      <c r="C323" t="s">
        <v>27</v>
      </c>
      <c r="D323" t="str" cm="1">
        <f t="array" ref="D323">IFERROR(INDEX(ReferenceCard, MATCH(1, (INDEX(ReferenceCard,,1)=Table1[[#This Row],[SAP No]]) * (INDEX(ReferenceCard,,2)=Table1[[#This Row],[Mould No]]), 0), 6),)</f>
        <v>PPSB520Y</v>
      </c>
      <c r="E323">
        <v>552181</v>
      </c>
      <c r="F323">
        <v>4</v>
      </c>
      <c r="G323" t="str" cm="1">
        <f t="array" ref="G323">IFERROR(INDEX(ReferenceCard, MATCH(1, (INDEX(ReferenceCard,,1)=Table1[[#This Row],[SAP No]]) * (INDEX(ReferenceCard,,2)=Table1[[#This Row],[Mould No]]), 0), 3),)</f>
        <v>BC28-0090-D-APH-5180-3538-PP-6 NOTCHES-MOLD4</v>
      </c>
      <c r="H323">
        <v>0</v>
      </c>
      <c r="I323" cm="1">
        <f t="array" ref="I323">IFERROR(INDEX(ReferenceCard, MATCH(1, (INDEX(ReferenceCard,,1)=Table1[[#This Row],[SAP No]]) * (INDEX(ReferenceCard,,2)=Table1[[#This Row],[Mould No]]), 0), 4),)</f>
        <v>6</v>
      </c>
      <c r="J323" s="4" cm="1">
        <f t="array" ref="J323">IFERROR(INDEX(ReferenceCard, MATCH(1, (INDEX(ReferenceCard,,1)=Table1[[#This Row],[SAP No]]) * (INDEX(ReferenceCard,,2)=Table1[[#This Row],[Mould No]]), 0), 9),)</f>
        <v>18.8</v>
      </c>
      <c r="K323" s="4" cm="1">
        <f t="array" ref="K323">IFERROR(INDEX(ReferenceCard, MATCH(1, (INDEX(ReferenceCard,,1)=Table1[[#This Row],[SAP No]]) * (INDEX(ReferenceCard,,2)=Table1[[#This Row],[Mould No]]), 0), 7),)</f>
        <v>18.8</v>
      </c>
      <c r="L323">
        <v>388</v>
      </c>
      <c r="M323">
        <v>0</v>
      </c>
      <c r="N323">
        <v>0</v>
      </c>
      <c r="O323">
        <v>0</v>
      </c>
      <c r="P323">
        <f>Table1[[#This Row],[Shot]]*Table1[[#This Row],[Cav]]</f>
        <v>2328</v>
      </c>
      <c r="Q323">
        <v>0</v>
      </c>
      <c r="R323">
        <f>(Table1[[#This Row],[Part Weight (gm)]]*Table1[[#This Row],[Finish Good]])/1000</f>
        <v>0</v>
      </c>
      <c r="S323">
        <v>0</v>
      </c>
      <c r="T323">
        <f>IF(Table1[[#This Row],[Qty Order]]="Sample","-",IF(Table1[[#This Row],[Qty Order]]="RTFN","-",Table1[[#This Row],[Qty Order]]-Table1[[#This Row],[Qty Accumulate]]))</f>
        <v>0</v>
      </c>
      <c r="U323">
        <f>((Table1[[#This Row],[Shift Output]]*Table1[[#This Row],[Part Weight (gm)]])/1000)+Table1[[#This Row],[Reject Startup (kg)]]+Table1[[#This Row],[Reject Purging (kg)]]+Table1[[#This Row],[Reject Preform (kg)]]</f>
        <v>43.766400000000004</v>
      </c>
      <c r="V323" s="37">
        <f>(Table1[[#This Row],[Gross Weight (gm)]]-Table1[[#This Row],[Part Weight (gm)]])*Table1[[#This Row],[Shift Output]]/1000</f>
        <v>0</v>
      </c>
      <c r="W323" s="3">
        <v>0</v>
      </c>
      <c r="X323" s="36">
        <f>Table1[[#This Row],[Reject Startup (kg)]]/Table1[[#This Row],[Material Used]]</f>
        <v>0</v>
      </c>
      <c r="Y323" s="3">
        <v>0</v>
      </c>
      <c r="Z323" s="36">
        <f>Table1[[#This Row],[Reject Prod (kg)]]/Table1[[#This Row],[Material Used]]</f>
        <v>0</v>
      </c>
      <c r="AA323" s="4">
        <v>0</v>
      </c>
      <c r="AB323" s="5">
        <v>6.19</v>
      </c>
      <c r="AC323" s="4" cm="1">
        <f t="array" ref="AC323">IFERROR(INDEX(ReferenceCard, MATCH(1, (INDEX(ReferenceCard,,1)=Table1[[#This Row],[SAP No]]) * (INDEX(ReferenceCard,,2)=Table1[[#This Row],[Mould No]]), 0), 9),)</f>
        <v>18.8</v>
      </c>
      <c r="AD323" s="5">
        <v>0</v>
      </c>
      <c r="AE323" s="5">
        <v>0</v>
      </c>
      <c r="AF323" s="5">
        <v>0</v>
      </c>
      <c r="AG323" s="5">
        <v>5.6299999999999901</v>
      </c>
      <c r="AH323" s="5">
        <v>0</v>
      </c>
      <c r="AI323" s="5">
        <v>0.17999999999999899</v>
      </c>
      <c r="AJ323" s="5">
        <v>0</v>
      </c>
      <c r="AK323" t="s">
        <v>76</v>
      </c>
      <c r="AL323" s="2" t="s">
        <v>77</v>
      </c>
      <c r="AM323" s="2"/>
      <c r="AN323" s="3"/>
      <c r="AO323" s="3">
        <v>0</v>
      </c>
      <c r="AP32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4" spans="1:42" x14ac:dyDescent="0.35">
      <c r="A324" s="1">
        <v>46013</v>
      </c>
      <c r="B324">
        <v>1</v>
      </c>
      <c r="C324" t="s">
        <v>29</v>
      </c>
      <c r="D324" t="str" cm="1">
        <f t="array" ref="D324">IFERROR(INDEX(ReferenceCard, MATCH(1, (INDEX(ReferenceCard,,1)=Table1[[#This Row],[SAP No]]) * (INDEX(ReferenceCard,,2)=Table1[[#This Row],[Mould No]]), 0), 6),)</f>
        <v>PET</v>
      </c>
      <c r="E324">
        <v>620599</v>
      </c>
      <c r="F324">
        <v>0</v>
      </c>
      <c r="G324" t="str" cm="1">
        <f t="array" ref="G324">IFERROR(INDEX(ReferenceCard, MATCH(1, (INDEX(ReferenceCard,,1)=Table1[[#This Row],[SAP No]]) * (INDEX(ReferenceCard,,2)=Table1[[#This Row],[Mould No]]), 0), 3),)</f>
        <v>BC28-0750-K4-R-CL (55g)</v>
      </c>
      <c r="H324">
        <v>0</v>
      </c>
      <c r="I324" cm="1">
        <f t="array" ref="I324">IFERROR(INDEX(ReferenceCard, MATCH(1, (INDEX(ReferenceCard,,1)=Table1[[#This Row],[SAP No]]) * (INDEX(ReferenceCard,,2)=Table1[[#This Row],[Mould No]]), 0), 4),)</f>
        <v>4</v>
      </c>
      <c r="J324" s="4" cm="1">
        <f t="array" ref="J324">IFERROR(INDEX(ReferenceCard, MATCH(1, (INDEX(ReferenceCard,,1)=Table1[[#This Row],[SAP No]]) * (INDEX(ReferenceCard,,2)=Table1[[#This Row],[Mould No]]), 0), 9),)</f>
        <v>55</v>
      </c>
      <c r="K324" s="4" cm="1">
        <f t="array" ref="K324">IFERROR(INDEX(ReferenceCard, MATCH(1, (INDEX(ReferenceCard,,1)=Table1[[#This Row],[SAP No]]) * (INDEX(ReferenceCard,,2)=Table1[[#This Row],[Mould No]]), 0), 7),)</f>
        <v>55</v>
      </c>
      <c r="L324">
        <v>1068</v>
      </c>
      <c r="M324">
        <v>0</v>
      </c>
      <c r="N324">
        <v>0</v>
      </c>
      <c r="O324">
        <v>0</v>
      </c>
      <c r="P324">
        <f>Table1[[#This Row],[Shot]]*Table1[[#This Row],[Cav]]</f>
        <v>4272</v>
      </c>
      <c r="Q324">
        <v>0</v>
      </c>
      <c r="R324">
        <f>(Table1[[#This Row],[Part Weight (gm)]]*Table1[[#This Row],[Finish Good]])/1000</f>
        <v>0</v>
      </c>
      <c r="S324">
        <v>0</v>
      </c>
      <c r="T324">
        <f>IF(Table1[[#This Row],[Qty Order]]="Sample","-",IF(Table1[[#This Row],[Qty Order]]="RTFN","-",Table1[[#This Row],[Qty Order]]-Table1[[#This Row],[Qty Accumulate]]))</f>
        <v>0</v>
      </c>
      <c r="U324">
        <f>((Table1[[#This Row],[Shift Output]]*Table1[[#This Row],[Part Weight (gm)]])/1000)+Table1[[#This Row],[Reject Startup (kg)]]+Table1[[#This Row],[Reject Purging (kg)]]+Table1[[#This Row],[Reject Preform (kg)]]</f>
        <v>234.96</v>
      </c>
      <c r="V324" s="37">
        <f>(Table1[[#This Row],[Gross Weight (gm)]]-Table1[[#This Row],[Part Weight (gm)]])*Table1[[#This Row],[Shift Output]]/1000</f>
        <v>0</v>
      </c>
      <c r="W324" s="3">
        <v>0</v>
      </c>
      <c r="X324" s="36">
        <f>Table1[[#This Row],[Reject Startup (kg)]]/Table1[[#This Row],[Material Used]]</f>
        <v>0</v>
      </c>
      <c r="Y324" s="3">
        <v>0</v>
      </c>
      <c r="Z324" s="36">
        <f>Table1[[#This Row],[Reject Prod (kg)]]/Table1[[#This Row],[Material Used]]</f>
        <v>0</v>
      </c>
      <c r="AA324" s="4">
        <v>28.006801605224599</v>
      </c>
      <c r="AB324" s="5">
        <v>8.56</v>
      </c>
      <c r="AC324" s="4" cm="1">
        <f t="array" ref="AC324">IFERROR(INDEX(ReferenceCard, MATCH(1, (INDEX(ReferenceCard,,1)=Table1[[#This Row],[SAP No]]) * (INDEX(ReferenceCard,,2)=Table1[[#This Row],[Mould No]]), 0), 9),)</f>
        <v>55</v>
      </c>
      <c r="AD324" s="5">
        <v>0</v>
      </c>
      <c r="AE324" s="5">
        <v>0</v>
      </c>
      <c r="AF324" s="5">
        <v>0</v>
      </c>
      <c r="AG324" s="5">
        <v>1.3</v>
      </c>
      <c r="AH324" s="5">
        <v>2.14</v>
      </c>
      <c r="AI324" s="5">
        <v>0</v>
      </c>
      <c r="AJ324" s="5">
        <v>0</v>
      </c>
      <c r="AK324" t="s">
        <v>78</v>
      </c>
      <c r="AL324" s="2"/>
      <c r="AM324" s="2"/>
      <c r="AN324" s="3">
        <v>0</v>
      </c>
      <c r="AO324" s="3">
        <v>0</v>
      </c>
      <c r="AP32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5" spans="1:42" x14ac:dyDescent="0.35">
      <c r="A325" s="1">
        <v>46013</v>
      </c>
      <c r="B325">
        <v>1</v>
      </c>
      <c r="C325" t="s">
        <v>31</v>
      </c>
      <c r="D325" t="str" cm="1">
        <f t="array" ref="D325">IFERROR(INDEX(ReferenceCard, MATCH(1, (INDEX(ReferenceCard,,1)=Table1[[#This Row],[SAP No]]) * (INDEX(ReferenceCard,,2)=Table1[[#This Row],[Mould No]]), 0), 6),)</f>
        <v>PPSB520Y</v>
      </c>
      <c r="E325">
        <v>586276</v>
      </c>
      <c r="F325">
        <v>4</v>
      </c>
      <c r="G325" t="str" cm="1">
        <f t="array" ref="G325">IFERROR(INDEX(ReferenceCard, MATCH(1, (INDEX(ReferenceCard,,1)=Table1[[#This Row],[SAP No]]) * (INDEX(ReferenceCard,,2)=Table1[[#This Row],[Mould No]]), 0), 3),)</f>
        <v>BC28-0056-D-APH-LEB-604001-MOLD4</v>
      </c>
      <c r="H325">
        <v>0</v>
      </c>
      <c r="I325" cm="1">
        <f t="array" ref="I325">IFERROR(INDEX(ReferenceCard, MATCH(1, (INDEX(ReferenceCard,,1)=Table1[[#This Row],[SAP No]]) * (INDEX(ReferenceCard,,2)=Table1[[#This Row],[Mould No]]), 0), 4),)</f>
        <v>6</v>
      </c>
      <c r="J325" s="4" cm="1">
        <f t="array" ref="J325">IFERROR(INDEX(ReferenceCard, MATCH(1, (INDEX(ReferenceCard,,1)=Table1[[#This Row],[SAP No]]) * (INDEX(ReferenceCard,,2)=Table1[[#This Row],[Mould No]]), 0), 9),)</f>
        <v>12.3</v>
      </c>
      <c r="K325" s="4" cm="1">
        <f t="array" ref="K325">IFERROR(INDEX(ReferenceCard, MATCH(1, (INDEX(ReferenceCard,,1)=Table1[[#This Row],[SAP No]]) * (INDEX(ReferenceCard,,2)=Table1[[#This Row],[Mould No]]), 0), 7),)</f>
        <v>12.3</v>
      </c>
      <c r="L325">
        <v>1652</v>
      </c>
      <c r="M325">
        <v>0</v>
      </c>
      <c r="N325">
        <v>0</v>
      </c>
      <c r="O325">
        <v>0</v>
      </c>
      <c r="P325">
        <f>Table1[[#This Row],[Shot]]*Table1[[#This Row],[Cav]]</f>
        <v>9912</v>
      </c>
      <c r="Q325">
        <v>0</v>
      </c>
      <c r="R325">
        <f>(Table1[[#This Row],[Part Weight (gm)]]*Table1[[#This Row],[Finish Good]])/1000</f>
        <v>0</v>
      </c>
      <c r="S325">
        <v>0</v>
      </c>
      <c r="T325">
        <f>IF(Table1[[#This Row],[Qty Order]]="Sample","-",IF(Table1[[#This Row],[Qty Order]]="RTFN","-",Table1[[#This Row],[Qty Order]]-Table1[[#This Row],[Qty Accumulate]]))</f>
        <v>0</v>
      </c>
      <c r="U325">
        <f>((Table1[[#This Row],[Shift Output]]*Table1[[#This Row],[Part Weight (gm)]])/1000)+Table1[[#This Row],[Reject Startup (kg)]]+Table1[[#This Row],[Reject Purging (kg)]]+Table1[[#This Row],[Reject Preform (kg)]]</f>
        <v>121.91760000000001</v>
      </c>
      <c r="V325" s="37">
        <f>(Table1[[#This Row],[Gross Weight (gm)]]-Table1[[#This Row],[Part Weight (gm)]])*Table1[[#This Row],[Shift Output]]/1000</f>
        <v>0</v>
      </c>
      <c r="W325" s="3">
        <v>0</v>
      </c>
      <c r="X325" s="36">
        <f>Table1[[#This Row],[Reject Startup (kg)]]/Table1[[#This Row],[Material Used]]</f>
        <v>0</v>
      </c>
      <c r="Y325" s="3">
        <v>0</v>
      </c>
      <c r="Z325" s="36">
        <f>Table1[[#This Row],[Reject Prod (kg)]]/Table1[[#This Row],[Material Used]]</f>
        <v>0</v>
      </c>
      <c r="AA325" s="4">
        <v>26.142990112304599</v>
      </c>
      <c r="AB325" s="5">
        <v>12</v>
      </c>
      <c r="AC325" s="4" cm="1">
        <f t="array" ref="AC325">IFERROR(INDEX(ReferenceCard, MATCH(1, (INDEX(ReferenceCard,,1)=Table1[[#This Row],[SAP No]]) * (INDEX(ReferenceCard,,2)=Table1[[#This Row],[Mould No]]), 0), 9),)</f>
        <v>12.3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L325" s="2"/>
      <c r="AM325" s="2"/>
      <c r="AN325" s="3">
        <v>0</v>
      </c>
      <c r="AO325" s="3">
        <v>0</v>
      </c>
      <c r="AP32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6" spans="1:42" x14ac:dyDescent="0.35">
      <c r="A326" s="1">
        <v>46013</v>
      </c>
      <c r="B326">
        <v>1</v>
      </c>
      <c r="C326" t="s">
        <v>33</v>
      </c>
      <c r="D326" t="str" cm="1">
        <f t="array" ref="D326">IFERROR(INDEX(ReferenceCard, MATCH(1, (INDEX(ReferenceCard,,1)=Table1[[#This Row],[SAP No]]) * (INDEX(ReferenceCard,,2)=Table1[[#This Row],[Mould No]]), 0), 6),)</f>
        <v>PET</v>
      </c>
      <c r="E326">
        <v>541381</v>
      </c>
      <c r="F326">
        <v>0</v>
      </c>
      <c r="G326" t="str" cm="1">
        <f t="array" ref="G326">IFERROR(INDEX(ReferenceCard, MATCH(1, (INDEX(ReferenceCard,,1)=Table1[[#This Row],[SAP No]]) * (INDEX(ReferenceCard,,2)=Table1[[#This Row],[Mould No]]), 0), 3),)</f>
        <v>BC28-1200-K-R-CL</v>
      </c>
      <c r="H326">
        <v>0</v>
      </c>
      <c r="I326" cm="1">
        <f t="array" ref="I326">IFERROR(INDEX(ReferenceCard, MATCH(1, (INDEX(ReferenceCard,,1)=Table1[[#This Row],[SAP No]]) * (INDEX(ReferenceCard,,2)=Table1[[#This Row],[Mould No]]), 0), 4),)</f>
        <v>4</v>
      </c>
      <c r="J326" s="4" cm="1">
        <f t="array" ref="J326">IFERROR(INDEX(ReferenceCard, MATCH(1, (INDEX(ReferenceCard,,1)=Table1[[#This Row],[SAP No]]) * (INDEX(ReferenceCard,,2)=Table1[[#This Row],[Mould No]]), 0), 9),)</f>
        <v>55</v>
      </c>
      <c r="K326" s="4" cm="1">
        <f t="array" ref="K326">IFERROR(INDEX(ReferenceCard, MATCH(1, (INDEX(ReferenceCard,,1)=Table1[[#This Row],[SAP No]]) * (INDEX(ReferenceCard,,2)=Table1[[#This Row],[Mould No]]), 0), 7),)</f>
        <v>55</v>
      </c>
      <c r="L326">
        <v>1717</v>
      </c>
      <c r="M326">
        <v>0</v>
      </c>
      <c r="N326">
        <v>0</v>
      </c>
      <c r="O326">
        <v>0</v>
      </c>
      <c r="P326">
        <f>Table1[[#This Row],[Shot]]*Table1[[#This Row],[Cav]]</f>
        <v>6868</v>
      </c>
      <c r="Q326">
        <v>0</v>
      </c>
      <c r="R326">
        <f>(Table1[[#This Row],[Part Weight (gm)]]*Table1[[#This Row],[Finish Good]])/1000</f>
        <v>0</v>
      </c>
      <c r="S326">
        <v>0</v>
      </c>
      <c r="T326">
        <f>IF(Table1[[#This Row],[Qty Order]]="Sample","-",IF(Table1[[#This Row],[Qty Order]]="RTFN","-",Table1[[#This Row],[Qty Order]]-Table1[[#This Row],[Qty Accumulate]]))</f>
        <v>0</v>
      </c>
      <c r="U326">
        <f>((Table1[[#This Row],[Shift Output]]*Table1[[#This Row],[Part Weight (gm)]])/1000)+Table1[[#This Row],[Reject Startup (kg)]]+Table1[[#This Row],[Reject Purging (kg)]]+Table1[[#This Row],[Reject Preform (kg)]]</f>
        <v>377.74</v>
      </c>
      <c r="V326" s="37">
        <f>(Table1[[#This Row],[Gross Weight (gm)]]-Table1[[#This Row],[Part Weight (gm)]])*Table1[[#This Row],[Shift Output]]/1000</f>
        <v>0</v>
      </c>
      <c r="W326" s="3">
        <v>0</v>
      </c>
      <c r="X326" s="36">
        <f>Table1[[#This Row],[Reject Startup (kg)]]/Table1[[#This Row],[Material Used]]</f>
        <v>0</v>
      </c>
      <c r="Y326" s="3">
        <v>0</v>
      </c>
      <c r="Z326" s="36">
        <f>Table1[[#This Row],[Reject Prod (kg)]]/Table1[[#This Row],[Material Used]]</f>
        <v>0</v>
      </c>
      <c r="AA326" s="4">
        <v>43.233741760253899</v>
      </c>
      <c r="AB326" s="5">
        <v>11.1</v>
      </c>
      <c r="AC326" s="4" cm="1">
        <f t="array" ref="AC326">IFERROR(INDEX(ReferenceCard, MATCH(1, (INDEX(ReferenceCard,,1)=Table1[[#This Row],[SAP No]]) * (INDEX(ReferenceCard,,2)=Table1[[#This Row],[Mould No]]), 0), 9),)</f>
        <v>55</v>
      </c>
      <c r="AD326" s="5">
        <v>0</v>
      </c>
      <c r="AE326" s="5">
        <v>0</v>
      </c>
      <c r="AF326" s="5">
        <v>0</v>
      </c>
      <c r="AG326" s="5">
        <v>0.33</v>
      </c>
      <c r="AH326" s="5">
        <v>0.57999999999999896</v>
      </c>
      <c r="AI326" s="5">
        <v>0</v>
      </c>
      <c r="AJ326" s="5">
        <v>0</v>
      </c>
      <c r="AL326" s="2"/>
      <c r="AM326" s="2"/>
      <c r="AN326" s="3">
        <v>0</v>
      </c>
      <c r="AO326" s="3">
        <v>0</v>
      </c>
      <c r="AP32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7" spans="1:42" x14ac:dyDescent="0.35">
      <c r="A327" s="1">
        <v>46013</v>
      </c>
      <c r="B327">
        <v>1</v>
      </c>
      <c r="C327" t="s">
        <v>35</v>
      </c>
      <c r="D327" t="str" cm="1">
        <f t="array" ref="D327">IFERROR(INDEX(ReferenceCard, MATCH(1, (INDEX(ReferenceCard,,1)=Table1[[#This Row],[SAP No]]) * (INDEX(ReferenceCard,,2)=Table1[[#This Row],[Mould No]]), 0), 6),)</f>
        <v>PPSB520Y</v>
      </c>
      <c r="E327">
        <v>552181</v>
      </c>
      <c r="F327">
        <v>1</v>
      </c>
      <c r="G327" t="str" cm="1">
        <f t="array" ref="G327">IFERROR(INDEX(ReferenceCard, MATCH(1, (INDEX(ReferenceCard,,1)=Table1[[#This Row],[SAP No]]) * (INDEX(ReferenceCard,,2)=Table1[[#This Row],[Mould No]]), 0), 3),)</f>
        <v>BC28-0090-D-APH-5180-3538-PP-6 NOTCHES-MOLD1</v>
      </c>
      <c r="H327">
        <v>0</v>
      </c>
      <c r="I327" cm="1">
        <f t="array" ref="I327">IFERROR(INDEX(ReferenceCard, MATCH(1, (INDEX(ReferenceCard,,1)=Table1[[#This Row],[SAP No]]) * (INDEX(ReferenceCard,,2)=Table1[[#This Row],[Mould No]]), 0), 4),)</f>
        <v>6</v>
      </c>
      <c r="J327" s="4" cm="1">
        <f t="array" ref="J327">IFERROR(INDEX(ReferenceCard, MATCH(1, (INDEX(ReferenceCard,,1)=Table1[[#This Row],[SAP No]]) * (INDEX(ReferenceCard,,2)=Table1[[#This Row],[Mould No]]), 0), 9),)</f>
        <v>18.8</v>
      </c>
      <c r="K327" s="4" cm="1">
        <f t="array" ref="K327">IFERROR(INDEX(ReferenceCard, MATCH(1, (INDEX(ReferenceCard,,1)=Table1[[#This Row],[SAP No]]) * (INDEX(ReferenceCard,,2)=Table1[[#This Row],[Mould No]]), 0), 7),)</f>
        <v>18.8</v>
      </c>
      <c r="L327">
        <v>1470</v>
      </c>
      <c r="M327">
        <v>0</v>
      </c>
      <c r="N327">
        <v>0</v>
      </c>
      <c r="O327">
        <v>0</v>
      </c>
      <c r="P327">
        <f>Table1[[#This Row],[Shot]]*Table1[[#This Row],[Cav]]</f>
        <v>8820</v>
      </c>
      <c r="Q327">
        <v>0</v>
      </c>
      <c r="R327">
        <f>(Table1[[#This Row],[Part Weight (gm)]]*Table1[[#This Row],[Finish Good]])/1000</f>
        <v>0</v>
      </c>
      <c r="S327">
        <v>0</v>
      </c>
      <c r="T327">
        <f>IF(Table1[[#This Row],[Qty Order]]="Sample","-",IF(Table1[[#This Row],[Qty Order]]="RTFN","-",Table1[[#This Row],[Qty Order]]-Table1[[#This Row],[Qty Accumulate]]))</f>
        <v>0</v>
      </c>
      <c r="U327">
        <f>((Table1[[#This Row],[Shift Output]]*Table1[[#This Row],[Part Weight (gm)]])/1000)+Table1[[#This Row],[Reject Startup (kg)]]+Table1[[#This Row],[Reject Purging (kg)]]+Table1[[#This Row],[Reject Preform (kg)]]</f>
        <v>165.816</v>
      </c>
      <c r="V327" s="37">
        <f>(Table1[[#This Row],[Gross Weight (gm)]]-Table1[[#This Row],[Part Weight (gm)]])*Table1[[#This Row],[Shift Output]]/1000</f>
        <v>0</v>
      </c>
      <c r="W327" s="3">
        <v>0</v>
      </c>
      <c r="X327" s="36">
        <f>Table1[[#This Row],[Reject Startup (kg)]]/Table1[[#This Row],[Material Used]]</f>
        <v>0</v>
      </c>
      <c r="Y327" s="3">
        <v>0</v>
      </c>
      <c r="Z327" s="36">
        <f>Table1[[#This Row],[Reject Prod (kg)]]/Table1[[#This Row],[Material Used]]</f>
        <v>0</v>
      </c>
      <c r="AA327" s="4">
        <v>31.201370239257798</v>
      </c>
      <c r="AB327" s="5">
        <v>11.9</v>
      </c>
      <c r="AC327" s="4" cm="1">
        <f t="array" ref="AC327">IFERROR(INDEX(ReferenceCard, MATCH(1, (INDEX(ReferenceCard,,1)=Table1[[#This Row],[SAP No]]) * (INDEX(ReferenceCard,,2)=Table1[[#This Row],[Mould No]]), 0), 9),)</f>
        <v>18.8</v>
      </c>
      <c r="AD327" s="5">
        <v>0</v>
      </c>
      <c r="AE327" s="5">
        <v>0</v>
      </c>
      <c r="AF327" s="5">
        <v>0</v>
      </c>
      <c r="AG327" s="5">
        <v>0</v>
      </c>
      <c r="AH327" s="5">
        <v>0.1</v>
      </c>
      <c r="AI327" s="5">
        <v>0</v>
      </c>
      <c r="AJ327" s="5">
        <v>0</v>
      </c>
      <c r="AL327" s="2"/>
      <c r="AM327" s="2"/>
      <c r="AN327" s="3">
        <v>0</v>
      </c>
      <c r="AO327" s="3">
        <v>0</v>
      </c>
      <c r="AP32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8" spans="1:42" x14ac:dyDescent="0.35">
      <c r="A328" s="1">
        <v>46013</v>
      </c>
      <c r="B328">
        <v>1</v>
      </c>
      <c r="C328" t="s">
        <v>18</v>
      </c>
      <c r="D328" t="str" cm="1">
        <f t="array" ref="D328">IFERROR(INDEX(ReferenceCard, MATCH(1, (INDEX(ReferenceCard,,1)=Table1[[#This Row],[SAP No]]) * (INDEX(ReferenceCard,,2)=Table1[[#This Row],[Mould No]]), 0), 6),)</f>
        <v>PPSB520Y</v>
      </c>
      <c r="E328">
        <v>555979</v>
      </c>
      <c r="F328">
        <v>4</v>
      </c>
      <c r="G328" t="str" cm="1">
        <f t="array" ref="G328">IFERROR(INDEX(ReferenceCard, MATCH(1, (INDEX(ReferenceCard,,1)=Table1[[#This Row],[SAP No]]) * (INDEX(ReferenceCard,,2)=Table1[[#This Row],[Mould No]]), 0), 3),)</f>
        <v>BC28-0170-D-APH-5180-3539-PP-6 NOTCHES-MOLD4</v>
      </c>
      <c r="H328">
        <v>0</v>
      </c>
      <c r="I328" cm="1">
        <f t="array" ref="I328">IFERROR(INDEX(ReferenceCard, MATCH(1, (INDEX(ReferenceCard,,1)=Table1[[#This Row],[SAP No]]) * (INDEX(ReferenceCard,,2)=Table1[[#This Row],[Mould No]]), 0), 4),)</f>
        <v>6</v>
      </c>
      <c r="J328" s="4" cm="1">
        <f t="array" ref="J328">IFERROR(INDEX(ReferenceCard, MATCH(1, (INDEX(ReferenceCard,,1)=Table1[[#This Row],[SAP No]]) * (INDEX(ReferenceCard,,2)=Table1[[#This Row],[Mould No]]), 0), 9),)</f>
        <v>28</v>
      </c>
      <c r="K328" s="4" cm="1">
        <f t="array" ref="K328">IFERROR(INDEX(ReferenceCard, MATCH(1, (INDEX(ReferenceCard,,1)=Table1[[#This Row],[SAP No]]) * (INDEX(ReferenceCard,,2)=Table1[[#This Row],[Mould No]]), 0), 7),)</f>
        <v>28</v>
      </c>
      <c r="L328">
        <v>963</v>
      </c>
      <c r="M328">
        <v>0</v>
      </c>
      <c r="N328">
        <v>0</v>
      </c>
      <c r="O328">
        <v>0</v>
      </c>
      <c r="P328">
        <f>Table1[[#This Row],[Shot]]*Table1[[#This Row],[Cav]]</f>
        <v>5778</v>
      </c>
      <c r="Q328">
        <v>0</v>
      </c>
      <c r="R328">
        <f>(Table1[[#This Row],[Part Weight (gm)]]*Table1[[#This Row],[Finish Good]])/1000</f>
        <v>0</v>
      </c>
      <c r="S328">
        <v>0</v>
      </c>
      <c r="T328">
        <f>IF(Table1[[#This Row],[Qty Order]]="Sample","-",IF(Table1[[#This Row],[Qty Order]]="RTFN","-",Table1[[#This Row],[Qty Order]]-Table1[[#This Row],[Qty Accumulate]]))</f>
        <v>0</v>
      </c>
      <c r="U328">
        <f>((Table1[[#This Row],[Shift Output]]*Table1[[#This Row],[Part Weight (gm)]])/1000)+Table1[[#This Row],[Reject Startup (kg)]]+Table1[[#This Row],[Reject Purging (kg)]]+Table1[[#This Row],[Reject Preform (kg)]]</f>
        <v>161.78399999999999</v>
      </c>
      <c r="V328" s="37">
        <f>(Table1[[#This Row],[Gross Weight (gm)]]-Table1[[#This Row],[Part Weight (gm)]])*Table1[[#This Row],[Shift Output]]/1000</f>
        <v>0</v>
      </c>
      <c r="W328" s="3">
        <v>0</v>
      </c>
      <c r="X328" s="36">
        <f>Table1[[#This Row],[Reject Startup (kg)]]/Table1[[#This Row],[Material Used]]</f>
        <v>0</v>
      </c>
      <c r="Y328" s="3">
        <v>0</v>
      </c>
      <c r="Z328" s="36">
        <f>Table1[[#This Row],[Reject Prod (kg)]]/Table1[[#This Row],[Material Used]]</f>
        <v>0</v>
      </c>
      <c r="AA328" s="4">
        <v>43.5</v>
      </c>
      <c r="AB328" s="5">
        <v>12</v>
      </c>
      <c r="AC328" s="4" cm="1">
        <f t="array" ref="AC328">IFERROR(INDEX(ReferenceCard, MATCH(1, (INDEX(ReferenceCard,,1)=Table1[[#This Row],[SAP No]]) * (INDEX(ReferenceCard,,2)=Table1[[#This Row],[Mould No]]), 0), 9),)</f>
        <v>28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L328" s="2"/>
      <c r="AM328" s="2"/>
      <c r="AN328" s="3">
        <v>0</v>
      </c>
      <c r="AO328" s="3">
        <v>0</v>
      </c>
      <c r="AP32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29" spans="1:42" x14ac:dyDescent="0.35">
      <c r="A329" s="1">
        <v>46012</v>
      </c>
      <c r="B329">
        <v>2</v>
      </c>
      <c r="C329" t="s">
        <v>0</v>
      </c>
      <c r="D329" t="str" cm="1">
        <f t="array" ref="D329">IFERROR(INDEX(ReferenceCard, MATCH(1, (INDEX(ReferenceCard,,1)=Table1[[#This Row],[SAP No]]) * (INDEX(ReferenceCard,,2)=Table1[[#This Row],[Mould No]]), 0), 6),)</f>
        <v>PET</v>
      </c>
      <c r="E329">
        <v>347623</v>
      </c>
      <c r="F329">
        <v>0</v>
      </c>
      <c r="G329" t="str" cm="1">
        <f t="array" ref="G329">IFERROR(INDEX(ReferenceCard, MATCH(1, (INDEX(ReferenceCard,,1)=Table1[[#This Row],[SAP No]]) * (INDEX(ReferenceCard,,2)=Table1[[#This Row],[Mould No]]), 0), 3),)</f>
        <v>BC28-0375-K-R-CL</v>
      </c>
      <c r="H329">
        <v>0</v>
      </c>
      <c r="I329" cm="1">
        <f t="array" ref="I329">IFERROR(INDEX(ReferenceCard, MATCH(1, (INDEX(ReferenceCard,,1)=Table1[[#This Row],[SAP No]]) * (INDEX(ReferenceCard,,2)=Table1[[#This Row],[Mould No]]), 0), 4),)</f>
        <v>4</v>
      </c>
      <c r="J329" s="4" cm="1">
        <f t="array" ref="J329">IFERROR(INDEX(ReferenceCard, MATCH(1, (INDEX(ReferenceCard,,1)=Table1[[#This Row],[SAP No]]) * (INDEX(ReferenceCard,,2)=Table1[[#This Row],[Mould No]]), 0), 9),)</f>
        <v>35.6</v>
      </c>
      <c r="K329" s="4" cm="1">
        <f t="array" ref="K329">IFERROR(INDEX(ReferenceCard, MATCH(1, (INDEX(ReferenceCard,,1)=Table1[[#This Row],[SAP No]]) * (INDEX(ReferenceCard,,2)=Table1[[#This Row],[Mould No]]), 0), 7),)</f>
        <v>35.6</v>
      </c>
      <c r="L329">
        <v>1654</v>
      </c>
      <c r="M329">
        <v>0</v>
      </c>
      <c r="N329">
        <v>0</v>
      </c>
      <c r="O329">
        <v>0</v>
      </c>
      <c r="P329">
        <f>Table1[[#This Row],[Shot]]*Table1[[#This Row],[Cav]]</f>
        <v>6616</v>
      </c>
      <c r="Q329">
        <v>0</v>
      </c>
      <c r="R329">
        <f>(Table1[[#This Row],[Part Weight (gm)]]*Table1[[#This Row],[Finish Good]])/1000</f>
        <v>0</v>
      </c>
      <c r="S329">
        <v>0</v>
      </c>
      <c r="T329">
        <f>IF(Table1[[#This Row],[Qty Order]]="Sample","-",IF(Table1[[#This Row],[Qty Order]]="RTFN","-",Table1[[#This Row],[Qty Order]]-Table1[[#This Row],[Qty Accumulate]]))</f>
        <v>0</v>
      </c>
      <c r="U329">
        <f>((Table1[[#This Row],[Shift Output]]*Table1[[#This Row],[Part Weight (gm)]])/1000)+Table1[[#This Row],[Reject Startup (kg)]]+Table1[[#This Row],[Reject Purging (kg)]]+Table1[[#This Row],[Reject Preform (kg)]]</f>
        <v>235.52960000000002</v>
      </c>
      <c r="V329" s="37">
        <f>(Table1[[#This Row],[Gross Weight (gm)]]-Table1[[#This Row],[Part Weight (gm)]])*Table1[[#This Row],[Shift Output]]/1000</f>
        <v>0</v>
      </c>
      <c r="W329" s="3">
        <v>0</v>
      </c>
      <c r="X329" s="36">
        <f>Table1[[#This Row],[Reject Startup (kg)]]/Table1[[#This Row],[Material Used]]</f>
        <v>0</v>
      </c>
      <c r="Y329" s="3">
        <v>0</v>
      </c>
      <c r="Z329" s="36">
        <f>Table1[[#This Row],[Reject Prod (kg)]]/Table1[[#This Row],[Material Used]]</f>
        <v>0</v>
      </c>
      <c r="AA329" s="4">
        <v>26.112071990966701</v>
      </c>
      <c r="AB329" s="5">
        <v>12</v>
      </c>
      <c r="AC329" s="4" cm="1">
        <f t="array" ref="AC329">IFERROR(INDEX(ReferenceCard, MATCH(1, (INDEX(ReferenceCard,,1)=Table1[[#This Row],[SAP No]]) * (INDEX(ReferenceCard,,2)=Table1[[#This Row],[Mould No]]), 0), 9),)</f>
        <v>35.6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L329" s="2"/>
      <c r="AM329" s="2"/>
      <c r="AN329" s="3">
        <v>0</v>
      </c>
      <c r="AO329" s="3">
        <v>0</v>
      </c>
      <c r="AP32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0" spans="1:42" x14ac:dyDescent="0.35">
      <c r="A330" s="1">
        <v>46012</v>
      </c>
      <c r="B330">
        <v>2</v>
      </c>
      <c r="C330" t="s">
        <v>3</v>
      </c>
      <c r="D330" t="str" cm="1">
        <f t="array" ref="D330">IFERROR(INDEX(ReferenceCard, MATCH(1, (INDEX(ReferenceCard,,1)=Table1[[#This Row],[SAP No]]) * (INDEX(ReferenceCard,,2)=Table1[[#This Row],[Mould No]]), 0), 6),)</f>
        <v>PET</v>
      </c>
      <c r="E330">
        <v>423215</v>
      </c>
      <c r="F330">
        <v>0</v>
      </c>
      <c r="G330" t="str" cm="1">
        <f t="array" ref="G330">IFERROR(INDEX(ReferenceCard, MATCH(1, (INDEX(ReferenceCard,,1)=Table1[[#This Row],[SAP No]]) * (INDEX(ReferenceCard,,2)=Table1[[#This Row],[Mould No]]), 0), 3),)</f>
        <v>BC28-0355-SCC-A-Q-CL</v>
      </c>
      <c r="H330">
        <v>0</v>
      </c>
      <c r="I330" cm="1">
        <f t="array" ref="I330">IFERROR(INDEX(ReferenceCard, MATCH(1, (INDEX(ReferenceCard,,1)=Table1[[#This Row],[SAP No]]) * (INDEX(ReferenceCard,,2)=Table1[[#This Row],[Mould No]]), 0), 4),)</f>
        <v>4</v>
      </c>
      <c r="J330" s="4" cm="1">
        <f t="array" ref="J330">IFERROR(INDEX(ReferenceCard, MATCH(1, (INDEX(ReferenceCard,,1)=Table1[[#This Row],[SAP No]]) * (INDEX(ReferenceCard,,2)=Table1[[#This Row],[Mould No]]), 0), 9),)</f>
        <v>24</v>
      </c>
      <c r="K330" s="4" cm="1">
        <f t="array" ref="K330">IFERROR(INDEX(ReferenceCard, MATCH(1, (INDEX(ReferenceCard,,1)=Table1[[#This Row],[SAP No]]) * (INDEX(ReferenceCard,,2)=Table1[[#This Row],[Mould No]]), 0), 7),)</f>
        <v>24</v>
      </c>
      <c r="L330">
        <v>142</v>
      </c>
      <c r="M330">
        <v>0</v>
      </c>
      <c r="N330">
        <v>0</v>
      </c>
      <c r="O330">
        <v>0</v>
      </c>
      <c r="P330">
        <f>Table1[[#This Row],[Shot]]*Table1[[#This Row],[Cav]]</f>
        <v>568</v>
      </c>
      <c r="Q330">
        <v>0</v>
      </c>
      <c r="R330">
        <f>(Table1[[#This Row],[Part Weight (gm)]]*Table1[[#This Row],[Finish Good]])/1000</f>
        <v>0</v>
      </c>
      <c r="S330">
        <v>0</v>
      </c>
      <c r="T330">
        <f>IF(Table1[[#This Row],[Qty Order]]="Sample","-",IF(Table1[[#This Row],[Qty Order]]="RTFN","-",Table1[[#This Row],[Qty Order]]-Table1[[#This Row],[Qty Accumulate]]))</f>
        <v>0</v>
      </c>
      <c r="U330">
        <f>((Table1[[#This Row],[Shift Output]]*Table1[[#This Row],[Part Weight (gm)]])/1000)+Table1[[#This Row],[Reject Startup (kg)]]+Table1[[#This Row],[Reject Purging (kg)]]+Table1[[#This Row],[Reject Preform (kg)]]</f>
        <v>13.632</v>
      </c>
      <c r="V330" s="37">
        <f>(Table1[[#This Row],[Gross Weight (gm)]]-Table1[[#This Row],[Part Weight (gm)]])*Table1[[#This Row],[Shift Output]]/1000</f>
        <v>0</v>
      </c>
      <c r="W330" s="3">
        <v>0</v>
      </c>
      <c r="X330" s="36">
        <f>Table1[[#This Row],[Reject Startup (kg)]]/Table1[[#This Row],[Material Used]]</f>
        <v>0</v>
      </c>
      <c r="Y330" s="3">
        <v>0</v>
      </c>
      <c r="Z330" s="36">
        <f>Table1[[#This Row],[Reject Prod (kg)]]/Table1[[#This Row],[Material Used]]</f>
        <v>0</v>
      </c>
      <c r="AA330" s="4">
        <v>0</v>
      </c>
      <c r="AB330" s="5">
        <v>0</v>
      </c>
      <c r="AC330" s="4" cm="1">
        <f t="array" ref="AC330">IFERROR(INDEX(ReferenceCard, MATCH(1, (INDEX(ReferenceCard,,1)=Table1[[#This Row],[SAP No]]) * (INDEX(ReferenceCard,,2)=Table1[[#This Row],[Mould No]]), 0), 9),)</f>
        <v>24</v>
      </c>
      <c r="AD330" s="5">
        <v>0</v>
      </c>
      <c r="AE330" s="5">
        <v>0</v>
      </c>
      <c r="AF330" s="5">
        <v>0</v>
      </c>
      <c r="AG330" s="5">
        <v>0</v>
      </c>
      <c r="AH330" s="5">
        <v>12</v>
      </c>
      <c r="AI330" s="5">
        <v>0</v>
      </c>
      <c r="AJ330" s="5">
        <v>0</v>
      </c>
      <c r="AL330" s="2"/>
      <c r="AM330" s="2"/>
      <c r="AN330" s="3">
        <v>0</v>
      </c>
      <c r="AO330" s="3">
        <v>0</v>
      </c>
      <c r="AP33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1" spans="1:42" x14ac:dyDescent="0.35">
      <c r="A331" s="1">
        <v>46012</v>
      </c>
      <c r="B331">
        <v>2</v>
      </c>
      <c r="C331" t="s">
        <v>5</v>
      </c>
      <c r="D331" t="str" cm="1">
        <f t="array" ref="D331">IFERROR(INDEX(ReferenceCard, MATCH(1, (INDEX(ReferenceCard,,1)=Table1[[#This Row],[SAP No]]) * (INDEX(ReferenceCard,,2)=Table1[[#This Row],[Mould No]]), 0), 6),)</f>
        <v>PET</v>
      </c>
      <c r="E331">
        <v>543590</v>
      </c>
      <c r="F331">
        <v>0</v>
      </c>
      <c r="G331" t="str" cm="1">
        <f t="array" ref="G331">IFERROR(INDEX(ReferenceCard, MATCH(1, (INDEX(ReferenceCard,,1)=Table1[[#This Row],[SAP No]]) * (INDEX(ReferenceCard,,2)=Table1[[#This Row],[Mould No]]), 0), 3),)</f>
        <v>BC28-0130-R-R-AM</v>
      </c>
      <c r="H331">
        <v>0</v>
      </c>
      <c r="I331" cm="1">
        <f t="array" ref="I331">IFERROR(INDEX(ReferenceCard, MATCH(1, (INDEX(ReferenceCard,,1)=Table1[[#This Row],[SAP No]]) * (INDEX(ReferenceCard,,2)=Table1[[#This Row],[Mould No]]), 0), 4),)</f>
        <v>4</v>
      </c>
      <c r="J331" s="4" cm="1">
        <f t="array" ref="J331">IFERROR(INDEX(ReferenceCard, MATCH(1, (INDEX(ReferenceCard,,1)=Table1[[#This Row],[SAP No]]) * (INDEX(ReferenceCard,,2)=Table1[[#This Row],[Mould No]]), 0), 9),)</f>
        <v>19</v>
      </c>
      <c r="K331" s="4" cm="1">
        <f t="array" ref="K331">IFERROR(INDEX(ReferenceCard, MATCH(1, (INDEX(ReferenceCard,,1)=Table1[[#This Row],[SAP No]]) * (INDEX(ReferenceCard,,2)=Table1[[#This Row],[Mould No]]), 0), 7),)</f>
        <v>19</v>
      </c>
      <c r="L331">
        <v>125</v>
      </c>
      <c r="M331">
        <v>0</v>
      </c>
      <c r="N331">
        <v>0</v>
      </c>
      <c r="O331">
        <v>0</v>
      </c>
      <c r="P331">
        <f>Table1[[#This Row],[Shot]]*Table1[[#This Row],[Cav]]</f>
        <v>500</v>
      </c>
      <c r="Q331">
        <v>0</v>
      </c>
      <c r="R331">
        <f>(Table1[[#This Row],[Part Weight (gm)]]*Table1[[#This Row],[Finish Good]])/1000</f>
        <v>0</v>
      </c>
      <c r="S331">
        <v>0</v>
      </c>
      <c r="T331">
        <f>IF(Table1[[#This Row],[Qty Order]]="Sample","-",IF(Table1[[#This Row],[Qty Order]]="RTFN","-",Table1[[#This Row],[Qty Order]]-Table1[[#This Row],[Qty Accumulate]]))</f>
        <v>0</v>
      </c>
      <c r="U331">
        <f>((Table1[[#This Row],[Shift Output]]*Table1[[#This Row],[Part Weight (gm)]])/1000)+Table1[[#This Row],[Reject Startup (kg)]]+Table1[[#This Row],[Reject Purging (kg)]]+Table1[[#This Row],[Reject Preform (kg)]]</f>
        <v>9.5</v>
      </c>
      <c r="V331" s="37">
        <f>(Table1[[#This Row],[Gross Weight (gm)]]-Table1[[#This Row],[Part Weight (gm)]])*Table1[[#This Row],[Shift Output]]/1000</f>
        <v>0</v>
      </c>
      <c r="W331" s="3">
        <v>0</v>
      </c>
      <c r="X331" s="36">
        <f>Table1[[#This Row],[Reject Startup (kg)]]/Table1[[#This Row],[Material Used]]</f>
        <v>0</v>
      </c>
      <c r="Y331" s="3">
        <v>0</v>
      </c>
      <c r="Z331" s="36">
        <f>Table1[[#This Row],[Reject Prod (kg)]]/Table1[[#This Row],[Material Used]]</f>
        <v>0</v>
      </c>
      <c r="AA331" s="4">
        <v>0</v>
      </c>
      <c r="AB331" s="5">
        <v>0</v>
      </c>
      <c r="AC331" s="4" cm="1">
        <f t="array" ref="AC331">IFERROR(INDEX(ReferenceCard, MATCH(1, (INDEX(ReferenceCard,,1)=Table1[[#This Row],[SAP No]]) * (INDEX(ReferenceCard,,2)=Table1[[#This Row],[Mould No]]), 0), 9),)</f>
        <v>19</v>
      </c>
      <c r="AD331" s="5">
        <v>0</v>
      </c>
      <c r="AE331" s="5">
        <v>0</v>
      </c>
      <c r="AF331" s="5">
        <v>0</v>
      </c>
      <c r="AG331" s="5">
        <v>0</v>
      </c>
      <c r="AH331" s="5">
        <v>12</v>
      </c>
      <c r="AI331" s="5">
        <v>0</v>
      </c>
      <c r="AJ331" s="5">
        <v>0</v>
      </c>
      <c r="AL331" s="2"/>
      <c r="AM331" s="2"/>
      <c r="AN331" s="3">
        <v>0</v>
      </c>
      <c r="AO331" s="3">
        <v>0</v>
      </c>
      <c r="AP33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2" spans="1:42" x14ac:dyDescent="0.35">
      <c r="A332" s="1">
        <v>46012</v>
      </c>
      <c r="B332">
        <v>2</v>
      </c>
      <c r="C332" t="s">
        <v>7</v>
      </c>
      <c r="D332" t="str" cm="1">
        <f t="array" ref="D332">IFERROR(INDEX(ReferenceCard, MATCH(1, (INDEX(ReferenceCard,,1)=Table1[[#This Row],[SAP No]]) * (INDEX(ReferenceCard,,2)=Table1[[#This Row],[Mould No]]), 0), 6),)</f>
        <v>PET</v>
      </c>
      <c r="E332">
        <v>451191</v>
      </c>
      <c r="F332">
        <v>0</v>
      </c>
      <c r="G332" t="str" cm="1">
        <f t="array" ref="G332">IFERROR(INDEX(ReferenceCard, MATCH(1, (INDEX(ReferenceCard,,1)=Table1[[#This Row],[SAP No]]) * (INDEX(ReferenceCard,,2)=Table1[[#This Row],[Mould No]]), 0), 3),)</f>
        <v>BX38-0350-Z-C-CL</v>
      </c>
      <c r="H332">
        <v>0</v>
      </c>
      <c r="I332" cm="1">
        <f t="array" ref="I332">IFERROR(INDEX(ReferenceCard, MATCH(1, (INDEX(ReferenceCard,,1)=Table1[[#This Row],[SAP No]]) * (INDEX(ReferenceCard,,2)=Table1[[#This Row],[Mould No]]), 0), 4),)</f>
        <v>4</v>
      </c>
      <c r="J332" s="4" cm="1">
        <f t="array" ref="J332">IFERROR(INDEX(ReferenceCard, MATCH(1, (INDEX(ReferenceCard,,1)=Table1[[#This Row],[SAP No]]) * (INDEX(ReferenceCard,,2)=Table1[[#This Row],[Mould No]]), 0), 9),)</f>
        <v>29</v>
      </c>
      <c r="K332" s="4" cm="1">
        <f t="array" ref="K332">IFERROR(INDEX(ReferenceCard, MATCH(1, (INDEX(ReferenceCard,,1)=Table1[[#This Row],[SAP No]]) * (INDEX(ReferenceCard,,2)=Table1[[#This Row],[Mould No]]), 0), 7),)</f>
        <v>29</v>
      </c>
      <c r="L332">
        <v>0</v>
      </c>
      <c r="M332">
        <v>0</v>
      </c>
      <c r="N332">
        <v>0</v>
      </c>
      <c r="O332">
        <v>0</v>
      </c>
      <c r="P332">
        <f>Table1[[#This Row],[Shot]]*Table1[[#This Row],[Cav]]</f>
        <v>0</v>
      </c>
      <c r="Q332">
        <v>0</v>
      </c>
      <c r="R332">
        <f>(Table1[[#This Row],[Part Weight (gm)]]*Table1[[#This Row],[Finish Good]])/1000</f>
        <v>0</v>
      </c>
      <c r="S332">
        <v>0</v>
      </c>
      <c r="T332">
        <f>IF(Table1[[#This Row],[Qty Order]]="Sample","-",IF(Table1[[#This Row],[Qty Order]]="RTFN","-",Table1[[#This Row],[Qty Order]]-Table1[[#This Row],[Qty Accumulate]]))</f>
        <v>0</v>
      </c>
      <c r="U332">
        <f>((Table1[[#This Row],[Shift Output]]*Table1[[#This Row],[Part Weight (gm)]])/1000)+Table1[[#This Row],[Reject Startup (kg)]]+Table1[[#This Row],[Reject Purging (kg)]]+Table1[[#This Row],[Reject Preform (kg)]]</f>
        <v>0</v>
      </c>
      <c r="V332" s="37">
        <f>(Table1[[#This Row],[Gross Weight (gm)]]-Table1[[#This Row],[Part Weight (gm)]])*Table1[[#This Row],[Shift Output]]/1000</f>
        <v>0</v>
      </c>
      <c r="W332" s="3">
        <v>0</v>
      </c>
      <c r="X332" s="36" t="e">
        <f>Table1[[#This Row],[Reject Startup (kg)]]/Table1[[#This Row],[Material Used]]</f>
        <v>#DIV/0!</v>
      </c>
      <c r="Y332" s="3">
        <v>0</v>
      </c>
      <c r="Z332" s="36" t="e">
        <f>Table1[[#This Row],[Reject Prod (kg)]]/Table1[[#This Row],[Material Used]]</f>
        <v>#DIV/0!</v>
      </c>
      <c r="AA332" s="4">
        <v>0</v>
      </c>
      <c r="AB332" s="5">
        <v>0</v>
      </c>
      <c r="AC332" s="4" cm="1">
        <f t="array" ref="AC332">IFERROR(INDEX(ReferenceCard, MATCH(1, (INDEX(ReferenceCard,,1)=Table1[[#This Row],[SAP No]]) * (INDEX(ReferenceCard,,2)=Table1[[#This Row],[Mould No]]), 0), 9),)</f>
        <v>29</v>
      </c>
      <c r="AD332" s="5">
        <v>0</v>
      </c>
      <c r="AE332" s="5">
        <v>0</v>
      </c>
      <c r="AF332" s="5">
        <v>0</v>
      </c>
      <c r="AG332" s="5">
        <v>0</v>
      </c>
      <c r="AH332" s="5">
        <v>12</v>
      </c>
      <c r="AI332" s="5">
        <v>0</v>
      </c>
      <c r="AJ332" s="5">
        <v>0</v>
      </c>
      <c r="AL332" s="2"/>
      <c r="AM332" s="2"/>
      <c r="AN332" s="3">
        <v>0</v>
      </c>
      <c r="AO332" s="3">
        <v>0</v>
      </c>
      <c r="AP33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3" spans="1:42" x14ac:dyDescent="0.35">
      <c r="A333" s="1">
        <v>46012</v>
      </c>
      <c r="B333">
        <v>2</v>
      </c>
      <c r="C333" t="s">
        <v>9</v>
      </c>
      <c r="D333" t="str" cm="1">
        <f t="array" ref="D333">IFERROR(INDEX(ReferenceCard, MATCH(1, (INDEX(ReferenceCard,,1)=Table1[[#This Row],[SAP No]]) * (INDEX(ReferenceCard,,2)=Table1[[#This Row],[Mould No]]), 0), 6),)</f>
        <v>PET</v>
      </c>
      <c r="E333">
        <v>322451</v>
      </c>
      <c r="F333">
        <v>0</v>
      </c>
      <c r="G333" t="str" cm="1">
        <f t="array" ref="G333">IFERROR(INDEX(ReferenceCard, MATCH(1, (INDEX(ReferenceCard,,1)=Table1[[#This Row],[SAP No]]) * (INDEX(ReferenceCard,,2)=Table1[[#This Row],[Mould No]]), 0), 3),)</f>
        <v>BC28-0500-WNHP-R-BR</v>
      </c>
      <c r="H333">
        <v>0</v>
      </c>
      <c r="I333" cm="1">
        <f t="array" ref="I333">IFERROR(INDEX(ReferenceCard, MATCH(1, (INDEX(ReferenceCard,,1)=Table1[[#This Row],[SAP No]]) * (INDEX(ReferenceCard,,2)=Table1[[#This Row],[Mould No]]), 0), 4),)</f>
        <v>4</v>
      </c>
      <c r="J333" s="4" cm="1">
        <f t="array" ref="J333">IFERROR(INDEX(ReferenceCard, MATCH(1, (INDEX(ReferenceCard,,1)=Table1[[#This Row],[SAP No]]) * (INDEX(ReferenceCard,,2)=Table1[[#This Row],[Mould No]]), 0), 9),)</f>
        <v>45.6</v>
      </c>
      <c r="K333" s="4" cm="1">
        <f t="array" ref="K333">IFERROR(INDEX(ReferenceCard, MATCH(1, (INDEX(ReferenceCard,,1)=Table1[[#This Row],[SAP No]]) * (INDEX(ReferenceCard,,2)=Table1[[#This Row],[Mould No]]), 0), 7),)</f>
        <v>45.6</v>
      </c>
      <c r="L333">
        <v>0</v>
      </c>
      <c r="M333">
        <v>0</v>
      </c>
      <c r="N333">
        <v>0</v>
      </c>
      <c r="O333">
        <v>0</v>
      </c>
      <c r="P333">
        <f>Table1[[#This Row],[Shot]]*Table1[[#This Row],[Cav]]</f>
        <v>0</v>
      </c>
      <c r="Q333">
        <v>0</v>
      </c>
      <c r="R333">
        <f>(Table1[[#This Row],[Part Weight (gm)]]*Table1[[#This Row],[Finish Good]])/1000</f>
        <v>0</v>
      </c>
      <c r="S333">
        <v>0</v>
      </c>
      <c r="T333">
        <f>IF(Table1[[#This Row],[Qty Order]]="Sample","-",IF(Table1[[#This Row],[Qty Order]]="RTFN","-",Table1[[#This Row],[Qty Order]]-Table1[[#This Row],[Qty Accumulate]]))</f>
        <v>0</v>
      </c>
      <c r="U333">
        <f>((Table1[[#This Row],[Shift Output]]*Table1[[#This Row],[Part Weight (gm)]])/1000)+Table1[[#This Row],[Reject Startup (kg)]]+Table1[[#This Row],[Reject Purging (kg)]]+Table1[[#This Row],[Reject Preform (kg)]]</f>
        <v>0</v>
      </c>
      <c r="V333" s="37">
        <f>(Table1[[#This Row],[Gross Weight (gm)]]-Table1[[#This Row],[Part Weight (gm)]])*Table1[[#This Row],[Shift Output]]/1000</f>
        <v>0</v>
      </c>
      <c r="W333" s="3">
        <v>0</v>
      </c>
      <c r="X333" s="36" t="e">
        <f>Table1[[#This Row],[Reject Startup (kg)]]/Table1[[#This Row],[Material Used]]</f>
        <v>#DIV/0!</v>
      </c>
      <c r="Y333" s="3">
        <v>0</v>
      </c>
      <c r="Z333" s="36" t="e">
        <f>Table1[[#This Row],[Reject Prod (kg)]]/Table1[[#This Row],[Material Used]]</f>
        <v>#DIV/0!</v>
      </c>
      <c r="AA333" s="4">
        <v>0</v>
      </c>
      <c r="AB333" s="5">
        <v>0</v>
      </c>
      <c r="AC333" s="4" cm="1">
        <f t="array" ref="AC333">IFERROR(INDEX(ReferenceCard, MATCH(1, (INDEX(ReferenceCard,,1)=Table1[[#This Row],[SAP No]]) * (INDEX(ReferenceCard,,2)=Table1[[#This Row],[Mould No]]), 0), 9),)</f>
        <v>45.6</v>
      </c>
      <c r="AD333" s="5">
        <v>0</v>
      </c>
      <c r="AE333" s="5">
        <v>0</v>
      </c>
      <c r="AF333" s="5">
        <v>0</v>
      </c>
      <c r="AG333" s="5">
        <v>0</v>
      </c>
      <c r="AH333" s="5">
        <v>12</v>
      </c>
      <c r="AI333" s="5">
        <v>0</v>
      </c>
      <c r="AJ333" s="5">
        <v>0</v>
      </c>
      <c r="AL333" s="2"/>
      <c r="AM333" s="2"/>
      <c r="AN333" s="3">
        <v>0</v>
      </c>
      <c r="AO333" s="3">
        <v>0</v>
      </c>
      <c r="AP33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4" spans="1:42" x14ac:dyDescent="0.35">
      <c r="A334" s="1">
        <v>46012</v>
      </c>
      <c r="B334">
        <v>2</v>
      </c>
      <c r="C334" t="s">
        <v>11</v>
      </c>
      <c r="D334" t="str" cm="1">
        <f t="array" ref="D334">IFERROR(INDEX(ReferenceCard, MATCH(1, (INDEX(ReferenceCard,,1)=Table1[[#This Row],[SAP No]]) * (INDEX(ReferenceCard,,2)=Table1[[#This Row],[Mould No]]), 0), 6),)</f>
        <v>rPET</v>
      </c>
      <c r="E334">
        <v>620994</v>
      </c>
      <c r="F334">
        <v>0</v>
      </c>
      <c r="G334" t="str" cm="1">
        <f t="array" ref="G334">IFERROR(INDEX(ReferenceCard, MATCH(1, (INDEX(ReferenceCard,,1)=Table1[[#This Row],[SAP No]]) * (INDEX(ReferenceCard,,2)=Table1[[#This Row],[Mould No]]), 0), 3),)</f>
        <v>JJ63-0400-SH-S-CL-rPET</v>
      </c>
      <c r="H334">
        <v>0</v>
      </c>
      <c r="I334" cm="1">
        <f t="array" ref="I334">IFERROR(INDEX(ReferenceCard, MATCH(1, (INDEX(ReferenceCard,,1)=Table1[[#This Row],[SAP No]]) * (INDEX(ReferenceCard,,2)=Table1[[#This Row],[Mould No]]), 0), 4),)</f>
        <v>4</v>
      </c>
      <c r="J334" s="4" cm="1">
        <f t="array" ref="J334">IFERROR(INDEX(ReferenceCard, MATCH(1, (INDEX(ReferenceCard,,1)=Table1[[#This Row],[SAP No]]) * (INDEX(ReferenceCard,,2)=Table1[[#This Row],[Mould No]]), 0), 9),)</f>
        <v>32.74</v>
      </c>
      <c r="K334" s="4" cm="1">
        <f t="array" ref="K334">IFERROR(INDEX(ReferenceCard, MATCH(1, (INDEX(ReferenceCard,,1)=Table1[[#This Row],[SAP No]]) * (INDEX(ReferenceCard,,2)=Table1[[#This Row],[Mould No]]), 0), 7),)</f>
        <v>33</v>
      </c>
      <c r="L334">
        <v>1893</v>
      </c>
      <c r="M334">
        <v>0</v>
      </c>
      <c r="N334">
        <v>0</v>
      </c>
      <c r="O334">
        <v>0</v>
      </c>
      <c r="P334">
        <f>Table1[[#This Row],[Shot]]*Table1[[#This Row],[Cav]]</f>
        <v>7572</v>
      </c>
      <c r="Q334">
        <v>0</v>
      </c>
      <c r="R334">
        <f>(Table1[[#This Row],[Part Weight (gm)]]*Table1[[#This Row],[Finish Good]])/1000</f>
        <v>0</v>
      </c>
      <c r="S334">
        <v>0</v>
      </c>
      <c r="T334">
        <f>IF(Table1[[#This Row],[Qty Order]]="Sample","-",IF(Table1[[#This Row],[Qty Order]]="RTFN","-",Table1[[#This Row],[Qty Order]]-Table1[[#This Row],[Qty Accumulate]]))</f>
        <v>0</v>
      </c>
      <c r="U334">
        <f>((Table1[[#This Row],[Shift Output]]*Table1[[#This Row],[Part Weight (gm)]])/1000)+Table1[[#This Row],[Reject Startup (kg)]]+Table1[[#This Row],[Reject Purging (kg)]]+Table1[[#This Row],[Reject Preform (kg)]]</f>
        <v>249.876</v>
      </c>
      <c r="V334" s="37">
        <f>(Table1[[#This Row],[Gross Weight (gm)]]-Table1[[#This Row],[Part Weight (gm)]])*Table1[[#This Row],[Shift Output]]/1000</f>
        <v>-1.9687199999999849</v>
      </c>
      <c r="W334" s="3">
        <v>0</v>
      </c>
      <c r="X334" s="36">
        <f>Table1[[#This Row],[Reject Startup (kg)]]/Table1[[#This Row],[Material Used]]</f>
        <v>0</v>
      </c>
      <c r="Y334" s="3">
        <v>0</v>
      </c>
      <c r="Z334" s="36">
        <f>Table1[[#This Row],[Reject Prod (kg)]]/Table1[[#This Row],[Material Used]]</f>
        <v>0</v>
      </c>
      <c r="AA334" s="4">
        <v>22.596731185913001</v>
      </c>
      <c r="AB334" s="5">
        <v>12</v>
      </c>
      <c r="AC334" s="4" cm="1">
        <f t="array" ref="AC334">IFERROR(INDEX(ReferenceCard, MATCH(1, (INDEX(ReferenceCard,,1)=Table1[[#This Row],[SAP No]]) * (INDEX(ReferenceCard,,2)=Table1[[#This Row],[Mould No]]), 0), 9),)</f>
        <v>32.74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L334" s="2"/>
      <c r="AM334" s="2"/>
      <c r="AN334" s="3">
        <v>0</v>
      </c>
      <c r="AO334" s="3">
        <v>0</v>
      </c>
      <c r="AP33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5" spans="1:42" x14ac:dyDescent="0.35">
      <c r="A335" s="1">
        <v>46012</v>
      </c>
      <c r="B335">
        <v>2</v>
      </c>
      <c r="C335" t="s">
        <v>14</v>
      </c>
      <c r="D335" t="str" cm="1">
        <f t="array" ref="D335">IFERROR(INDEX(ReferenceCard, MATCH(1, (INDEX(ReferenceCard,,1)=Table1[[#This Row],[SAP No]]) * (INDEX(ReferenceCard,,2)=Table1[[#This Row],[Mould No]]), 0), 6),)</f>
        <v>PET</v>
      </c>
      <c r="E335">
        <v>322444</v>
      </c>
      <c r="F335">
        <v>0</v>
      </c>
      <c r="G335" t="str" cm="1">
        <f t="array" ref="G335">IFERROR(INDEX(ReferenceCard, MATCH(1, (INDEX(ReferenceCard,,1)=Table1[[#This Row],[SAP No]]) * (INDEX(ReferenceCard,,2)=Table1[[#This Row],[Mould No]]), 0), 3),)</f>
        <v>JJ63-0400-RH-R-CL</v>
      </c>
      <c r="H335">
        <v>0</v>
      </c>
      <c r="I335" cm="1">
        <f t="array" ref="I335">IFERROR(INDEX(ReferenceCard, MATCH(1, (INDEX(ReferenceCard,,1)=Table1[[#This Row],[SAP No]]) * (INDEX(ReferenceCard,,2)=Table1[[#This Row],[Mould No]]), 0), 4),)</f>
        <v>4</v>
      </c>
      <c r="J335" s="4" cm="1">
        <f t="array" ref="J335">IFERROR(INDEX(ReferenceCard, MATCH(1, (INDEX(ReferenceCard,,1)=Table1[[#This Row],[SAP No]]) * (INDEX(ReferenceCard,,2)=Table1[[#This Row],[Mould No]]), 0), 9),)</f>
        <v>32.74</v>
      </c>
      <c r="K335" s="4" cm="1">
        <f t="array" ref="K335">IFERROR(INDEX(ReferenceCard, MATCH(1, (INDEX(ReferenceCard,,1)=Table1[[#This Row],[SAP No]]) * (INDEX(ReferenceCard,,2)=Table1[[#This Row],[Mould No]]), 0), 7),)</f>
        <v>34.5</v>
      </c>
      <c r="L335">
        <v>0</v>
      </c>
      <c r="M335">
        <v>0</v>
      </c>
      <c r="N335">
        <v>0</v>
      </c>
      <c r="O335">
        <v>0</v>
      </c>
      <c r="P335">
        <f>Table1[[#This Row],[Shot]]*Table1[[#This Row],[Cav]]</f>
        <v>0</v>
      </c>
      <c r="Q335">
        <v>0</v>
      </c>
      <c r="R335">
        <f>(Table1[[#This Row],[Part Weight (gm)]]*Table1[[#This Row],[Finish Good]])/1000</f>
        <v>0</v>
      </c>
      <c r="S335">
        <v>0</v>
      </c>
      <c r="T335">
        <f>IF(Table1[[#This Row],[Qty Order]]="Sample","-",IF(Table1[[#This Row],[Qty Order]]="RTFN","-",Table1[[#This Row],[Qty Order]]-Table1[[#This Row],[Qty Accumulate]]))</f>
        <v>0</v>
      </c>
      <c r="U335">
        <f>((Table1[[#This Row],[Shift Output]]*Table1[[#This Row],[Part Weight (gm)]])/1000)+Table1[[#This Row],[Reject Startup (kg)]]+Table1[[#This Row],[Reject Purging (kg)]]+Table1[[#This Row],[Reject Preform (kg)]]</f>
        <v>0</v>
      </c>
      <c r="V335" s="37">
        <f>(Table1[[#This Row],[Gross Weight (gm)]]-Table1[[#This Row],[Part Weight (gm)]])*Table1[[#This Row],[Shift Output]]/1000</f>
        <v>0</v>
      </c>
      <c r="W335" s="3">
        <v>0</v>
      </c>
      <c r="X335" s="36" t="e">
        <f>Table1[[#This Row],[Reject Startup (kg)]]/Table1[[#This Row],[Material Used]]</f>
        <v>#DIV/0!</v>
      </c>
      <c r="Y335" s="3">
        <v>0</v>
      </c>
      <c r="Z335" s="36" t="e">
        <f>Table1[[#This Row],[Reject Prod (kg)]]/Table1[[#This Row],[Material Used]]</f>
        <v>#DIV/0!</v>
      </c>
      <c r="AA335" s="4">
        <v>0</v>
      </c>
      <c r="AB335" s="5">
        <v>0</v>
      </c>
      <c r="AC335" s="4" cm="1">
        <f t="array" ref="AC335">IFERROR(INDEX(ReferenceCard, MATCH(1, (INDEX(ReferenceCard,,1)=Table1[[#This Row],[SAP No]]) * (INDEX(ReferenceCard,,2)=Table1[[#This Row],[Mould No]]), 0), 9),)</f>
        <v>32.74</v>
      </c>
      <c r="AD335" s="5">
        <v>0</v>
      </c>
      <c r="AE335" s="5">
        <v>0</v>
      </c>
      <c r="AF335" s="5">
        <v>0</v>
      </c>
      <c r="AG335" s="5">
        <v>0</v>
      </c>
      <c r="AH335" s="5">
        <v>12</v>
      </c>
      <c r="AI335" s="5">
        <v>0</v>
      </c>
      <c r="AJ335" s="5">
        <v>0</v>
      </c>
      <c r="AL335" s="2"/>
      <c r="AM335" s="2"/>
      <c r="AN335" s="3">
        <v>0</v>
      </c>
      <c r="AO335" s="3">
        <v>0</v>
      </c>
      <c r="AP33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6" spans="1:42" x14ac:dyDescent="0.35">
      <c r="A336" s="1">
        <v>46012</v>
      </c>
      <c r="B336">
        <v>2</v>
      </c>
      <c r="C336" t="s">
        <v>16</v>
      </c>
      <c r="D336" t="str" cm="1">
        <f t="array" ref="D336">IFERROR(INDEX(ReferenceCard, MATCH(1, (INDEX(ReferenceCard,,1)=Table1[[#This Row],[SAP No]]) * (INDEX(ReferenceCard,,2)=Table1[[#This Row],[Mould No]]), 0), 6),)</f>
        <v>PET</v>
      </c>
      <c r="E336">
        <v>324206</v>
      </c>
      <c r="F336">
        <v>0</v>
      </c>
      <c r="G336" t="str" cm="1">
        <f t="array" ref="G336">IFERROR(INDEX(ReferenceCard, MATCH(1, (INDEX(ReferenceCard,,1)=Table1[[#This Row],[SAP No]]) * (INDEX(ReferenceCard,,2)=Table1[[#This Row],[Mould No]]), 0), 3),)</f>
        <v>BX38-1000-HC-S-CL</v>
      </c>
      <c r="H336">
        <v>0</v>
      </c>
      <c r="I336" cm="1">
        <f t="array" ref="I336">IFERROR(INDEX(ReferenceCard, MATCH(1, (INDEX(ReferenceCard,,1)=Table1[[#This Row],[SAP No]]) * (INDEX(ReferenceCard,,2)=Table1[[#This Row],[Mould No]]), 0), 4),)</f>
        <v>4</v>
      </c>
      <c r="J336" s="4" cm="1">
        <f t="array" ref="J336">IFERROR(INDEX(ReferenceCard, MATCH(1, (INDEX(ReferenceCard,,1)=Table1[[#This Row],[SAP No]]) * (INDEX(ReferenceCard,,2)=Table1[[#This Row],[Mould No]]), 0), 9),)</f>
        <v>49</v>
      </c>
      <c r="K336" s="4" cm="1">
        <f t="array" ref="K336">IFERROR(INDEX(ReferenceCard, MATCH(1, (INDEX(ReferenceCard,,1)=Table1[[#This Row],[SAP No]]) * (INDEX(ReferenceCard,,2)=Table1[[#This Row],[Mould No]]), 0), 7),)</f>
        <v>48</v>
      </c>
      <c r="L336">
        <v>0</v>
      </c>
      <c r="M336">
        <v>0</v>
      </c>
      <c r="N336">
        <v>0</v>
      </c>
      <c r="O336">
        <v>0</v>
      </c>
      <c r="P336">
        <f>Table1[[#This Row],[Shot]]*Table1[[#This Row],[Cav]]</f>
        <v>0</v>
      </c>
      <c r="Q336">
        <v>0</v>
      </c>
      <c r="R336">
        <f>(Table1[[#This Row],[Part Weight (gm)]]*Table1[[#This Row],[Finish Good]])/1000</f>
        <v>0</v>
      </c>
      <c r="S336">
        <v>0</v>
      </c>
      <c r="T336">
        <f>IF(Table1[[#This Row],[Qty Order]]="Sample","-",IF(Table1[[#This Row],[Qty Order]]="RTFN","-",Table1[[#This Row],[Qty Order]]-Table1[[#This Row],[Qty Accumulate]]))</f>
        <v>0</v>
      </c>
      <c r="U336">
        <f>((Table1[[#This Row],[Shift Output]]*Table1[[#This Row],[Part Weight (gm)]])/1000)+Table1[[#This Row],[Reject Startup (kg)]]+Table1[[#This Row],[Reject Purging (kg)]]+Table1[[#This Row],[Reject Preform (kg)]]</f>
        <v>0</v>
      </c>
      <c r="V336" s="37">
        <f>(Table1[[#This Row],[Gross Weight (gm)]]-Table1[[#This Row],[Part Weight (gm)]])*Table1[[#This Row],[Shift Output]]/1000</f>
        <v>0</v>
      </c>
      <c r="W336" s="3">
        <v>0</v>
      </c>
      <c r="X336" s="36" t="e">
        <f>Table1[[#This Row],[Reject Startup (kg)]]/Table1[[#This Row],[Material Used]]</f>
        <v>#DIV/0!</v>
      </c>
      <c r="Y336" s="3">
        <v>0</v>
      </c>
      <c r="Z336" s="36" t="e">
        <f>Table1[[#This Row],[Reject Prod (kg)]]/Table1[[#This Row],[Material Used]]</f>
        <v>#DIV/0!</v>
      </c>
      <c r="AA336" s="4">
        <v>0</v>
      </c>
      <c r="AB336" s="5">
        <v>0</v>
      </c>
      <c r="AC336" s="4" cm="1">
        <f t="array" ref="AC336">IFERROR(INDEX(ReferenceCard, MATCH(1, (INDEX(ReferenceCard,,1)=Table1[[#This Row],[SAP No]]) * (INDEX(ReferenceCard,,2)=Table1[[#This Row],[Mould No]]), 0), 9),)</f>
        <v>49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12</v>
      </c>
      <c r="AJ336" s="5">
        <v>0</v>
      </c>
      <c r="AL336" s="2"/>
      <c r="AM336" s="2"/>
      <c r="AN336" s="3">
        <v>0</v>
      </c>
      <c r="AO336" s="3">
        <v>0</v>
      </c>
      <c r="AP33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7" spans="1:42" x14ac:dyDescent="0.35">
      <c r="A337" s="1">
        <v>46012</v>
      </c>
      <c r="B337">
        <v>2</v>
      </c>
      <c r="C337" t="s">
        <v>23</v>
      </c>
      <c r="D337" t="str" cm="1">
        <f t="array" ref="D337">IFERROR(INDEX(ReferenceCard, MATCH(1, (INDEX(ReferenceCard,,1)=Table1[[#This Row],[SAP No]]) * (INDEX(ReferenceCard,,2)=Table1[[#This Row],[Mould No]]), 0), 6),)</f>
        <v>PPSB520Y</v>
      </c>
      <c r="E337">
        <v>586276</v>
      </c>
      <c r="F337">
        <v>2</v>
      </c>
      <c r="G337" t="str" cm="1">
        <f t="array" ref="G337">IFERROR(INDEX(ReferenceCard, MATCH(1, (INDEX(ReferenceCard,,1)=Table1[[#This Row],[SAP No]]) * (INDEX(ReferenceCard,,2)=Table1[[#This Row],[Mould No]]), 0), 3),)</f>
        <v>BC28-0056-D-APH-LEB-604001-MOLD2</v>
      </c>
      <c r="H337">
        <v>0</v>
      </c>
      <c r="I337" cm="1">
        <f t="array" ref="I337">IFERROR(INDEX(ReferenceCard, MATCH(1, (INDEX(ReferenceCard,,1)=Table1[[#This Row],[SAP No]]) * (INDEX(ReferenceCard,,2)=Table1[[#This Row],[Mould No]]), 0), 4),)</f>
        <v>6</v>
      </c>
      <c r="J337" s="4" cm="1">
        <f t="array" ref="J337">IFERROR(INDEX(ReferenceCard, MATCH(1, (INDEX(ReferenceCard,,1)=Table1[[#This Row],[SAP No]]) * (INDEX(ReferenceCard,,2)=Table1[[#This Row],[Mould No]]), 0), 9),)</f>
        <v>12.3</v>
      </c>
      <c r="K337" s="4" cm="1">
        <f t="array" ref="K337">IFERROR(INDEX(ReferenceCard, MATCH(1, (INDEX(ReferenceCard,,1)=Table1[[#This Row],[SAP No]]) * (INDEX(ReferenceCard,,2)=Table1[[#This Row],[Mould No]]), 0), 7),)</f>
        <v>12.3</v>
      </c>
      <c r="L337">
        <v>3371</v>
      </c>
      <c r="M337">
        <v>0</v>
      </c>
      <c r="N337">
        <v>0</v>
      </c>
      <c r="O337">
        <v>0</v>
      </c>
      <c r="P337">
        <f>Table1[[#This Row],[Shot]]*Table1[[#This Row],[Cav]]</f>
        <v>20226</v>
      </c>
      <c r="Q337">
        <v>0</v>
      </c>
      <c r="R337">
        <f>(Table1[[#This Row],[Part Weight (gm)]]*Table1[[#This Row],[Finish Good]])/1000</f>
        <v>0</v>
      </c>
      <c r="S337">
        <v>0</v>
      </c>
      <c r="T337">
        <f>IF(Table1[[#This Row],[Qty Order]]="Sample","-",IF(Table1[[#This Row],[Qty Order]]="RTFN","-",Table1[[#This Row],[Qty Order]]-Table1[[#This Row],[Qty Accumulate]]))</f>
        <v>0</v>
      </c>
      <c r="U337">
        <f>((Table1[[#This Row],[Shift Output]]*Table1[[#This Row],[Part Weight (gm)]])/1000)+Table1[[#This Row],[Reject Startup (kg)]]+Table1[[#This Row],[Reject Purging (kg)]]+Table1[[#This Row],[Reject Preform (kg)]]</f>
        <v>248.77980000000002</v>
      </c>
      <c r="V337" s="37">
        <f>(Table1[[#This Row],[Gross Weight (gm)]]-Table1[[#This Row],[Part Weight (gm)]])*Table1[[#This Row],[Shift Output]]/1000</f>
        <v>0</v>
      </c>
      <c r="W337" s="3">
        <v>0</v>
      </c>
      <c r="X337" s="36">
        <f>Table1[[#This Row],[Reject Startup (kg)]]/Table1[[#This Row],[Material Used]]</f>
        <v>0</v>
      </c>
      <c r="Y337" s="3">
        <v>0</v>
      </c>
      <c r="Z337" s="36">
        <f>Table1[[#This Row],[Reject Prod (kg)]]/Table1[[#This Row],[Material Used]]</f>
        <v>0</v>
      </c>
      <c r="AA337" s="4">
        <v>26.444755554199201</v>
      </c>
      <c r="AB337" s="5">
        <v>10.32</v>
      </c>
      <c r="AC337" s="4" cm="1">
        <f t="array" ref="AC337">IFERROR(INDEX(ReferenceCard, MATCH(1, (INDEX(ReferenceCard,,1)=Table1[[#This Row],[SAP No]]) * (INDEX(ReferenceCard,,2)=Table1[[#This Row],[Mould No]]), 0), 9),)</f>
        <v>12.3</v>
      </c>
      <c r="AD337" s="5">
        <v>0</v>
      </c>
      <c r="AE337" s="5">
        <v>0</v>
      </c>
      <c r="AF337" s="5">
        <v>0</v>
      </c>
      <c r="AG337" s="5">
        <v>0</v>
      </c>
      <c r="AH337" s="5">
        <v>1.6799999999999899</v>
      </c>
      <c r="AI337" s="5">
        <v>0</v>
      </c>
      <c r="AJ337" s="5">
        <v>0</v>
      </c>
      <c r="AL337" s="2"/>
      <c r="AM337" s="2"/>
      <c r="AN337" s="3">
        <v>0</v>
      </c>
      <c r="AO337" s="3">
        <v>0</v>
      </c>
      <c r="AP33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8" spans="1:42" x14ac:dyDescent="0.35">
      <c r="A338" s="1">
        <v>46012</v>
      </c>
      <c r="B338">
        <v>2</v>
      </c>
      <c r="C338" t="s">
        <v>25</v>
      </c>
      <c r="D338" t="str" cm="1">
        <f t="array" ref="D338">IFERROR(INDEX(ReferenceCard, MATCH(1, (INDEX(ReferenceCard,,1)=Table1[[#This Row],[SAP No]]) * (INDEX(ReferenceCard,,2)=Table1[[#This Row],[Mould No]]), 0), 6),)</f>
        <v>PET</v>
      </c>
      <c r="E338">
        <v>323133</v>
      </c>
      <c r="F338">
        <v>0</v>
      </c>
      <c r="G338" t="str" cm="1">
        <f t="array" ref="G338">IFERROR(INDEX(ReferenceCard, MATCH(1, (INDEX(ReferenceCard,,1)=Table1[[#This Row],[SAP No]]) * (INDEX(ReferenceCard,,2)=Table1[[#This Row],[Mould No]]), 0), 3),)</f>
        <v>BX38-2000-RH-R-CL(GREEN) (ASEM)</v>
      </c>
      <c r="H338">
        <v>0</v>
      </c>
      <c r="I338" cm="1">
        <f t="array" ref="I338">IFERROR(INDEX(ReferenceCard, MATCH(1, (INDEX(ReferenceCard,,1)=Table1[[#This Row],[SAP No]]) * (INDEX(ReferenceCard,,2)=Table1[[#This Row],[Mould No]]), 0), 4),)</f>
        <v>4</v>
      </c>
      <c r="J338" s="4" cm="1">
        <f t="array" ref="J338">IFERROR(INDEX(ReferenceCard, MATCH(1, (INDEX(ReferenceCard,,1)=Table1[[#This Row],[SAP No]]) * (INDEX(ReferenceCard,,2)=Table1[[#This Row],[Mould No]]), 0), 9),)</f>
        <v>77</v>
      </c>
      <c r="K338" s="4" cm="1">
        <f t="array" ref="K338">IFERROR(INDEX(ReferenceCard, MATCH(1, (INDEX(ReferenceCard,,1)=Table1[[#This Row],[SAP No]]) * (INDEX(ReferenceCard,,2)=Table1[[#This Row],[Mould No]]), 0), 7),)</f>
        <v>77</v>
      </c>
      <c r="L338">
        <v>0</v>
      </c>
      <c r="M338">
        <v>0</v>
      </c>
      <c r="N338">
        <v>0</v>
      </c>
      <c r="O338">
        <v>0</v>
      </c>
      <c r="P338">
        <f>Table1[[#This Row],[Shot]]*Table1[[#This Row],[Cav]]</f>
        <v>0</v>
      </c>
      <c r="Q338">
        <v>0</v>
      </c>
      <c r="R338">
        <f>(Table1[[#This Row],[Part Weight (gm)]]*Table1[[#This Row],[Finish Good]])/1000</f>
        <v>0</v>
      </c>
      <c r="S338">
        <v>0</v>
      </c>
      <c r="T338">
        <f>IF(Table1[[#This Row],[Qty Order]]="Sample","-",IF(Table1[[#This Row],[Qty Order]]="RTFN","-",Table1[[#This Row],[Qty Order]]-Table1[[#This Row],[Qty Accumulate]]))</f>
        <v>0</v>
      </c>
      <c r="U338">
        <f>((Table1[[#This Row],[Shift Output]]*Table1[[#This Row],[Part Weight (gm)]])/1000)+Table1[[#This Row],[Reject Startup (kg)]]+Table1[[#This Row],[Reject Purging (kg)]]+Table1[[#This Row],[Reject Preform (kg)]]</f>
        <v>0</v>
      </c>
      <c r="V338" s="37">
        <f>(Table1[[#This Row],[Gross Weight (gm)]]-Table1[[#This Row],[Part Weight (gm)]])*Table1[[#This Row],[Shift Output]]/1000</f>
        <v>0</v>
      </c>
      <c r="W338" s="3">
        <v>0</v>
      </c>
      <c r="X338" s="36" t="e">
        <f>Table1[[#This Row],[Reject Startup (kg)]]/Table1[[#This Row],[Material Used]]</f>
        <v>#DIV/0!</v>
      </c>
      <c r="Y338" s="3">
        <v>0</v>
      </c>
      <c r="Z338" s="36" t="e">
        <f>Table1[[#This Row],[Reject Prod (kg)]]/Table1[[#This Row],[Material Used]]</f>
        <v>#DIV/0!</v>
      </c>
      <c r="AA338" s="4">
        <v>0</v>
      </c>
      <c r="AB338" s="5">
        <v>0</v>
      </c>
      <c r="AC338" s="4" cm="1">
        <f t="array" ref="AC338">IFERROR(INDEX(ReferenceCard, MATCH(1, (INDEX(ReferenceCard,,1)=Table1[[#This Row],[SAP No]]) * (INDEX(ReferenceCard,,2)=Table1[[#This Row],[Mould No]]), 0), 9),)</f>
        <v>77</v>
      </c>
      <c r="AD338" s="5">
        <v>0</v>
      </c>
      <c r="AE338" s="5">
        <v>0</v>
      </c>
      <c r="AF338" s="5">
        <v>0</v>
      </c>
      <c r="AG338" s="5">
        <v>12</v>
      </c>
      <c r="AH338" s="5">
        <v>0</v>
      </c>
      <c r="AI338" s="5">
        <v>0</v>
      </c>
      <c r="AJ338" s="5">
        <v>0</v>
      </c>
      <c r="AK338" t="s">
        <v>79</v>
      </c>
      <c r="AL338" s="2"/>
      <c r="AM338" s="2"/>
      <c r="AN338" s="3">
        <v>0</v>
      </c>
      <c r="AO338" s="3">
        <v>0</v>
      </c>
      <c r="AP33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39" spans="1:42" x14ac:dyDescent="0.35">
      <c r="A339" s="1">
        <v>46012</v>
      </c>
      <c r="B339">
        <v>2</v>
      </c>
      <c r="C339" t="s">
        <v>27</v>
      </c>
      <c r="D339" t="str" cm="1">
        <f t="array" ref="D339">IFERROR(INDEX(ReferenceCard, MATCH(1, (INDEX(ReferenceCard,,1)=Table1[[#This Row],[SAP No]]) * (INDEX(ReferenceCard,,2)=Table1[[#This Row],[Mould No]]), 0), 6),)</f>
        <v>PPSB520Y</v>
      </c>
      <c r="E339">
        <v>552181</v>
      </c>
      <c r="F339">
        <v>4</v>
      </c>
      <c r="G339" t="str" cm="1">
        <f t="array" ref="G339">IFERROR(INDEX(ReferenceCard, MATCH(1, (INDEX(ReferenceCard,,1)=Table1[[#This Row],[SAP No]]) * (INDEX(ReferenceCard,,2)=Table1[[#This Row],[Mould No]]), 0), 3),)</f>
        <v>BC28-0090-D-APH-5180-3538-PP-6 NOTCHES-MOLD4</v>
      </c>
      <c r="H339">
        <v>0</v>
      </c>
      <c r="I339" cm="1">
        <f t="array" ref="I339">IFERROR(INDEX(ReferenceCard, MATCH(1, (INDEX(ReferenceCard,,1)=Table1[[#This Row],[SAP No]]) * (INDEX(ReferenceCard,,2)=Table1[[#This Row],[Mould No]]), 0), 4),)</f>
        <v>6</v>
      </c>
      <c r="J339" s="4" cm="1">
        <f t="array" ref="J339">IFERROR(INDEX(ReferenceCard, MATCH(1, (INDEX(ReferenceCard,,1)=Table1[[#This Row],[SAP No]]) * (INDEX(ReferenceCard,,2)=Table1[[#This Row],[Mould No]]), 0), 9),)</f>
        <v>18.8</v>
      </c>
      <c r="K339" s="4" cm="1">
        <f t="array" ref="K339">IFERROR(INDEX(ReferenceCard, MATCH(1, (INDEX(ReferenceCard,,1)=Table1[[#This Row],[SAP No]]) * (INDEX(ReferenceCard,,2)=Table1[[#This Row],[Mould No]]), 0), 7),)</f>
        <v>18.8</v>
      </c>
      <c r="L339">
        <v>0</v>
      </c>
      <c r="M339">
        <v>0</v>
      </c>
      <c r="N339">
        <v>0</v>
      </c>
      <c r="O339">
        <v>0</v>
      </c>
      <c r="P339">
        <f>Table1[[#This Row],[Shot]]*Table1[[#This Row],[Cav]]</f>
        <v>0</v>
      </c>
      <c r="Q339">
        <v>0</v>
      </c>
      <c r="R339">
        <f>(Table1[[#This Row],[Part Weight (gm)]]*Table1[[#This Row],[Finish Good]])/1000</f>
        <v>0</v>
      </c>
      <c r="S339">
        <v>0</v>
      </c>
      <c r="T339">
        <f>IF(Table1[[#This Row],[Qty Order]]="Sample","-",IF(Table1[[#This Row],[Qty Order]]="RTFN","-",Table1[[#This Row],[Qty Order]]-Table1[[#This Row],[Qty Accumulate]]))</f>
        <v>0</v>
      </c>
      <c r="U339">
        <f>((Table1[[#This Row],[Shift Output]]*Table1[[#This Row],[Part Weight (gm)]])/1000)+Table1[[#This Row],[Reject Startup (kg)]]+Table1[[#This Row],[Reject Purging (kg)]]+Table1[[#This Row],[Reject Preform (kg)]]</f>
        <v>0</v>
      </c>
      <c r="V339" s="37">
        <f>(Table1[[#This Row],[Gross Weight (gm)]]-Table1[[#This Row],[Part Weight (gm)]])*Table1[[#This Row],[Shift Output]]/1000</f>
        <v>0</v>
      </c>
      <c r="W339" s="3">
        <v>0</v>
      </c>
      <c r="X339" s="36" t="e">
        <f>Table1[[#This Row],[Reject Startup (kg)]]/Table1[[#This Row],[Material Used]]</f>
        <v>#DIV/0!</v>
      </c>
      <c r="Y339" s="3">
        <v>0</v>
      </c>
      <c r="Z339" s="36" t="e">
        <f>Table1[[#This Row],[Reject Prod (kg)]]/Table1[[#This Row],[Material Used]]</f>
        <v>#DIV/0!</v>
      </c>
      <c r="AA339" s="4">
        <v>0</v>
      </c>
      <c r="AB339" s="5">
        <v>0</v>
      </c>
      <c r="AC339" s="4" cm="1">
        <f t="array" ref="AC339">IFERROR(INDEX(ReferenceCard, MATCH(1, (INDEX(ReferenceCard,,1)=Table1[[#This Row],[SAP No]]) * (INDEX(ReferenceCard,,2)=Table1[[#This Row],[Mould No]]), 0), 9),)</f>
        <v>18.8</v>
      </c>
      <c r="AD339" s="5">
        <v>0</v>
      </c>
      <c r="AE339" s="5">
        <v>0</v>
      </c>
      <c r="AF339" s="5">
        <v>0</v>
      </c>
      <c r="AG339" s="5">
        <v>12</v>
      </c>
      <c r="AH339" s="5">
        <v>0</v>
      </c>
      <c r="AI339" s="5">
        <v>0</v>
      </c>
      <c r="AJ339" s="5">
        <v>0</v>
      </c>
      <c r="AK339" t="s">
        <v>80</v>
      </c>
      <c r="AL339" s="2"/>
      <c r="AM339" s="2"/>
      <c r="AN339" s="3">
        <v>0</v>
      </c>
      <c r="AO339" s="3">
        <v>0</v>
      </c>
      <c r="AP33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0" spans="1:42" x14ac:dyDescent="0.35">
      <c r="A340" s="1">
        <v>46012</v>
      </c>
      <c r="B340">
        <v>2</v>
      </c>
      <c r="C340" t="s">
        <v>29</v>
      </c>
      <c r="D340" t="str" cm="1">
        <f t="array" ref="D340">IFERROR(INDEX(ReferenceCard, MATCH(1, (INDEX(ReferenceCard,,1)=Table1[[#This Row],[SAP No]]) * (INDEX(ReferenceCard,,2)=Table1[[#This Row],[Mould No]]), 0), 6),)</f>
        <v>PET</v>
      </c>
      <c r="E340">
        <v>620599</v>
      </c>
      <c r="F340">
        <v>0</v>
      </c>
      <c r="G340" t="str" cm="1">
        <f t="array" ref="G340">IFERROR(INDEX(ReferenceCard, MATCH(1, (INDEX(ReferenceCard,,1)=Table1[[#This Row],[SAP No]]) * (INDEX(ReferenceCard,,2)=Table1[[#This Row],[Mould No]]), 0), 3),)</f>
        <v>BC28-0750-K4-R-CL (55g)</v>
      </c>
      <c r="H340">
        <v>0</v>
      </c>
      <c r="I340" cm="1">
        <f t="array" ref="I340">IFERROR(INDEX(ReferenceCard, MATCH(1, (INDEX(ReferenceCard,,1)=Table1[[#This Row],[SAP No]]) * (INDEX(ReferenceCard,,2)=Table1[[#This Row],[Mould No]]), 0), 4),)</f>
        <v>4</v>
      </c>
      <c r="J340" s="4" cm="1">
        <f t="array" ref="J340">IFERROR(INDEX(ReferenceCard, MATCH(1, (INDEX(ReferenceCard,,1)=Table1[[#This Row],[SAP No]]) * (INDEX(ReferenceCard,,2)=Table1[[#This Row],[Mould No]]), 0), 9),)</f>
        <v>55</v>
      </c>
      <c r="K340" s="4" cm="1">
        <f t="array" ref="K340">IFERROR(INDEX(ReferenceCard, MATCH(1, (INDEX(ReferenceCard,,1)=Table1[[#This Row],[SAP No]]) * (INDEX(ReferenceCard,,2)=Table1[[#This Row],[Mould No]]), 0), 7),)</f>
        <v>55</v>
      </c>
      <c r="L340">
        <v>0</v>
      </c>
      <c r="M340">
        <v>0</v>
      </c>
      <c r="N340">
        <v>0</v>
      </c>
      <c r="O340">
        <v>0</v>
      </c>
      <c r="P340">
        <f>Table1[[#This Row],[Shot]]*Table1[[#This Row],[Cav]]</f>
        <v>0</v>
      </c>
      <c r="Q340">
        <v>0</v>
      </c>
      <c r="R340">
        <f>(Table1[[#This Row],[Part Weight (gm)]]*Table1[[#This Row],[Finish Good]])/1000</f>
        <v>0</v>
      </c>
      <c r="S340">
        <v>0</v>
      </c>
      <c r="T340">
        <f>IF(Table1[[#This Row],[Qty Order]]="Sample","-",IF(Table1[[#This Row],[Qty Order]]="RTFN","-",Table1[[#This Row],[Qty Order]]-Table1[[#This Row],[Qty Accumulate]]))</f>
        <v>0</v>
      </c>
      <c r="U340">
        <f>((Table1[[#This Row],[Shift Output]]*Table1[[#This Row],[Part Weight (gm)]])/1000)+Table1[[#This Row],[Reject Startup (kg)]]+Table1[[#This Row],[Reject Purging (kg)]]+Table1[[#This Row],[Reject Preform (kg)]]</f>
        <v>0</v>
      </c>
      <c r="V340" s="37">
        <f>(Table1[[#This Row],[Gross Weight (gm)]]-Table1[[#This Row],[Part Weight (gm)]])*Table1[[#This Row],[Shift Output]]/1000</f>
        <v>0</v>
      </c>
      <c r="W340" s="3">
        <v>0</v>
      </c>
      <c r="X340" s="36" t="e">
        <f>Table1[[#This Row],[Reject Startup (kg)]]/Table1[[#This Row],[Material Used]]</f>
        <v>#DIV/0!</v>
      </c>
      <c r="Y340" s="3">
        <v>0</v>
      </c>
      <c r="Z340" s="36" t="e">
        <f>Table1[[#This Row],[Reject Prod (kg)]]/Table1[[#This Row],[Material Used]]</f>
        <v>#DIV/0!</v>
      </c>
      <c r="AA340" s="4">
        <v>0</v>
      </c>
      <c r="AB340" s="5">
        <v>0</v>
      </c>
      <c r="AC340" s="4" cm="1">
        <f t="array" ref="AC340">IFERROR(INDEX(ReferenceCard, MATCH(1, (INDEX(ReferenceCard,,1)=Table1[[#This Row],[SAP No]]) * (INDEX(ReferenceCard,,2)=Table1[[#This Row],[Mould No]]), 0), 9),)</f>
        <v>55</v>
      </c>
      <c r="AD340" s="5">
        <v>0</v>
      </c>
      <c r="AE340" s="5">
        <v>0</v>
      </c>
      <c r="AF340" s="5">
        <v>0</v>
      </c>
      <c r="AG340" s="5">
        <v>0</v>
      </c>
      <c r="AH340" s="5">
        <v>12</v>
      </c>
      <c r="AI340" s="5">
        <v>0</v>
      </c>
      <c r="AJ340" s="5">
        <v>0</v>
      </c>
      <c r="AL340" s="2"/>
      <c r="AM340" s="2"/>
      <c r="AN340" s="3">
        <v>0</v>
      </c>
      <c r="AO340" s="3">
        <v>0</v>
      </c>
      <c r="AP34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1" spans="1:42" x14ac:dyDescent="0.35">
      <c r="A341" s="1">
        <v>46012</v>
      </c>
      <c r="B341">
        <v>2</v>
      </c>
      <c r="C341" t="s">
        <v>31</v>
      </c>
      <c r="D341" t="str" cm="1">
        <f t="array" ref="D341">IFERROR(INDEX(ReferenceCard, MATCH(1, (INDEX(ReferenceCard,,1)=Table1[[#This Row],[SAP No]]) * (INDEX(ReferenceCard,,2)=Table1[[#This Row],[Mould No]]), 0), 6),)</f>
        <v>PPSB520Y</v>
      </c>
      <c r="E341">
        <v>586276</v>
      </c>
      <c r="F341">
        <v>4</v>
      </c>
      <c r="G341" t="str" cm="1">
        <f t="array" ref="G341">IFERROR(INDEX(ReferenceCard, MATCH(1, (INDEX(ReferenceCard,,1)=Table1[[#This Row],[SAP No]]) * (INDEX(ReferenceCard,,2)=Table1[[#This Row],[Mould No]]), 0), 3),)</f>
        <v>BC28-0056-D-APH-LEB-604001-MOLD4</v>
      </c>
      <c r="H341">
        <v>0</v>
      </c>
      <c r="I341" cm="1">
        <f t="array" ref="I341">IFERROR(INDEX(ReferenceCard, MATCH(1, (INDEX(ReferenceCard,,1)=Table1[[#This Row],[SAP No]]) * (INDEX(ReferenceCard,,2)=Table1[[#This Row],[Mould No]]), 0), 4),)</f>
        <v>6</v>
      </c>
      <c r="J341" s="4" cm="1">
        <f t="array" ref="J341">IFERROR(INDEX(ReferenceCard, MATCH(1, (INDEX(ReferenceCard,,1)=Table1[[#This Row],[SAP No]]) * (INDEX(ReferenceCard,,2)=Table1[[#This Row],[Mould No]]), 0), 9),)</f>
        <v>12.3</v>
      </c>
      <c r="K341" s="4" cm="1">
        <f t="array" ref="K341">IFERROR(INDEX(ReferenceCard, MATCH(1, (INDEX(ReferenceCard,,1)=Table1[[#This Row],[SAP No]]) * (INDEX(ReferenceCard,,2)=Table1[[#This Row],[Mould No]]), 0), 7),)</f>
        <v>12.3</v>
      </c>
      <c r="L341">
        <v>2380</v>
      </c>
      <c r="M341">
        <v>0</v>
      </c>
      <c r="N341">
        <v>0</v>
      </c>
      <c r="O341">
        <v>0</v>
      </c>
      <c r="P341">
        <f>Table1[[#This Row],[Shot]]*Table1[[#This Row],[Cav]]</f>
        <v>14280</v>
      </c>
      <c r="Q341">
        <v>0</v>
      </c>
      <c r="R341">
        <f>(Table1[[#This Row],[Part Weight (gm)]]*Table1[[#This Row],[Finish Good]])/1000</f>
        <v>0</v>
      </c>
      <c r="S341">
        <v>0</v>
      </c>
      <c r="T341">
        <f>IF(Table1[[#This Row],[Qty Order]]="Sample","-",IF(Table1[[#This Row],[Qty Order]]="RTFN","-",Table1[[#This Row],[Qty Order]]-Table1[[#This Row],[Qty Accumulate]]))</f>
        <v>0</v>
      </c>
      <c r="U341">
        <f>((Table1[[#This Row],[Shift Output]]*Table1[[#This Row],[Part Weight (gm)]])/1000)+Table1[[#This Row],[Reject Startup (kg)]]+Table1[[#This Row],[Reject Purging (kg)]]+Table1[[#This Row],[Reject Preform (kg)]]</f>
        <v>175.64400000000001</v>
      </c>
      <c r="V341" s="37">
        <f>(Table1[[#This Row],[Gross Weight (gm)]]-Table1[[#This Row],[Part Weight (gm)]])*Table1[[#This Row],[Shift Output]]/1000</f>
        <v>0</v>
      </c>
      <c r="W341" s="3">
        <v>0</v>
      </c>
      <c r="X341" s="36">
        <f>Table1[[#This Row],[Reject Startup (kg)]]/Table1[[#This Row],[Material Used]]</f>
        <v>0</v>
      </c>
      <c r="Y341" s="3">
        <v>0</v>
      </c>
      <c r="Z341" s="36">
        <f>Table1[[#This Row],[Reject Prod (kg)]]/Table1[[#This Row],[Material Used]]</f>
        <v>0</v>
      </c>
      <c r="AA341" s="4">
        <v>26.130064010620099</v>
      </c>
      <c r="AB341" s="5">
        <v>11.97</v>
      </c>
      <c r="AC341" s="4" cm="1">
        <f t="array" ref="AC341">IFERROR(INDEX(ReferenceCard, MATCH(1, (INDEX(ReferenceCard,,1)=Table1[[#This Row],[SAP No]]) * (INDEX(ReferenceCard,,2)=Table1[[#This Row],[Mould No]]), 0), 9),)</f>
        <v>12.3</v>
      </c>
      <c r="AD341" s="5">
        <v>0</v>
      </c>
      <c r="AE341" s="5">
        <v>0</v>
      </c>
      <c r="AF341" s="5">
        <v>0</v>
      </c>
      <c r="AG341" s="5">
        <v>0</v>
      </c>
      <c r="AH341" s="5">
        <v>2.9999999999999898E-2</v>
      </c>
      <c r="AI341" s="5">
        <v>0</v>
      </c>
      <c r="AJ341" s="5">
        <v>0</v>
      </c>
      <c r="AL341" s="2"/>
      <c r="AM341" s="2"/>
      <c r="AN341" s="3">
        <v>0</v>
      </c>
      <c r="AO341" s="3">
        <v>0</v>
      </c>
      <c r="AP34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2" spans="1:42" x14ac:dyDescent="0.35">
      <c r="A342" s="1">
        <v>46012</v>
      </c>
      <c r="B342">
        <v>2</v>
      </c>
      <c r="C342" t="s">
        <v>33</v>
      </c>
      <c r="D342" t="str" cm="1">
        <f t="array" ref="D342">IFERROR(INDEX(ReferenceCard, MATCH(1, (INDEX(ReferenceCard,,1)=Table1[[#This Row],[SAP No]]) * (INDEX(ReferenceCard,,2)=Table1[[#This Row],[Mould No]]), 0), 6),)</f>
        <v>PET</v>
      </c>
      <c r="E342">
        <v>541381</v>
      </c>
      <c r="F342">
        <v>0</v>
      </c>
      <c r="G342" t="str" cm="1">
        <f t="array" ref="G342">IFERROR(INDEX(ReferenceCard, MATCH(1, (INDEX(ReferenceCard,,1)=Table1[[#This Row],[SAP No]]) * (INDEX(ReferenceCard,,2)=Table1[[#This Row],[Mould No]]), 0), 3),)</f>
        <v>BC28-1200-K-R-CL</v>
      </c>
      <c r="H342">
        <v>0</v>
      </c>
      <c r="I342" cm="1">
        <f t="array" ref="I342">IFERROR(INDEX(ReferenceCard, MATCH(1, (INDEX(ReferenceCard,,1)=Table1[[#This Row],[SAP No]]) * (INDEX(ReferenceCard,,2)=Table1[[#This Row],[Mould No]]), 0), 4),)</f>
        <v>4</v>
      </c>
      <c r="J342" s="4" cm="1">
        <f t="array" ref="J342">IFERROR(INDEX(ReferenceCard, MATCH(1, (INDEX(ReferenceCard,,1)=Table1[[#This Row],[SAP No]]) * (INDEX(ReferenceCard,,2)=Table1[[#This Row],[Mould No]]), 0), 9),)</f>
        <v>55</v>
      </c>
      <c r="K342" s="4" cm="1">
        <f t="array" ref="K342">IFERROR(INDEX(ReferenceCard, MATCH(1, (INDEX(ReferenceCard,,1)=Table1[[#This Row],[SAP No]]) * (INDEX(ReferenceCard,,2)=Table1[[#This Row],[Mould No]]), 0), 7),)</f>
        <v>55</v>
      </c>
      <c r="L342">
        <v>1012</v>
      </c>
      <c r="M342">
        <v>0</v>
      </c>
      <c r="N342">
        <v>0</v>
      </c>
      <c r="O342">
        <v>0</v>
      </c>
      <c r="P342">
        <f>Table1[[#This Row],[Shot]]*Table1[[#This Row],[Cav]]</f>
        <v>4048</v>
      </c>
      <c r="Q342">
        <v>0</v>
      </c>
      <c r="R342">
        <f>(Table1[[#This Row],[Part Weight (gm)]]*Table1[[#This Row],[Finish Good]])/1000</f>
        <v>0</v>
      </c>
      <c r="S342">
        <v>0</v>
      </c>
      <c r="T342">
        <f>IF(Table1[[#This Row],[Qty Order]]="Sample","-",IF(Table1[[#This Row],[Qty Order]]="RTFN","-",Table1[[#This Row],[Qty Order]]-Table1[[#This Row],[Qty Accumulate]]))</f>
        <v>0</v>
      </c>
      <c r="U342">
        <f>((Table1[[#This Row],[Shift Output]]*Table1[[#This Row],[Part Weight (gm)]])/1000)+Table1[[#This Row],[Reject Startup (kg)]]+Table1[[#This Row],[Reject Purging (kg)]]+Table1[[#This Row],[Reject Preform (kg)]]</f>
        <v>222.64</v>
      </c>
      <c r="V342" s="37">
        <f>(Table1[[#This Row],[Gross Weight (gm)]]-Table1[[#This Row],[Part Weight (gm)]])*Table1[[#This Row],[Shift Output]]/1000</f>
        <v>0</v>
      </c>
      <c r="W342" s="3">
        <v>0</v>
      </c>
      <c r="X342" s="36">
        <f>Table1[[#This Row],[Reject Startup (kg)]]/Table1[[#This Row],[Material Used]]</f>
        <v>0</v>
      </c>
      <c r="Y342" s="3">
        <v>0</v>
      </c>
      <c r="Z342" s="36">
        <f>Table1[[#This Row],[Reject Prod (kg)]]/Table1[[#This Row],[Material Used]]</f>
        <v>0</v>
      </c>
      <c r="AA342" s="4">
        <v>42.6877632141113</v>
      </c>
      <c r="AB342" s="5">
        <v>12</v>
      </c>
      <c r="AC342" s="4" cm="1">
        <f t="array" ref="AC342">IFERROR(INDEX(ReferenceCard, MATCH(1, (INDEX(ReferenceCard,,1)=Table1[[#This Row],[SAP No]]) * (INDEX(ReferenceCard,,2)=Table1[[#This Row],[Mould No]]), 0), 9),)</f>
        <v>55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L342" s="2"/>
      <c r="AM342" s="2"/>
      <c r="AN342" s="3">
        <v>0</v>
      </c>
      <c r="AO342" s="3">
        <v>0</v>
      </c>
      <c r="AP34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3" spans="1:42" x14ac:dyDescent="0.35">
      <c r="A343" s="1">
        <v>46012</v>
      </c>
      <c r="B343">
        <v>2</v>
      </c>
      <c r="C343" t="s">
        <v>35</v>
      </c>
      <c r="D343" t="str" cm="1">
        <f t="array" ref="D343">IFERROR(INDEX(ReferenceCard, MATCH(1, (INDEX(ReferenceCard,,1)=Table1[[#This Row],[SAP No]]) * (INDEX(ReferenceCard,,2)=Table1[[#This Row],[Mould No]]), 0), 6),)</f>
        <v>PPSB520Y</v>
      </c>
      <c r="E343">
        <v>552181</v>
      </c>
      <c r="F343">
        <v>1</v>
      </c>
      <c r="G343" t="str" cm="1">
        <f t="array" ref="G343">IFERROR(INDEX(ReferenceCard, MATCH(1, (INDEX(ReferenceCard,,1)=Table1[[#This Row],[SAP No]]) * (INDEX(ReferenceCard,,2)=Table1[[#This Row],[Mould No]]), 0), 3),)</f>
        <v>BC28-0090-D-APH-5180-3538-PP-6 NOTCHES-MOLD1</v>
      </c>
      <c r="H343">
        <v>0</v>
      </c>
      <c r="I343" cm="1">
        <f t="array" ref="I343">IFERROR(INDEX(ReferenceCard, MATCH(1, (INDEX(ReferenceCard,,1)=Table1[[#This Row],[SAP No]]) * (INDEX(ReferenceCard,,2)=Table1[[#This Row],[Mould No]]), 0), 4),)</f>
        <v>6</v>
      </c>
      <c r="J343" s="4" cm="1">
        <f t="array" ref="J343">IFERROR(INDEX(ReferenceCard, MATCH(1, (INDEX(ReferenceCard,,1)=Table1[[#This Row],[SAP No]]) * (INDEX(ReferenceCard,,2)=Table1[[#This Row],[Mould No]]), 0), 9),)</f>
        <v>18.8</v>
      </c>
      <c r="K343" s="4" cm="1">
        <f t="array" ref="K343">IFERROR(INDEX(ReferenceCard, MATCH(1, (INDEX(ReferenceCard,,1)=Table1[[#This Row],[SAP No]]) * (INDEX(ReferenceCard,,2)=Table1[[#This Row],[Mould No]]), 0), 7),)</f>
        <v>18.8</v>
      </c>
      <c r="L343">
        <v>6599</v>
      </c>
      <c r="M343">
        <v>0</v>
      </c>
      <c r="N343">
        <v>0</v>
      </c>
      <c r="O343">
        <v>0</v>
      </c>
      <c r="P343">
        <f>Table1[[#This Row],[Shot]]*Table1[[#This Row],[Cav]]</f>
        <v>39594</v>
      </c>
      <c r="Q343">
        <v>0</v>
      </c>
      <c r="R343">
        <f>(Table1[[#This Row],[Part Weight (gm)]]*Table1[[#This Row],[Finish Good]])/1000</f>
        <v>0</v>
      </c>
      <c r="S343">
        <v>0</v>
      </c>
      <c r="T343">
        <f>IF(Table1[[#This Row],[Qty Order]]="Sample","-",IF(Table1[[#This Row],[Qty Order]]="RTFN","-",Table1[[#This Row],[Qty Order]]-Table1[[#This Row],[Qty Accumulate]]))</f>
        <v>0</v>
      </c>
      <c r="U343">
        <f>((Table1[[#This Row],[Shift Output]]*Table1[[#This Row],[Part Weight (gm)]])/1000)+Table1[[#This Row],[Reject Startup (kg)]]+Table1[[#This Row],[Reject Purging (kg)]]+Table1[[#This Row],[Reject Preform (kg)]]</f>
        <v>744.36720000000003</v>
      </c>
      <c r="V343" s="37">
        <f>(Table1[[#This Row],[Gross Weight (gm)]]-Table1[[#This Row],[Part Weight (gm)]])*Table1[[#This Row],[Shift Output]]/1000</f>
        <v>0</v>
      </c>
      <c r="W343" s="3">
        <v>0</v>
      </c>
      <c r="X343" s="36">
        <f>Table1[[#This Row],[Reject Startup (kg)]]/Table1[[#This Row],[Material Used]]</f>
        <v>0</v>
      </c>
      <c r="Y343" s="3">
        <v>0</v>
      </c>
      <c r="Z343" s="36">
        <f>Table1[[#This Row],[Reject Prod (kg)]]/Table1[[#This Row],[Material Used]]</f>
        <v>0</v>
      </c>
      <c r="AA343" s="4">
        <v>33.733409881591697</v>
      </c>
      <c r="AB343" s="5">
        <v>10.34</v>
      </c>
      <c r="AC343" s="4" cm="1">
        <f t="array" ref="AC343">IFERROR(INDEX(ReferenceCard, MATCH(1, (INDEX(ReferenceCard,,1)=Table1[[#This Row],[SAP No]]) * (INDEX(ReferenceCard,,2)=Table1[[#This Row],[Mould No]]), 0), 9),)</f>
        <v>18.8</v>
      </c>
      <c r="AD343" s="5">
        <v>0</v>
      </c>
      <c r="AE343" s="5">
        <v>0</v>
      </c>
      <c r="AF343" s="5">
        <v>0</v>
      </c>
      <c r="AG343" s="5">
        <v>0</v>
      </c>
      <c r="AH343" s="5">
        <v>1.6599999999999899</v>
      </c>
      <c r="AI343" s="5">
        <v>0</v>
      </c>
      <c r="AJ343" s="5">
        <v>0</v>
      </c>
      <c r="AL343" s="2"/>
      <c r="AM343" s="2"/>
      <c r="AN343" s="3">
        <v>0</v>
      </c>
      <c r="AO343" s="3">
        <v>0</v>
      </c>
      <c r="AP34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4" spans="1:42" x14ac:dyDescent="0.35">
      <c r="A344" s="1">
        <v>46012</v>
      </c>
      <c r="B344">
        <v>2</v>
      </c>
      <c r="C344" t="s">
        <v>18</v>
      </c>
      <c r="D344" t="str" cm="1">
        <f t="array" ref="D344">IFERROR(INDEX(ReferenceCard, MATCH(1, (INDEX(ReferenceCard,,1)=Table1[[#This Row],[SAP No]]) * (INDEX(ReferenceCard,,2)=Table1[[#This Row],[Mould No]]), 0), 6),)</f>
        <v>PPSB520Y</v>
      </c>
      <c r="E344">
        <v>555979</v>
      </c>
      <c r="F344">
        <v>4</v>
      </c>
      <c r="G344" t="str" cm="1">
        <f t="array" ref="G344">IFERROR(INDEX(ReferenceCard, MATCH(1, (INDEX(ReferenceCard,,1)=Table1[[#This Row],[SAP No]]) * (INDEX(ReferenceCard,,2)=Table1[[#This Row],[Mould No]]), 0), 3),)</f>
        <v>BC28-0170-D-APH-5180-3539-PP-6 NOTCHES-MOLD4</v>
      </c>
      <c r="H344">
        <v>0</v>
      </c>
      <c r="I344" cm="1">
        <f t="array" ref="I344">IFERROR(INDEX(ReferenceCard, MATCH(1, (INDEX(ReferenceCard,,1)=Table1[[#This Row],[SAP No]]) * (INDEX(ReferenceCard,,2)=Table1[[#This Row],[Mould No]]), 0), 4),)</f>
        <v>6</v>
      </c>
      <c r="J344" s="4" cm="1">
        <f t="array" ref="J344">IFERROR(INDEX(ReferenceCard, MATCH(1, (INDEX(ReferenceCard,,1)=Table1[[#This Row],[SAP No]]) * (INDEX(ReferenceCard,,2)=Table1[[#This Row],[Mould No]]), 0), 9),)</f>
        <v>28</v>
      </c>
      <c r="K344" s="4" cm="1">
        <f t="array" ref="K344">IFERROR(INDEX(ReferenceCard, MATCH(1, (INDEX(ReferenceCard,,1)=Table1[[#This Row],[SAP No]]) * (INDEX(ReferenceCard,,2)=Table1[[#This Row],[Mould No]]), 0), 7),)</f>
        <v>28</v>
      </c>
      <c r="L344">
        <v>960</v>
      </c>
      <c r="M344">
        <v>0</v>
      </c>
      <c r="N344">
        <v>0</v>
      </c>
      <c r="O344">
        <v>0</v>
      </c>
      <c r="P344">
        <f>Table1[[#This Row],[Shot]]*Table1[[#This Row],[Cav]]</f>
        <v>5760</v>
      </c>
      <c r="Q344">
        <v>0</v>
      </c>
      <c r="R344">
        <f>(Table1[[#This Row],[Part Weight (gm)]]*Table1[[#This Row],[Finish Good]])/1000</f>
        <v>0</v>
      </c>
      <c r="S344">
        <v>0</v>
      </c>
      <c r="T344">
        <f>IF(Table1[[#This Row],[Qty Order]]="Sample","-",IF(Table1[[#This Row],[Qty Order]]="RTFN","-",Table1[[#This Row],[Qty Order]]-Table1[[#This Row],[Qty Accumulate]]))</f>
        <v>0</v>
      </c>
      <c r="U344">
        <f>((Table1[[#This Row],[Shift Output]]*Table1[[#This Row],[Part Weight (gm)]])/1000)+Table1[[#This Row],[Reject Startup (kg)]]+Table1[[#This Row],[Reject Purging (kg)]]+Table1[[#This Row],[Reject Preform (kg)]]</f>
        <v>161.28</v>
      </c>
      <c r="V344" s="37">
        <f>(Table1[[#This Row],[Gross Weight (gm)]]-Table1[[#This Row],[Part Weight (gm)]])*Table1[[#This Row],[Shift Output]]/1000</f>
        <v>0</v>
      </c>
      <c r="W344" s="3">
        <v>0</v>
      </c>
      <c r="X344" s="36">
        <f>Table1[[#This Row],[Reject Startup (kg)]]/Table1[[#This Row],[Material Used]]</f>
        <v>0</v>
      </c>
      <c r="Y344" s="3">
        <v>0</v>
      </c>
      <c r="Z344" s="36">
        <f>Table1[[#This Row],[Reject Prod (kg)]]/Table1[[#This Row],[Material Used]]</f>
        <v>0</v>
      </c>
      <c r="AA344" s="4">
        <v>43.5</v>
      </c>
      <c r="AB344" s="5">
        <v>12</v>
      </c>
      <c r="AC344" s="4" cm="1">
        <f t="array" ref="AC344">IFERROR(INDEX(ReferenceCard, MATCH(1, (INDEX(ReferenceCard,,1)=Table1[[#This Row],[SAP No]]) * (INDEX(ReferenceCard,,2)=Table1[[#This Row],[Mould No]]), 0), 9),)</f>
        <v>28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L344" s="2"/>
      <c r="AM344" s="2"/>
      <c r="AN344" s="3">
        <v>0</v>
      </c>
      <c r="AO344" s="3">
        <v>0</v>
      </c>
      <c r="AP34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5" spans="1:42" x14ac:dyDescent="0.35">
      <c r="A345" s="1">
        <v>46012</v>
      </c>
      <c r="B345">
        <v>1</v>
      </c>
      <c r="C345" t="s">
        <v>0</v>
      </c>
      <c r="D345" t="str" cm="1">
        <f t="array" ref="D345">IFERROR(INDEX(ReferenceCard, MATCH(1, (INDEX(ReferenceCard,,1)=Table1[[#This Row],[SAP No]]) * (INDEX(ReferenceCard,,2)=Table1[[#This Row],[Mould No]]), 0), 6),)</f>
        <v>PET</v>
      </c>
      <c r="E345">
        <v>347623</v>
      </c>
      <c r="F345">
        <v>0</v>
      </c>
      <c r="G345" t="str" cm="1">
        <f t="array" ref="G345">IFERROR(INDEX(ReferenceCard, MATCH(1, (INDEX(ReferenceCard,,1)=Table1[[#This Row],[SAP No]]) * (INDEX(ReferenceCard,,2)=Table1[[#This Row],[Mould No]]), 0), 3),)</f>
        <v>BC28-0375-K-R-CL</v>
      </c>
      <c r="H345">
        <v>0</v>
      </c>
      <c r="I345" cm="1">
        <f t="array" ref="I345">IFERROR(INDEX(ReferenceCard, MATCH(1, (INDEX(ReferenceCard,,1)=Table1[[#This Row],[SAP No]]) * (INDEX(ReferenceCard,,2)=Table1[[#This Row],[Mould No]]), 0), 4),)</f>
        <v>4</v>
      </c>
      <c r="J345" s="4" cm="1">
        <f t="array" ref="J345">IFERROR(INDEX(ReferenceCard, MATCH(1, (INDEX(ReferenceCard,,1)=Table1[[#This Row],[SAP No]]) * (INDEX(ReferenceCard,,2)=Table1[[#This Row],[Mould No]]), 0), 9),)</f>
        <v>35.6</v>
      </c>
      <c r="K345" s="4" cm="1">
        <f t="array" ref="K345">IFERROR(INDEX(ReferenceCard, MATCH(1, (INDEX(ReferenceCard,,1)=Table1[[#This Row],[SAP No]]) * (INDEX(ReferenceCard,,2)=Table1[[#This Row],[Mould No]]), 0), 7),)</f>
        <v>35.6</v>
      </c>
      <c r="L345">
        <v>1526</v>
      </c>
      <c r="M345">
        <v>0</v>
      </c>
      <c r="N345">
        <v>0</v>
      </c>
      <c r="O345">
        <v>0</v>
      </c>
      <c r="P345">
        <f>Table1[[#This Row],[Shot]]*Table1[[#This Row],[Cav]]</f>
        <v>6104</v>
      </c>
      <c r="Q345">
        <v>0</v>
      </c>
      <c r="R345">
        <f>(Table1[[#This Row],[Part Weight (gm)]]*Table1[[#This Row],[Finish Good]])/1000</f>
        <v>0</v>
      </c>
      <c r="S345">
        <v>0</v>
      </c>
      <c r="T345">
        <f>IF(Table1[[#This Row],[Qty Order]]="Sample","-",IF(Table1[[#This Row],[Qty Order]]="RTFN","-",Table1[[#This Row],[Qty Order]]-Table1[[#This Row],[Qty Accumulate]]))</f>
        <v>0</v>
      </c>
      <c r="U345">
        <f>((Table1[[#This Row],[Shift Output]]*Table1[[#This Row],[Part Weight (gm)]])/1000)+Table1[[#This Row],[Reject Startup (kg)]]+Table1[[#This Row],[Reject Purging (kg)]]+Table1[[#This Row],[Reject Preform (kg)]]</f>
        <v>217.30240000000001</v>
      </c>
      <c r="V345" s="37">
        <f>(Table1[[#This Row],[Gross Weight (gm)]]-Table1[[#This Row],[Part Weight (gm)]])*Table1[[#This Row],[Shift Output]]/1000</f>
        <v>0</v>
      </c>
      <c r="W345" s="3">
        <v>0</v>
      </c>
      <c r="X345" s="36">
        <f>Table1[[#This Row],[Reject Startup (kg)]]/Table1[[#This Row],[Material Used]]</f>
        <v>0</v>
      </c>
      <c r="Y345" s="3">
        <v>0</v>
      </c>
      <c r="Z345" s="36">
        <f>Table1[[#This Row],[Reject Prod (kg)]]/Table1[[#This Row],[Material Used]]</f>
        <v>0</v>
      </c>
      <c r="AA345" s="4">
        <v>26.908544540405199</v>
      </c>
      <c r="AB345" s="5">
        <v>11.99</v>
      </c>
      <c r="AC345" s="4" cm="1">
        <f t="array" ref="AC345">IFERROR(INDEX(ReferenceCard, MATCH(1, (INDEX(ReferenceCard,,1)=Table1[[#This Row],[SAP No]]) * (INDEX(ReferenceCard,,2)=Table1[[#This Row],[Mould No]]), 0), 9),)</f>
        <v>35.6</v>
      </c>
      <c r="AD345" s="5">
        <v>0</v>
      </c>
      <c r="AE345" s="5">
        <v>0</v>
      </c>
      <c r="AF345" s="5">
        <v>0</v>
      </c>
      <c r="AG345" s="5">
        <v>0</v>
      </c>
      <c r="AH345" s="5">
        <v>0.01</v>
      </c>
      <c r="AI345" s="5">
        <v>0</v>
      </c>
      <c r="AJ345" s="5">
        <v>0</v>
      </c>
      <c r="AL345" s="2"/>
      <c r="AM345" s="2"/>
      <c r="AN345" s="3">
        <v>0</v>
      </c>
      <c r="AO345" s="3">
        <v>0</v>
      </c>
      <c r="AP34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6" spans="1:42" x14ac:dyDescent="0.35">
      <c r="A346" s="1">
        <v>46012</v>
      </c>
      <c r="B346">
        <v>1</v>
      </c>
      <c r="C346" t="s">
        <v>3</v>
      </c>
      <c r="D346" t="str" cm="1">
        <f t="array" ref="D346">IFERROR(INDEX(ReferenceCard, MATCH(1, (INDEX(ReferenceCard,,1)=Table1[[#This Row],[SAP No]]) * (INDEX(ReferenceCard,,2)=Table1[[#This Row],[Mould No]]), 0), 6),)</f>
        <v>PET</v>
      </c>
      <c r="E346">
        <v>423215</v>
      </c>
      <c r="F346">
        <v>0</v>
      </c>
      <c r="G346" t="str" cm="1">
        <f t="array" ref="G346">IFERROR(INDEX(ReferenceCard, MATCH(1, (INDEX(ReferenceCard,,1)=Table1[[#This Row],[SAP No]]) * (INDEX(ReferenceCard,,2)=Table1[[#This Row],[Mould No]]), 0), 3),)</f>
        <v>BC28-0355-SCC-A-Q-CL</v>
      </c>
      <c r="H346">
        <v>0</v>
      </c>
      <c r="I346" cm="1">
        <f t="array" ref="I346">IFERROR(INDEX(ReferenceCard, MATCH(1, (INDEX(ReferenceCard,,1)=Table1[[#This Row],[SAP No]]) * (INDEX(ReferenceCard,,2)=Table1[[#This Row],[Mould No]]), 0), 4),)</f>
        <v>4</v>
      </c>
      <c r="J346" s="4" cm="1">
        <f t="array" ref="J346">IFERROR(INDEX(ReferenceCard, MATCH(1, (INDEX(ReferenceCard,,1)=Table1[[#This Row],[SAP No]]) * (INDEX(ReferenceCard,,2)=Table1[[#This Row],[Mould No]]), 0), 9),)</f>
        <v>24</v>
      </c>
      <c r="K346" s="4" cm="1">
        <f t="array" ref="K346">IFERROR(INDEX(ReferenceCard, MATCH(1, (INDEX(ReferenceCard,,1)=Table1[[#This Row],[SAP No]]) * (INDEX(ReferenceCard,,2)=Table1[[#This Row],[Mould No]]), 0), 7),)</f>
        <v>24</v>
      </c>
      <c r="L346">
        <v>142</v>
      </c>
      <c r="M346">
        <v>0</v>
      </c>
      <c r="N346">
        <v>0</v>
      </c>
      <c r="O346">
        <v>0</v>
      </c>
      <c r="P346">
        <f>Table1[[#This Row],[Shot]]*Table1[[#This Row],[Cav]]</f>
        <v>568</v>
      </c>
      <c r="Q346">
        <v>0</v>
      </c>
      <c r="R346">
        <f>(Table1[[#This Row],[Part Weight (gm)]]*Table1[[#This Row],[Finish Good]])/1000</f>
        <v>0</v>
      </c>
      <c r="S346">
        <v>0</v>
      </c>
      <c r="T346">
        <f>IF(Table1[[#This Row],[Qty Order]]="Sample","-",IF(Table1[[#This Row],[Qty Order]]="RTFN","-",Table1[[#This Row],[Qty Order]]-Table1[[#This Row],[Qty Accumulate]]))</f>
        <v>0</v>
      </c>
      <c r="U346">
        <f>((Table1[[#This Row],[Shift Output]]*Table1[[#This Row],[Part Weight (gm)]])/1000)+Table1[[#This Row],[Reject Startup (kg)]]+Table1[[#This Row],[Reject Purging (kg)]]+Table1[[#This Row],[Reject Preform (kg)]]</f>
        <v>13.632</v>
      </c>
      <c r="V346" s="37">
        <f>(Table1[[#This Row],[Gross Weight (gm)]]-Table1[[#This Row],[Part Weight (gm)]])*Table1[[#This Row],[Shift Output]]/1000</f>
        <v>0</v>
      </c>
      <c r="W346" s="3">
        <v>0</v>
      </c>
      <c r="X346" s="36">
        <f>Table1[[#This Row],[Reject Startup (kg)]]/Table1[[#This Row],[Material Used]]</f>
        <v>0</v>
      </c>
      <c r="Y346" s="3">
        <v>0</v>
      </c>
      <c r="Z346" s="36">
        <f>Table1[[#This Row],[Reject Prod (kg)]]/Table1[[#This Row],[Material Used]]</f>
        <v>0</v>
      </c>
      <c r="AA346" s="4">
        <v>0</v>
      </c>
      <c r="AB346" s="5">
        <v>0</v>
      </c>
      <c r="AC346" s="4" cm="1">
        <f t="array" ref="AC346">IFERROR(INDEX(ReferenceCard, MATCH(1, (INDEX(ReferenceCard,,1)=Table1[[#This Row],[SAP No]]) * (INDEX(ReferenceCard,,2)=Table1[[#This Row],[Mould No]]), 0), 9),)</f>
        <v>24</v>
      </c>
      <c r="AD346" s="5">
        <v>0</v>
      </c>
      <c r="AE346" s="5">
        <v>0</v>
      </c>
      <c r="AF346" s="5">
        <v>0</v>
      </c>
      <c r="AG346" s="5">
        <v>0</v>
      </c>
      <c r="AH346" s="5">
        <v>12</v>
      </c>
      <c r="AI346" s="5">
        <v>0</v>
      </c>
      <c r="AJ346" s="5">
        <v>0</v>
      </c>
      <c r="AL346" s="2"/>
      <c r="AM346" s="2"/>
      <c r="AN346" s="3">
        <v>0</v>
      </c>
      <c r="AO346" s="3">
        <v>0</v>
      </c>
      <c r="AP34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7" spans="1:42" x14ac:dyDescent="0.35">
      <c r="A347" s="1">
        <v>46012</v>
      </c>
      <c r="B347">
        <v>1</v>
      </c>
      <c r="C347" t="s">
        <v>5</v>
      </c>
      <c r="D347" t="str" cm="1">
        <f t="array" ref="D347">IFERROR(INDEX(ReferenceCard, MATCH(1, (INDEX(ReferenceCard,,1)=Table1[[#This Row],[SAP No]]) * (INDEX(ReferenceCard,,2)=Table1[[#This Row],[Mould No]]), 0), 6),)</f>
        <v>PET</v>
      </c>
      <c r="E347">
        <v>543590</v>
      </c>
      <c r="F347">
        <v>0</v>
      </c>
      <c r="G347" t="str" cm="1">
        <f t="array" ref="G347">IFERROR(INDEX(ReferenceCard, MATCH(1, (INDEX(ReferenceCard,,1)=Table1[[#This Row],[SAP No]]) * (INDEX(ReferenceCard,,2)=Table1[[#This Row],[Mould No]]), 0), 3),)</f>
        <v>BC28-0130-R-R-AM</v>
      </c>
      <c r="H347">
        <v>0</v>
      </c>
      <c r="I347" cm="1">
        <f t="array" ref="I347">IFERROR(INDEX(ReferenceCard, MATCH(1, (INDEX(ReferenceCard,,1)=Table1[[#This Row],[SAP No]]) * (INDEX(ReferenceCard,,2)=Table1[[#This Row],[Mould No]]), 0), 4),)</f>
        <v>4</v>
      </c>
      <c r="J347" s="4" cm="1">
        <f t="array" ref="J347">IFERROR(INDEX(ReferenceCard, MATCH(1, (INDEX(ReferenceCard,,1)=Table1[[#This Row],[SAP No]]) * (INDEX(ReferenceCard,,2)=Table1[[#This Row],[Mould No]]), 0), 9),)</f>
        <v>19</v>
      </c>
      <c r="K347" s="4" cm="1">
        <f t="array" ref="K347">IFERROR(INDEX(ReferenceCard, MATCH(1, (INDEX(ReferenceCard,,1)=Table1[[#This Row],[SAP No]]) * (INDEX(ReferenceCard,,2)=Table1[[#This Row],[Mould No]]), 0), 7),)</f>
        <v>19</v>
      </c>
      <c r="L347">
        <v>540</v>
      </c>
      <c r="M347">
        <v>0</v>
      </c>
      <c r="N347">
        <v>0</v>
      </c>
      <c r="O347">
        <v>0</v>
      </c>
      <c r="P347">
        <f>Table1[[#This Row],[Shot]]*Table1[[#This Row],[Cav]]</f>
        <v>2160</v>
      </c>
      <c r="Q347">
        <v>0</v>
      </c>
      <c r="R347">
        <f>(Table1[[#This Row],[Part Weight (gm)]]*Table1[[#This Row],[Finish Good]])/1000</f>
        <v>0</v>
      </c>
      <c r="S347">
        <v>0</v>
      </c>
      <c r="T347">
        <f>IF(Table1[[#This Row],[Qty Order]]="Sample","-",IF(Table1[[#This Row],[Qty Order]]="RTFN","-",Table1[[#This Row],[Qty Order]]-Table1[[#This Row],[Qty Accumulate]]))</f>
        <v>0</v>
      </c>
      <c r="U347">
        <f>((Table1[[#This Row],[Shift Output]]*Table1[[#This Row],[Part Weight (gm)]])/1000)+Table1[[#This Row],[Reject Startup (kg)]]+Table1[[#This Row],[Reject Purging (kg)]]+Table1[[#This Row],[Reject Preform (kg)]]</f>
        <v>41.04</v>
      </c>
      <c r="V347" s="37">
        <f>(Table1[[#This Row],[Gross Weight (gm)]]-Table1[[#This Row],[Part Weight (gm)]])*Table1[[#This Row],[Shift Output]]/1000</f>
        <v>0</v>
      </c>
      <c r="W347" s="3">
        <v>0</v>
      </c>
      <c r="X347" s="36">
        <f>Table1[[#This Row],[Reject Startup (kg)]]/Table1[[#This Row],[Material Used]]</f>
        <v>0</v>
      </c>
      <c r="Y347" s="3">
        <v>0</v>
      </c>
      <c r="Z347" s="36">
        <f>Table1[[#This Row],[Reject Prod (kg)]]/Table1[[#This Row],[Material Used]]</f>
        <v>0</v>
      </c>
      <c r="AA347" s="4">
        <v>0</v>
      </c>
      <c r="AB347" s="5">
        <v>0</v>
      </c>
      <c r="AC347" s="4" cm="1">
        <f t="array" ref="AC347">IFERROR(INDEX(ReferenceCard, MATCH(1, (INDEX(ReferenceCard,,1)=Table1[[#This Row],[SAP No]]) * (INDEX(ReferenceCard,,2)=Table1[[#This Row],[Mould No]]), 0), 9),)</f>
        <v>19</v>
      </c>
      <c r="AD347" s="5">
        <v>0</v>
      </c>
      <c r="AE347" s="5">
        <v>0</v>
      </c>
      <c r="AF347" s="5">
        <v>0</v>
      </c>
      <c r="AG347" s="5">
        <v>8.31</v>
      </c>
      <c r="AH347" s="5">
        <v>3.6899999999999902</v>
      </c>
      <c r="AI347" s="5">
        <v>0</v>
      </c>
      <c r="AJ347" s="5">
        <v>0</v>
      </c>
      <c r="AL347" s="2"/>
      <c r="AM347" s="2"/>
      <c r="AN347" s="3">
        <v>0</v>
      </c>
      <c r="AO347" s="3">
        <v>0</v>
      </c>
      <c r="AP34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8" spans="1:42" x14ac:dyDescent="0.35">
      <c r="A348" s="1">
        <v>46012</v>
      </c>
      <c r="B348">
        <v>1</v>
      </c>
      <c r="C348" t="s">
        <v>7</v>
      </c>
      <c r="D348" t="str" cm="1">
        <f t="array" ref="D348">IFERROR(INDEX(ReferenceCard, MATCH(1, (INDEX(ReferenceCard,,1)=Table1[[#This Row],[SAP No]]) * (INDEX(ReferenceCard,,2)=Table1[[#This Row],[Mould No]]), 0), 6),)</f>
        <v>PET</v>
      </c>
      <c r="E348">
        <v>451191</v>
      </c>
      <c r="F348">
        <v>0</v>
      </c>
      <c r="G348" t="str" cm="1">
        <f t="array" ref="G348">IFERROR(INDEX(ReferenceCard, MATCH(1, (INDEX(ReferenceCard,,1)=Table1[[#This Row],[SAP No]]) * (INDEX(ReferenceCard,,2)=Table1[[#This Row],[Mould No]]), 0), 3),)</f>
        <v>BX38-0350-Z-C-CL</v>
      </c>
      <c r="H348">
        <v>0</v>
      </c>
      <c r="I348" cm="1">
        <f t="array" ref="I348">IFERROR(INDEX(ReferenceCard, MATCH(1, (INDEX(ReferenceCard,,1)=Table1[[#This Row],[SAP No]]) * (INDEX(ReferenceCard,,2)=Table1[[#This Row],[Mould No]]), 0), 4),)</f>
        <v>4</v>
      </c>
      <c r="J348" s="4" cm="1">
        <f t="array" ref="J348">IFERROR(INDEX(ReferenceCard, MATCH(1, (INDEX(ReferenceCard,,1)=Table1[[#This Row],[SAP No]]) * (INDEX(ReferenceCard,,2)=Table1[[#This Row],[Mould No]]), 0), 9),)</f>
        <v>29</v>
      </c>
      <c r="K348" s="4" cm="1">
        <f t="array" ref="K348">IFERROR(INDEX(ReferenceCard, MATCH(1, (INDEX(ReferenceCard,,1)=Table1[[#This Row],[SAP No]]) * (INDEX(ReferenceCard,,2)=Table1[[#This Row],[Mould No]]), 0), 7),)</f>
        <v>29</v>
      </c>
      <c r="L348">
        <v>0</v>
      </c>
      <c r="M348">
        <v>0</v>
      </c>
      <c r="N348">
        <v>0</v>
      </c>
      <c r="O348">
        <v>0</v>
      </c>
      <c r="P348">
        <f>Table1[[#This Row],[Shot]]*Table1[[#This Row],[Cav]]</f>
        <v>0</v>
      </c>
      <c r="Q348">
        <v>0</v>
      </c>
      <c r="R348">
        <f>(Table1[[#This Row],[Part Weight (gm)]]*Table1[[#This Row],[Finish Good]])/1000</f>
        <v>0</v>
      </c>
      <c r="S348">
        <v>0</v>
      </c>
      <c r="T348">
        <f>IF(Table1[[#This Row],[Qty Order]]="Sample","-",IF(Table1[[#This Row],[Qty Order]]="RTFN","-",Table1[[#This Row],[Qty Order]]-Table1[[#This Row],[Qty Accumulate]]))</f>
        <v>0</v>
      </c>
      <c r="U348">
        <f>((Table1[[#This Row],[Shift Output]]*Table1[[#This Row],[Part Weight (gm)]])/1000)+Table1[[#This Row],[Reject Startup (kg)]]+Table1[[#This Row],[Reject Purging (kg)]]+Table1[[#This Row],[Reject Preform (kg)]]</f>
        <v>0</v>
      </c>
      <c r="V348" s="37">
        <f>(Table1[[#This Row],[Gross Weight (gm)]]-Table1[[#This Row],[Part Weight (gm)]])*Table1[[#This Row],[Shift Output]]/1000</f>
        <v>0</v>
      </c>
      <c r="W348" s="3">
        <v>0</v>
      </c>
      <c r="X348" s="36" t="e">
        <f>Table1[[#This Row],[Reject Startup (kg)]]/Table1[[#This Row],[Material Used]]</f>
        <v>#DIV/0!</v>
      </c>
      <c r="Y348" s="3">
        <v>0</v>
      </c>
      <c r="Z348" s="36" t="e">
        <f>Table1[[#This Row],[Reject Prod (kg)]]/Table1[[#This Row],[Material Used]]</f>
        <v>#DIV/0!</v>
      </c>
      <c r="AA348" s="4">
        <v>0</v>
      </c>
      <c r="AB348" s="5">
        <v>0</v>
      </c>
      <c r="AC348" s="4" cm="1">
        <f t="array" ref="AC348">IFERROR(INDEX(ReferenceCard, MATCH(1, (INDEX(ReferenceCard,,1)=Table1[[#This Row],[SAP No]]) * (INDEX(ReferenceCard,,2)=Table1[[#This Row],[Mould No]]), 0), 9),)</f>
        <v>29</v>
      </c>
      <c r="AD348" s="5">
        <v>0</v>
      </c>
      <c r="AE348" s="5">
        <v>0</v>
      </c>
      <c r="AF348" s="5">
        <v>0</v>
      </c>
      <c r="AG348" s="5">
        <v>0</v>
      </c>
      <c r="AH348" s="5">
        <v>12</v>
      </c>
      <c r="AI348" s="5">
        <v>0</v>
      </c>
      <c r="AJ348" s="5">
        <v>0</v>
      </c>
      <c r="AL348" s="2"/>
      <c r="AM348" s="2"/>
      <c r="AN348" s="3">
        <v>0</v>
      </c>
      <c r="AO348" s="3">
        <v>0</v>
      </c>
      <c r="AP34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49" spans="1:42" x14ac:dyDescent="0.35">
      <c r="A349" s="1">
        <v>46012</v>
      </c>
      <c r="B349">
        <v>1</v>
      </c>
      <c r="C349" t="s">
        <v>9</v>
      </c>
      <c r="D349" t="str" cm="1">
        <f t="array" ref="D349">IFERROR(INDEX(ReferenceCard, MATCH(1, (INDEX(ReferenceCard,,1)=Table1[[#This Row],[SAP No]]) * (INDEX(ReferenceCard,,2)=Table1[[#This Row],[Mould No]]), 0), 6),)</f>
        <v>PET</v>
      </c>
      <c r="E349">
        <v>322451</v>
      </c>
      <c r="F349">
        <v>0</v>
      </c>
      <c r="G349" t="str" cm="1">
        <f t="array" ref="G349">IFERROR(INDEX(ReferenceCard, MATCH(1, (INDEX(ReferenceCard,,1)=Table1[[#This Row],[SAP No]]) * (INDEX(ReferenceCard,,2)=Table1[[#This Row],[Mould No]]), 0), 3),)</f>
        <v>BC28-0500-WNHP-R-BR</v>
      </c>
      <c r="H349">
        <v>0</v>
      </c>
      <c r="I349" cm="1">
        <f t="array" ref="I349">IFERROR(INDEX(ReferenceCard, MATCH(1, (INDEX(ReferenceCard,,1)=Table1[[#This Row],[SAP No]]) * (INDEX(ReferenceCard,,2)=Table1[[#This Row],[Mould No]]), 0), 4),)</f>
        <v>4</v>
      </c>
      <c r="J349" s="4" cm="1">
        <f t="array" ref="J349">IFERROR(INDEX(ReferenceCard, MATCH(1, (INDEX(ReferenceCard,,1)=Table1[[#This Row],[SAP No]]) * (INDEX(ReferenceCard,,2)=Table1[[#This Row],[Mould No]]), 0), 9),)</f>
        <v>45.6</v>
      </c>
      <c r="K349" s="4" cm="1">
        <f t="array" ref="K349">IFERROR(INDEX(ReferenceCard, MATCH(1, (INDEX(ReferenceCard,,1)=Table1[[#This Row],[SAP No]]) * (INDEX(ReferenceCard,,2)=Table1[[#This Row],[Mould No]]), 0), 7),)</f>
        <v>45.6</v>
      </c>
      <c r="L349">
        <v>0</v>
      </c>
      <c r="M349">
        <v>0</v>
      </c>
      <c r="N349">
        <v>0</v>
      </c>
      <c r="O349">
        <v>0</v>
      </c>
      <c r="P349">
        <f>Table1[[#This Row],[Shot]]*Table1[[#This Row],[Cav]]</f>
        <v>0</v>
      </c>
      <c r="Q349">
        <v>0</v>
      </c>
      <c r="R349">
        <f>(Table1[[#This Row],[Part Weight (gm)]]*Table1[[#This Row],[Finish Good]])/1000</f>
        <v>0</v>
      </c>
      <c r="S349">
        <v>0</v>
      </c>
      <c r="T349">
        <f>IF(Table1[[#This Row],[Qty Order]]="Sample","-",IF(Table1[[#This Row],[Qty Order]]="RTFN","-",Table1[[#This Row],[Qty Order]]-Table1[[#This Row],[Qty Accumulate]]))</f>
        <v>0</v>
      </c>
      <c r="U349">
        <f>((Table1[[#This Row],[Shift Output]]*Table1[[#This Row],[Part Weight (gm)]])/1000)+Table1[[#This Row],[Reject Startup (kg)]]+Table1[[#This Row],[Reject Purging (kg)]]+Table1[[#This Row],[Reject Preform (kg)]]</f>
        <v>0</v>
      </c>
      <c r="V349" s="37">
        <f>(Table1[[#This Row],[Gross Weight (gm)]]-Table1[[#This Row],[Part Weight (gm)]])*Table1[[#This Row],[Shift Output]]/1000</f>
        <v>0</v>
      </c>
      <c r="W349" s="3">
        <v>0</v>
      </c>
      <c r="X349" s="36" t="e">
        <f>Table1[[#This Row],[Reject Startup (kg)]]/Table1[[#This Row],[Material Used]]</f>
        <v>#DIV/0!</v>
      </c>
      <c r="Y349" s="3">
        <v>0</v>
      </c>
      <c r="Z349" s="36" t="e">
        <f>Table1[[#This Row],[Reject Prod (kg)]]/Table1[[#This Row],[Material Used]]</f>
        <v>#DIV/0!</v>
      </c>
      <c r="AA349" s="4">
        <v>0</v>
      </c>
      <c r="AB349" s="5">
        <v>0</v>
      </c>
      <c r="AC349" s="4" cm="1">
        <f t="array" ref="AC349">IFERROR(INDEX(ReferenceCard, MATCH(1, (INDEX(ReferenceCard,,1)=Table1[[#This Row],[SAP No]]) * (INDEX(ReferenceCard,,2)=Table1[[#This Row],[Mould No]]), 0), 9),)</f>
        <v>45.6</v>
      </c>
      <c r="AD349" s="5">
        <v>0</v>
      </c>
      <c r="AE349" s="5">
        <v>0</v>
      </c>
      <c r="AF349" s="5">
        <v>0</v>
      </c>
      <c r="AG349" s="5">
        <v>0</v>
      </c>
      <c r="AH349" s="5">
        <v>12</v>
      </c>
      <c r="AI349" s="5">
        <v>0</v>
      </c>
      <c r="AJ349" s="5">
        <v>0</v>
      </c>
      <c r="AL349" s="2"/>
      <c r="AM349" s="2"/>
      <c r="AN349" s="3">
        <v>0</v>
      </c>
      <c r="AO349" s="3">
        <v>0</v>
      </c>
      <c r="AP34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0" spans="1:42" x14ac:dyDescent="0.35">
      <c r="A350" s="1">
        <v>46012</v>
      </c>
      <c r="B350">
        <v>1</v>
      </c>
      <c r="C350" t="s">
        <v>11</v>
      </c>
      <c r="D350" t="str" cm="1">
        <f t="array" ref="D350">IFERROR(INDEX(ReferenceCard, MATCH(1, (INDEX(ReferenceCard,,1)=Table1[[#This Row],[SAP No]]) * (INDEX(ReferenceCard,,2)=Table1[[#This Row],[Mould No]]), 0), 6),)</f>
        <v>rPET</v>
      </c>
      <c r="E350">
        <v>620994</v>
      </c>
      <c r="F350">
        <v>0</v>
      </c>
      <c r="G350" t="str" cm="1">
        <f t="array" ref="G350">IFERROR(INDEX(ReferenceCard, MATCH(1, (INDEX(ReferenceCard,,1)=Table1[[#This Row],[SAP No]]) * (INDEX(ReferenceCard,,2)=Table1[[#This Row],[Mould No]]), 0), 3),)</f>
        <v>JJ63-0400-SH-S-CL-rPET</v>
      </c>
      <c r="H350">
        <v>0</v>
      </c>
      <c r="I350" cm="1">
        <f t="array" ref="I350">IFERROR(INDEX(ReferenceCard, MATCH(1, (INDEX(ReferenceCard,,1)=Table1[[#This Row],[SAP No]]) * (INDEX(ReferenceCard,,2)=Table1[[#This Row],[Mould No]]), 0), 4),)</f>
        <v>4</v>
      </c>
      <c r="J350" s="4" cm="1">
        <f t="array" ref="J350">IFERROR(INDEX(ReferenceCard, MATCH(1, (INDEX(ReferenceCard,,1)=Table1[[#This Row],[SAP No]]) * (INDEX(ReferenceCard,,2)=Table1[[#This Row],[Mould No]]), 0), 9),)</f>
        <v>32.74</v>
      </c>
      <c r="K350" s="4" cm="1">
        <f t="array" ref="K350">IFERROR(INDEX(ReferenceCard, MATCH(1, (INDEX(ReferenceCard,,1)=Table1[[#This Row],[SAP No]]) * (INDEX(ReferenceCard,,2)=Table1[[#This Row],[Mould No]]), 0), 7),)</f>
        <v>33</v>
      </c>
      <c r="L350">
        <v>1879</v>
      </c>
      <c r="M350">
        <v>0</v>
      </c>
      <c r="N350">
        <v>0</v>
      </c>
      <c r="O350">
        <v>0</v>
      </c>
      <c r="P350">
        <f>Table1[[#This Row],[Shot]]*Table1[[#This Row],[Cav]]</f>
        <v>7516</v>
      </c>
      <c r="Q350">
        <v>0</v>
      </c>
      <c r="R350">
        <f>(Table1[[#This Row],[Part Weight (gm)]]*Table1[[#This Row],[Finish Good]])/1000</f>
        <v>0</v>
      </c>
      <c r="S350">
        <v>0</v>
      </c>
      <c r="T350">
        <f>IF(Table1[[#This Row],[Qty Order]]="Sample","-",IF(Table1[[#This Row],[Qty Order]]="RTFN","-",Table1[[#This Row],[Qty Order]]-Table1[[#This Row],[Qty Accumulate]]))</f>
        <v>0</v>
      </c>
      <c r="U350">
        <f>((Table1[[#This Row],[Shift Output]]*Table1[[#This Row],[Part Weight (gm)]])/1000)+Table1[[#This Row],[Reject Startup (kg)]]+Table1[[#This Row],[Reject Purging (kg)]]+Table1[[#This Row],[Reject Preform (kg)]]</f>
        <v>248.02799999999999</v>
      </c>
      <c r="V350" s="37">
        <f>(Table1[[#This Row],[Gross Weight (gm)]]-Table1[[#This Row],[Part Weight (gm)]])*Table1[[#This Row],[Shift Output]]/1000</f>
        <v>-1.954159999999985</v>
      </c>
      <c r="W350" s="3">
        <v>0</v>
      </c>
      <c r="X350" s="36">
        <f>Table1[[#This Row],[Reject Startup (kg)]]/Table1[[#This Row],[Material Used]]</f>
        <v>0</v>
      </c>
      <c r="Y350" s="3">
        <v>0</v>
      </c>
      <c r="Z350" s="36">
        <f>Table1[[#This Row],[Reject Prod (kg)]]/Table1[[#This Row],[Material Used]]</f>
        <v>0</v>
      </c>
      <c r="AA350" s="4">
        <v>0</v>
      </c>
      <c r="AB350" s="5">
        <v>11.72</v>
      </c>
      <c r="AC350" s="4" cm="1">
        <f t="array" ref="AC350">IFERROR(INDEX(ReferenceCard, MATCH(1, (INDEX(ReferenceCard,,1)=Table1[[#This Row],[SAP No]]) * (INDEX(ReferenceCard,,2)=Table1[[#This Row],[Mould No]]), 0), 9),)</f>
        <v>32.74</v>
      </c>
      <c r="AD350" s="5">
        <v>0</v>
      </c>
      <c r="AE350" s="5">
        <v>0</v>
      </c>
      <c r="AF350" s="5">
        <v>0</v>
      </c>
      <c r="AG350" s="5">
        <v>0</v>
      </c>
      <c r="AH350" s="5">
        <v>0.28000000000000003</v>
      </c>
      <c r="AI350" s="5">
        <v>0</v>
      </c>
      <c r="AJ350" s="5">
        <v>0</v>
      </c>
      <c r="AL350" s="2"/>
      <c r="AM350" s="2"/>
      <c r="AN350" s="3">
        <v>0</v>
      </c>
      <c r="AO350" s="3">
        <v>0</v>
      </c>
      <c r="AP35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1" spans="1:42" x14ac:dyDescent="0.35">
      <c r="A351" s="1">
        <v>46012</v>
      </c>
      <c r="B351">
        <v>1</v>
      </c>
      <c r="C351" t="s">
        <v>14</v>
      </c>
      <c r="D351" t="str" cm="1">
        <f t="array" ref="D351">IFERROR(INDEX(ReferenceCard, MATCH(1, (INDEX(ReferenceCard,,1)=Table1[[#This Row],[SAP No]]) * (INDEX(ReferenceCard,,2)=Table1[[#This Row],[Mould No]]), 0), 6),)</f>
        <v>PET</v>
      </c>
      <c r="E351">
        <v>322444</v>
      </c>
      <c r="F351">
        <v>0</v>
      </c>
      <c r="G351" t="str" cm="1">
        <f t="array" ref="G351">IFERROR(INDEX(ReferenceCard, MATCH(1, (INDEX(ReferenceCard,,1)=Table1[[#This Row],[SAP No]]) * (INDEX(ReferenceCard,,2)=Table1[[#This Row],[Mould No]]), 0), 3),)</f>
        <v>JJ63-0400-RH-R-CL</v>
      </c>
      <c r="H351">
        <v>0</v>
      </c>
      <c r="I351" cm="1">
        <f t="array" ref="I351">IFERROR(INDEX(ReferenceCard, MATCH(1, (INDEX(ReferenceCard,,1)=Table1[[#This Row],[SAP No]]) * (INDEX(ReferenceCard,,2)=Table1[[#This Row],[Mould No]]), 0), 4),)</f>
        <v>4</v>
      </c>
      <c r="J351" s="4" cm="1">
        <f t="array" ref="J351">IFERROR(INDEX(ReferenceCard, MATCH(1, (INDEX(ReferenceCard,,1)=Table1[[#This Row],[SAP No]]) * (INDEX(ReferenceCard,,2)=Table1[[#This Row],[Mould No]]), 0), 9),)</f>
        <v>32.74</v>
      </c>
      <c r="K351" s="4" cm="1">
        <f t="array" ref="K351">IFERROR(INDEX(ReferenceCard, MATCH(1, (INDEX(ReferenceCard,,1)=Table1[[#This Row],[SAP No]]) * (INDEX(ReferenceCard,,2)=Table1[[#This Row],[Mould No]]), 0), 7),)</f>
        <v>34.5</v>
      </c>
      <c r="L351">
        <v>0</v>
      </c>
      <c r="M351">
        <v>0</v>
      </c>
      <c r="N351">
        <v>0</v>
      </c>
      <c r="O351">
        <v>0</v>
      </c>
      <c r="P351">
        <f>Table1[[#This Row],[Shot]]*Table1[[#This Row],[Cav]]</f>
        <v>0</v>
      </c>
      <c r="Q351">
        <v>0</v>
      </c>
      <c r="R351">
        <f>(Table1[[#This Row],[Part Weight (gm)]]*Table1[[#This Row],[Finish Good]])/1000</f>
        <v>0</v>
      </c>
      <c r="S351">
        <v>0</v>
      </c>
      <c r="T351">
        <f>IF(Table1[[#This Row],[Qty Order]]="Sample","-",IF(Table1[[#This Row],[Qty Order]]="RTFN","-",Table1[[#This Row],[Qty Order]]-Table1[[#This Row],[Qty Accumulate]]))</f>
        <v>0</v>
      </c>
      <c r="U351">
        <f>((Table1[[#This Row],[Shift Output]]*Table1[[#This Row],[Part Weight (gm)]])/1000)+Table1[[#This Row],[Reject Startup (kg)]]+Table1[[#This Row],[Reject Purging (kg)]]+Table1[[#This Row],[Reject Preform (kg)]]</f>
        <v>0</v>
      </c>
      <c r="V351" s="37">
        <f>(Table1[[#This Row],[Gross Weight (gm)]]-Table1[[#This Row],[Part Weight (gm)]])*Table1[[#This Row],[Shift Output]]/1000</f>
        <v>0</v>
      </c>
      <c r="W351" s="3">
        <v>0</v>
      </c>
      <c r="X351" s="36" t="e">
        <f>Table1[[#This Row],[Reject Startup (kg)]]/Table1[[#This Row],[Material Used]]</f>
        <v>#DIV/0!</v>
      </c>
      <c r="Y351" s="3">
        <v>0</v>
      </c>
      <c r="Z351" s="36" t="e">
        <f>Table1[[#This Row],[Reject Prod (kg)]]/Table1[[#This Row],[Material Used]]</f>
        <v>#DIV/0!</v>
      </c>
      <c r="AA351" s="4">
        <v>0</v>
      </c>
      <c r="AB351" s="5">
        <v>0</v>
      </c>
      <c r="AC351" s="4" cm="1">
        <f t="array" ref="AC351">IFERROR(INDEX(ReferenceCard, MATCH(1, (INDEX(ReferenceCard,,1)=Table1[[#This Row],[SAP No]]) * (INDEX(ReferenceCard,,2)=Table1[[#This Row],[Mould No]]), 0), 9),)</f>
        <v>32.74</v>
      </c>
      <c r="AD351" s="5">
        <v>0</v>
      </c>
      <c r="AE351" s="5">
        <v>0</v>
      </c>
      <c r="AF351" s="5">
        <v>0</v>
      </c>
      <c r="AG351" s="5">
        <v>0</v>
      </c>
      <c r="AH351" s="5">
        <v>12</v>
      </c>
      <c r="AI351" s="5">
        <v>0</v>
      </c>
      <c r="AJ351" s="5">
        <v>0</v>
      </c>
      <c r="AL351" s="2"/>
      <c r="AM351" s="2"/>
      <c r="AN351" s="3">
        <v>0</v>
      </c>
      <c r="AO351" s="3">
        <v>0</v>
      </c>
      <c r="AP35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2" spans="1:42" x14ac:dyDescent="0.35">
      <c r="A352" s="1">
        <v>46012</v>
      </c>
      <c r="B352">
        <v>1</v>
      </c>
      <c r="C352" t="s">
        <v>16</v>
      </c>
      <c r="D352" t="str" cm="1">
        <f t="array" ref="D352">IFERROR(INDEX(ReferenceCard, MATCH(1, (INDEX(ReferenceCard,,1)=Table1[[#This Row],[SAP No]]) * (INDEX(ReferenceCard,,2)=Table1[[#This Row],[Mould No]]), 0), 6),)</f>
        <v>PET</v>
      </c>
      <c r="E352">
        <v>324206</v>
      </c>
      <c r="F352">
        <v>0</v>
      </c>
      <c r="G352" t="str" cm="1">
        <f t="array" ref="G352">IFERROR(INDEX(ReferenceCard, MATCH(1, (INDEX(ReferenceCard,,1)=Table1[[#This Row],[SAP No]]) * (INDEX(ReferenceCard,,2)=Table1[[#This Row],[Mould No]]), 0), 3),)</f>
        <v>BX38-1000-HC-S-CL</v>
      </c>
      <c r="H352">
        <v>0</v>
      </c>
      <c r="I352" cm="1">
        <f t="array" ref="I352">IFERROR(INDEX(ReferenceCard, MATCH(1, (INDEX(ReferenceCard,,1)=Table1[[#This Row],[SAP No]]) * (INDEX(ReferenceCard,,2)=Table1[[#This Row],[Mould No]]), 0), 4),)</f>
        <v>4</v>
      </c>
      <c r="J352" s="4" cm="1">
        <f t="array" ref="J352">IFERROR(INDEX(ReferenceCard, MATCH(1, (INDEX(ReferenceCard,,1)=Table1[[#This Row],[SAP No]]) * (INDEX(ReferenceCard,,2)=Table1[[#This Row],[Mould No]]), 0), 9),)</f>
        <v>49</v>
      </c>
      <c r="K352" s="4" cm="1">
        <f t="array" ref="K352">IFERROR(INDEX(ReferenceCard, MATCH(1, (INDEX(ReferenceCard,,1)=Table1[[#This Row],[SAP No]]) * (INDEX(ReferenceCard,,2)=Table1[[#This Row],[Mould No]]), 0), 7),)</f>
        <v>48</v>
      </c>
      <c r="L352">
        <v>0</v>
      </c>
      <c r="M352">
        <v>0</v>
      </c>
      <c r="N352">
        <v>0</v>
      </c>
      <c r="O352">
        <v>0</v>
      </c>
      <c r="P352">
        <f>Table1[[#This Row],[Shot]]*Table1[[#This Row],[Cav]]</f>
        <v>0</v>
      </c>
      <c r="Q352">
        <v>0</v>
      </c>
      <c r="R352">
        <f>(Table1[[#This Row],[Part Weight (gm)]]*Table1[[#This Row],[Finish Good]])/1000</f>
        <v>0</v>
      </c>
      <c r="S352">
        <v>0</v>
      </c>
      <c r="T352">
        <f>IF(Table1[[#This Row],[Qty Order]]="Sample","-",IF(Table1[[#This Row],[Qty Order]]="RTFN","-",Table1[[#This Row],[Qty Order]]-Table1[[#This Row],[Qty Accumulate]]))</f>
        <v>0</v>
      </c>
      <c r="U352">
        <f>((Table1[[#This Row],[Shift Output]]*Table1[[#This Row],[Part Weight (gm)]])/1000)+Table1[[#This Row],[Reject Startup (kg)]]+Table1[[#This Row],[Reject Purging (kg)]]+Table1[[#This Row],[Reject Preform (kg)]]</f>
        <v>0</v>
      </c>
      <c r="V352" s="37">
        <f>(Table1[[#This Row],[Gross Weight (gm)]]-Table1[[#This Row],[Part Weight (gm)]])*Table1[[#This Row],[Shift Output]]/1000</f>
        <v>0</v>
      </c>
      <c r="W352" s="3">
        <v>0</v>
      </c>
      <c r="X352" s="36" t="e">
        <f>Table1[[#This Row],[Reject Startup (kg)]]/Table1[[#This Row],[Material Used]]</f>
        <v>#DIV/0!</v>
      </c>
      <c r="Y352" s="3">
        <v>0</v>
      </c>
      <c r="Z352" s="36" t="e">
        <f>Table1[[#This Row],[Reject Prod (kg)]]/Table1[[#This Row],[Material Used]]</f>
        <v>#DIV/0!</v>
      </c>
      <c r="AA352" s="4">
        <v>0</v>
      </c>
      <c r="AB352" s="5">
        <v>0</v>
      </c>
      <c r="AC352" s="4" cm="1">
        <f t="array" ref="AC352">IFERROR(INDEX(ReferenceCard, MATCH(1, (INDEX(ReferenceCard,,1)=Table1[[#This Row],[SAP No]]) * (INDEX(ReferenceCard,,2)=Table1[[#This Row],[Mould No]]), 0), 9),)</f>
        <v>49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12</v>
      </c>
      <c r="AJ352" s="5">
        <v>0</v>
      </c>
      <c r="AL352" s="2"/>
      <c r="AM352" s="2"/>
      <c r="AN352" s="3">
        <v>0</v>
      </c>
      <c r="AO352" s="3">
        <v>0</v>
      </c>
      <c r="AP35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3" spans="1:42" x14ac:dyDescent="0.35">
      <c r="A353" s="1">
        <v>46012</v>
      </c>
      <c r="B353">
        <v>1</v>
      </c>
      <c r="C353" t="s">
        <v>23</v>
      </c>
      <c r="D353" t="str" cm="1">
        <f t="array" ref="D353">IFERROR(INDEX(ReferenceCard, MATCH(1, (INDEX(ReferenceCard,,1)=Table1[[#This Row],[SAP No]]) * (INDEX(ReferenceCard,,2)=Table1[[#This Row],[Mould No]]), 0), 6),)</f>
        <v>PPSB520Y</v>
      </c>
      <c r="E353">
        <v>586276</v>
      </c>
      <c r="F353">
        <v>2</v>
      </c>
      <c r="G353" t="str" cm="1">
        <f t="array" ref="G353">IFERROR(INDEX(ReferenceCard, MATCH(1, (INDEX(ReferenceCard,,1)=Table1[[#This Row],[SAP No]]) * (INDEX(ReferenceCard,,2)=Table1[[#This Row],[Mould No]]), 0), 3),)</f>
        <v>BC28-0056-D-APH-LEB-604001-MOLD2</v>
      </c>
      <c r="H353">
        <v>0</v>
      </c>
      <c r="I353" cm="1">
        <f t="array" ref="I353">IFERROR(INDEX(ReferenceCard, MATCH(1, (INDEX(ReferenceCard,,1)=Table1[[#This Row],[SAP No]]) * (INDEX(ReferenceCard,,2)=Table1[[#This Row],[Mould No]]), 0), 4),)</f>
        <v>6</v>
      </c>
      <c r="J353" s="4" cm="1">
        <f t="array" ref="J353">IFERROR(INDEX(ReferenceCard, MATCH(1, (INDEX(ReferenceCard,,1)=Table1[[#This Row],[SAP No]]) * (INDEX(ReferenceCard,,2)=Table1[[#This Row],[Mould No]]), 0), 9),)</f>
        <v>12.3</v>
      </c>
      <c r="K353" s="4" cm="1">
        <f t="array" ref="K353">IFERROR(INDEX(ReferenceCard, MATCH(1, (INDEX(ReferenceCard,,1)=Table1[[#This Row],[SAP No]]) * (INDEX(ReferenceCard,,2)=Table1[[#This Row],[Mould No]]), 0), 7),)</f>
        <v>12.3</v>
      </c>
      <c r="L353">
        <v>2624</v>
      </c>
      <c r="M353">
        <v>0</v>
      </c>
      <c r="N353">
        <v>0</v>
      </c>
      <c r="O353">
        <v>0</v>
      </c>
      <c r="P353">
        <f>Table1[[#This Row],[Shot]]*Table1[[#This Row],[Cav]]</f>
        <v>15744</v>
      </c>
      <c r="Q353">
        <v>0</v>
      </c>
      <c r="R353">
        <f>(Table1[[#This Row],[Part Weight (gm)]]*Table1[[#This Row],[Finish Good]])/1000</f>
        <v>0</v>
      </c>
      <c r="S353">
        <v>0</v>
      </c>
      <c r="T353">
        <f>IF(Table1[[#This Row],[Qty Order]]="Sample","-",IF(Table1[[#This Row],[Qty Order]]="RTFN","-",Table1[[#This Row],[Qty Order]]-Table1[[#This Row],[Qty Accumulate]]))</f>
        <v>0</v>
      </c>
      <c r="U353">
        <f>((Table1[[#This Row],[Shift Output]]*Table1[[#This Row],[Part Weight (gm)]])/1000)+Table1[[#This Row],[Reject Startup (kg)]]+Table1[[#This Row],[Reject Purging (kg)]]+Table1[[#This Row],[Reject Preform (kg)]]</f>
        <v>193.65120000000002</v>
      </c>
      <c r="V353" s="37">
        <f>(Table1[[#This Row],[Gross Weight (gm)]]-Table1[[#This Row],[Part Weight (gm)]])*Table1[[#This Row],[Shift Output]]/1000</f>
        <v>0</v>
      </c>
      <c r="W353" s="3">
        <v>0</v>
      </c>
      <c r="X353" s="36">
        <f>Table1[[#This Row],[Reject Startup (kg)]]/Table1[[#This Row],[Material Used]]</f>
        <v>0</v>
      </c>
      <c r="Y353" s="3">
        <v>0</v>
      </c>
      <c r="Z353" s="36">
        <f>Table1[[#This Row],[Reject Prod (kg)]]/Table1[[#This Row],[Material Used]]</f>
        <v>0</v>
      </c>
      <c r="AA353" s="4">
        <v>32.059597015380803</v>
      </c>
      <c r="AB353" s="5">
        <v>11.89</v>
      </c>
      <c r="AC353" s="4" cm="1">
        <f t="array" ref="AC353">IFERROR(INDEX(ReferenceCard, MATCH(1, (INDEX(ReferenceCard,,1)=Table1[[#This Row],[SAP No]]) * (INDEX(ReferenceCard,,2)=Table1[[#This Row],[Mould No]]), 0), 9),)</f>
        <v>12.3</v>
      </c>
      <c r="AD353" s="5">
        <v>0</v>
      </c>
      <c r="AE353" s="5">
        <v>0</v>
      </c>
      <c r="AF353" s="5">
        <v>0</v>
      </c>
      <c r="AG353" s="5">
        <v>0</v>
      </c>
      <c r="AH353" s="5">
        <v>0.11</v>
      </c>
      <c r="AI353" s="5">
        <v>0</v>
      </c>
      <c r="AJ353" s="5">
        <v>0</v>
      </c>
      <c r="AL353" s="2"/>
      <c r="AM353" s="2"/>
      <c r="AN353" s="3">
        <v>0</v>
      </c>
      <c r="AO353" s="3">
        <v>0</v>
      </c>
      <c r="AP35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4" spans="1:42" x14ac:dyDescent="0.35">
      <c r="A354" s="1">
        <v>46012</v>
      </c>
      <c r="B354">
        <v>1</v>
      </c>
      <c r="C354" t="s">
        <v>25</v>
      </c>
      <c r="D354" t="str" cm="1">
        <f t="array" ref="D354">IFERROR(INDEX(ReferenceCard, MATCH(1, (INDEX(ReferenceCard,,1)=Table1[[#This Row],[SAP No]]) * (INDEX(ReferenceCard,,2)=Table1[[#This Row],[Mould No]]), 0), 6),)</f>
        <v>PET</v>
      </c>
      <c r="E354">
        <v>323133</v>
      </c>
      <c r="F354">
        <v>0</v>
      </c>
      <c r="G354" t="str" cm="1">
        <f t="array" ref="G354">IFERROR(INDEX(ReferenceCard, MATCH(1, (INDEX(ReferenceCard,,1)=Table1[[#This Row],[SAP No]]) * (INDEX(ReferenceCard,,2)=Table1[[#This Row],[Mould No]]), 0), 3),)</f>
        <v>BX38-2000-RH-R-CL(GREEN) (ASEM)</v>
      </c>
      <c r="H354">
        <v>0</v>
      </c>
      <c r="I354" cm="1">
        <f t="array" ref="I354">IFERROR(INDEX(ReferenceCard, MATCH(1, (INDEX(ReferenceCard,,1)=Table1[[#This Row],[SAP No]]) * (INDEX(ReferenceCard,,2)=Table1[[#This Row],[Mould No]]), 0), 4),)</f>
        <v>4</v>
      </c>
      <c r="J354" s="4" cm="1">
        <f t="array" ref="J354">IFERROR(INDEX(ReferenceCard, MATCH(1, (INDEX(ReferenceCard,,1)=Table1[[#This Row],[SAP No]]) * (INDEX(ReferenceCard,,2)=Table1[[#This Row],[Mould No]]), 0), 9),)</f>
        <v>77</v>
      </c>
      <c r="K354" s="4" cm="1">
        <f t="array" ref="K354">IFERROR(INDEX(ReferenceCard, MATCH(1, (INDEX(ReferenceCard,,1)=Table1[[#This Row],[SAP No]]) * (INDEX(ReferenceCard,,2)=Table1[[#This Row],[Mould No]]), 0), 7),)</f>
        <v>77</v>
      </c>
      <c r="L354">
        <v>0</v>
      </c>
      <c r="M354">
        <v>0</v>
      </c>
      <c r="N354">
        <v>0</v>
      </c>
      <c r="O354">
        <v>0</v>
      </c>
      <c r="P354">
        <f>Table1[[#This Row],[Shot]]*Table1[[#This Row],[Cav]]</f>
        <v>0</v>
      </c>
      <c r="Q354">
        <v>0</v>
      </c>
      <c r="R354">
        <f>(Table1[[#This Row],[Part Weight (gm)]]*Table1[[#This Row],[Finish Good]])/1000</f>
        <v>0</v>
      </c>
      <c r="S354">
        <v>0</v>
      </c>
      <c r="T354">
        <f>IF(Table1[[#This Row],[Qty Order]]="Sample","-",IF(Table1[[#This Row],[Qty Order]]="RTFN","-",Table1[[#This Row],[Qty Order]]-Table1[[#This Row],[Qty Accumulate]]))</f>
        <v>0</v>
      </c>
      <c r="U354">
        <f>((Table1[[#This Row],[Shift Output]]*Table1[[#This Row],[Part Weight (gm)]])/1000)+Table1[[#This Row],[Reject Startup (kg)]]+Table1[[#This Row],[Reject Purging (kg)]]+Table1[[#This Row],[Reject Preform (kg)]]</f>
        <v>0</v>
      </c>
      <c r="V354" s="37">
        <f>(Table1[[#This Row],[Gross Weight (gm)]]-Table1[[#This Row],[Part Weight (gm)]])*Table1[[#This Row],[Shift Output]]/1000</f>
        <v>0</v>
      </c>
      <c r="W354" s="3">
        <v>0</v>
      </c>
      <c r="X354" s="36" t="e">
        <f>Table1[[#This Row],[Reject Startup (kg)]]/Table1[[#This Row],[Material Used]]</f>
        <v>#DIV/0!</v>
      </c>
      <c r="Y354" s="3">
        <v>0</v>
      </c>
      <c r="Z354" s="36" t="e">
        <f>Table1[[#This Row],[Reject Prod (kg)]]/Table1[[#This Row],[Material Used]]</f>
        <v>#DIV/0!</v>
      </c>
      <c r="AA354" s="4">
        <v>0</v>
      </c>
      <c r="AB354" s="5">
        <v>0</v>
      </c>
      <c r="AC354" s="4" cm="1">
        <f t="array" ref="AC354">IFERROR(INDEX(ReferenceCard, MATCH(1, (INDEX(ReferenceCard,,1)=Table1[[#This Row],[SAP No]]) * (INDEX(ReferenceCard,,2)=Table1[[#This Row],[Mould No]]), 0), 9),)</f>
        <v>77</v>
      </c>
      <c r="AD354" s="5">
        <v>0</v>
      </c>
      <c r="AE354" s="5">
        <v>0</v>
      </c>
      <c r="AF354" s="5">
        <v>0</v>
      </c>
      <c r="AG354" s="5">
        <v>12</v>
      </c>
      <c r="AH354" s="5">
        <v>0</v>
      </c>
      <c r="AI354" s="5">
        <v>0</v>
      </c>
      <c r="AJ354" s="5">
        <v>0</v>
      </c>
      <c r="AK354" t="s">
        <v>81</v>
      </c>
      <c r="AL354" s="2"/>
      <c r="AM354" s="2"/>
      <c r="AN354" s="3">
        <v>0</v>
      </c>
      <c r="AO354" s="3">
        <v>0</v>
      </c>
      <c r="AP35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5" spans="1:42" x14ac:dyDescent="0.35">
      <c r="A355" s="1">
        <v>46012</v>
      </c>
      <c r="B355">
        <v>1</v>
      </c>
      <c r="C355" t="s">
        <v>27</v>
      </c>
      <c r="D355" t="str" cm="1">
        <f t="array" ref="D355">IFERROR(INDEX(ReferenceCard, MATCH(1, (INDEX(ReferenceCard,,1)=Table1[[#This Row],[SAP No]]) * (INDEX(ReferenceCard,,2)=Table1[[#This Row],[Mould No]]), 0), 6),)</f>
        <v>PPSB520Y</v>
      </c>
      <c r="E355">
        <v>552181</v>
      </c>
      <c r="F355">
        <v>4</v>
      </c>
      <c r="G355" t="str" cm="1">
        <f t="array" ref="G355">IFERROR(INDEX(ReferenceCard, MATCH(1, (INDEX(ReferenceCard,,1)=Table1[[#This Row],[SAP No]]) * (INDEX(ReferenceCard,,2)=Table1[[#This Row],[Mould No]]), 0), 3),)</f>
        <v>BC28-0090-D-APH-5180-3538-PP-6 NOTCHES-MOLD4</v>
      </c>
      <c r="H355">
        <v>0</v>
      </c>
      <c r="I355" cm="1">
        <f t="array" ref="I355">IFERROR(INDEX(ReferenceCard, MATCH(1, (INDEX(ReferenceCard,,1)=Table1[[#This Row],[SAP No]]) * (INDEX(ReferenceCard,,2)=Table1[[#This Row],[Mould No]]), 0), 4),)</f>
        <v>6</v>
      </c>
      <c r="J355" s="4" cm="1">
        <f t="array" ref="J355">IFERROR(INDEX(ReferenceCard, MATCH(1, (INDEX(ReferenceCard,,1)=Table1[[#This Row],[SAP No]]) * (INDEX(ReferenceCard,,2)=Table1[[#This Row],[Mould No]]), 0), 9),)</f>
        <v>18.8</v>
      </c>
      <c r="K355" s="4" cm="1">
        <f t="array" ref="K355">IFERROR(INDEX(ReferenceCard, MATCH(1, (INDEX(ReferenceCard,,1)=Table1[[#This Row],[SAP No]]) * (INDEX(ReferenceCard,,2)=Table1[[#This Row],[Mould No]]), 0), 7),)</f>
        <v>18.8</v>
      </c>
      <c r="L355">
        <v>26</v>
      </c>
      <c r="M355">
        <v>0</v>
      </c>
      <c r="N355">
        <v>0</v>
      </c>
      <c r="O355">
        <v>0</v>
      </c>
      <c r="P355">
        <f>Table1[[#This Row],[Shot]]*Table1[[#This Row],[Cav]]</f>
        <v>156</v>
      </c>
      <c r="Q355">
        <v>0</v>
      </c>
      <c r="R355">
        <f>(Table1[[#This Row],[Part Weight (gm)]]*Table1[[#This Row],[Finish Good]])/1000</f>
        <v>0</v>
      </c>
      <c r="S355">
        <v>0</v>
      </c>
      <c r="T355">
        <f>IF(Table1[[#This Row],[Qty Order]]="Sample","-",IF(Table1[[#This Row],[Qty Order]]="RTFN","-",Table1[[#This Row],[Qty Order]]-Table1[[#This Row],[Qty Accumulate]]))</f>
        <v>0</v>
      </c>
      <c r="U355">
        <f>((Table1[[#This Row],[Shift Output]]*Table1[[#This Row],[Part Weight (gm)]])/1000)+Table1[[#This Row],[Reject Startup (kg)]]+Table1[[#This Row],[Reject Purging (kg)]]+Table1[[#This Row],[Reject Preform (kg)]]</f>
        <v>2.9328000000000003</v>
      </c>
      <c r="V355" s="37">
        <f>(Table1[[#This Row],[Gross Weight (gm)]]-Table1[[#This Row],[Part Weight (gm)]])*Table1[[#This Row],[Shift Output]]/1000</f>
        <v>0</v>
      </c>
      <c r="W355" s="3">
        <v>0</v>
      </c>
      <c r="X355" s="36">
        <f>Table1[[#This Row],[Reject Startup (kg)]]/Table1[[#This Row],[Material Used]]</f>
        <v>0</v>
      </c>
      <c r="Y355" s="3">
        <v>0</v>
      </c>
      <c r="Z355" s="36">
        <f>Table1[[#This Row],[Reject Prod (kg)]]/Table1[[#This Row],[Material Used]]</f>
        <v>0</v>
      </c>
      <c r="AA355" s="4">
        <v>0</v>
      </c>
      <c r="AB355" s="5">
        <v>11.89</v>
      </c>
      <c r="AC355" s="4" cm="1">
        <f t="array" ref="AC355">IFERROR(INDEX(ReferenceCard, MATCH(1, (INDEX(ReferenceCard,,1)=Table1[[#This Row],[SAP No]]) * (INDEX(ReferenceCard,,2)=Table1[[#This Row],[Mould No]]), 0), 9),)</f>
        <v>18.8</v>
      </c>
      <c r="AD355" s="5">
        <v>0</v>
      </c>
      <c r="AE355" s="5">
        <v>0</v>
      </c>
      <c r="AF355" s="5">
        <v>0</v>
      </c>
      <c r="AG355" s="5">
        <v>0.11</v>
      </c>
      <c r="AH355" s="5">
        <v>0</v>
      </c>
      <c r="AI355" s="5">
        <v>0</v>
      </c>
      <c r="AJ355" s="5">
        <v>0</v>
      </c>
      <c r="AK355" t="s">
        <v>82</v>
      </c>
      <c r="AL355" s="2"/>
      <c r="AM355" s="2"/>
      <c r="AN355" s="3">
        <v>0</v>
      </c>
      <c r="AO355" s="3">
        <v>0</v>
      </c>
      <c r="AP35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6" spans="1:42" x14ac:dyDescent="0.35">
      <c r="A356" s="1">
        <v>46012</v>
      </c>
      <c r="B356">
        <v>1</v>
      </c>
      <c r="C356" t="s">
        <v>29</v>
      </c>
      <c r="D356" t="str" cm="1">
        <f t="array" ref="D356">IFERROR(INDEX(ReferenceCard, MATCH(1, (INDEX(ReferenceCard,,1)=Table1[[#This Row],[SAP No]]) * (INDEX(ReferenceCard,,2)=Table1[[#This Row],[Mould No]]), 0), 6),)</f>
        <v>PET</v>
      </c>
      <c r="E356">
        <v>620599</v>
      </c>
      <c r="F356">
        <v>0</v>
      </c>
      <c r="G356" t="str" cm="1">
        <f t="array" ref="G356">IFERROR(INDEX(ReferenceCard, MATCH(1, (INDEX(ReferenceCard,,1)=Table1[[#This Row],[SAP No]]) * (INDEX(ReferenceCard,,2)=Table1[[#This Row],[Mould No]]), 0), 3),)</f>
        <v>BC28-0750-K4-R-CL (55g)</v>
      </c>
      <c r="H356">
        <v>0</v>
      </c>
      <c r="I356" cm="1">
        <f t="array" ref="I356">IFERROR(INDEX(ReferenceCard, MATCH(1, (INDEX(ReferenceCard,,1)=Table1[[#This Row],[SAP No]]) * (INDEX(ReferenceCard,,2)=Table1[[#This Row],[Mould No]]), 0), 4),)</f>
        <v>4</v>
      </c>
      <c r="J356" s="4" cm="1">
        <f t="array" ref="J356">IFERROR(INDEX(ReferenceCard, MATCH(1, (INDEX(ReferenceCard,,1)=Table1[[#This Row],[SAP No]]) * (INDEX(ReferenceCard,,2)=Table1[[#This Row],[Mould No]]), 0), 9),)</f>
        <v>55</v>
      </c>
      <c r="K356" s="4" cm="1">
        <f t="array" ref="K356">IFERROR(INDEX(ReferenceCard, MATCH(1, (INDEX(ReferenceCard,,1)=Table1[[#This Row],[SAP No]]) * (INDEX(ReferenceCard,,2)=Table1[[#This Row],[Mould No]]), 0), 7),)</f>
        <v>55</v>
      </c>
      <c r="L356">
        <v>0</v>
      </c>
      <c r="M356">
        <v>0</v>
      </c>
      <c r="N356">
        <v>0</v>
      </c>
      <c r="O356">
        <v>0</v>
      </c>
      <c r="P356">
        <f>Table1[[#This Row],[Shot]]*Table1[[#This Row],[Cav]]</f>
        <v>0</v>
      </c>
      <c r="Q356">
        <v>0</v>
      </c>
      <c r="R356">
        <f>(Table1[[#This Row],[Part Weight (gm)]]*Table1[[#This Row],[Finish Good]])/1000</f>
        <v>0</v>
      </c>
      <c r="S356">
        <v>0</v>
      </c>
      <c r="T356">
        <f>IF(Table1[[#This Row],[Qty Order]]="Sample","-",IF(Table1[[#This Row],[Qty Order]]="RTFN","-",Table1[[#This Row],[Qty Order]]-Table1[[#This Row],[Qty Accumulate]]))</f>
        <v>0</v>
      </c>
      <c r="U356">
        <f>((Table1[[#This Row],[Shift Output]]*Table1[[#This Row],[Part Weight (gm)]])/1000)+Table1[[#This Row],[Reject Startup (kg)]]+Table1[[#This Row],[Reject Purging (kg)]]+Table1[[#This Row],[Reject Preform (kg)]]</f>
        <v>0</v>
      </c>
      <c r="V356" s="37">
        <f>(Table1[[#This Row],[Gross Weight (gm)]]-Table1[[#This Row],[Part Weight (gm)]])*Table1[[#This Row],[Shift Output]]/1000</f>
        <v>0</v>
      </c>
      <c r="W356" s="3">
        <v>0</v>
      </c>
      <c r="X356" s="36" t="e">
        <f>Table1[[#This Row],[Reject Startup (kg)]]/Table1[[#This Row],[Material Used]]</f>
        <v>#DIV/0!</v>
      </c>
      <c r="Y356" s="3">
        <v>0</v>
      </c>
      <c r="Z356" s="36" t="e">
        <f>Table1[[#This Row],[Reject Prod (kg)]]/Table1[[#This Row],[Material Used]]</f>
        <v>#DIV/0!</v>
      </c>
      <c r="AA356" s="4">
        <v>0</v>
      </c>
      <c r="AB356" s="5">
        <v>0</v>
      </c>
      <c r="AC356" s="4" cm="1">
        <f t="array" ref="AC356">IFERROR(INDEX(ReferenceCard, MATCH(1, (INDEX(ReferenceCard,,1)=Table1[[#This Row],[SAP No]]) * (INDEX(ReferenceCard,,2)=Table1[[#This Row],[Mould No]]), 0), 9),)</f>
        <v>55</v>
      </c>
      <c r="AD356" s="5">
        <v>0</v>
      </c>
      <c r="AE356" s="5">
        <v>0</v>
      </c>
      <c r="AF356" s="5">
        <v>0</v>
      </c>
      <c r="AG356" s="5">
        <v>0</v>
      </c>
      <c r="AH356" s="5">
        <v>12</v>
      </c>
      <c r="AI356" s="5">
        <v>0</v>
      </c>
      <c r="AJ356" s="5">
        <v>0</v>
      </c>
      <c r="AL356" s="2"/>
      <c r="AM356" s="2"/>
      <c r="AN356" s="3">
        <v>0</v>
      </c>
      <c r="AO356" s="3">
        <v>0</v>
      </c>
      <c r="AP35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7" spans="1:42" x14ac:dyDescent="0.35">
      <c r="A357" s="1">
        <v>46012</v>
      </c>
      <c r="B357">
        <v>1</v>
      </c>
      <c r="C357" t="s">
        <v>31</v>
      </c>
      <c r="D357" t="str" cm="1">
        <f t="array" ref="D357">IFERROR(INDEX(ReferenceCard, MATCH(1, (INDEX(ReferenceCard,,1)=Table1[[#This Row],[SAP No]]) * (INDEX(ReferenceCard,,2)=Table1[[#This Row],[Mould No]]), 0), 6),)</f>
        <v>PPSB520Y</v>
      </c>
      <c r="E357">
        <v>586276</v>
      </c>
      <c r="F357">
        <v>4</v>
      </c>
      <c r="G357" t="str" cm="1">
        <f t="array" ref="G357">IFERROR(INDEX(ReferenceCard, MATCH(1, (INDEX(ReferenceCard,,1)=Table1[[#This Row],[SAP No]]) * (INDEX(ReferenceCard,,2)=Table1[[#This Row],[Mould No]]), 0), 3),)</f>
        <v>BC28-0056-D-APH-LEB-604001-MOLD4</v>
      </c>
      <c r="H357">
        <v>0</v>
      </c>
      <c r="I357" cm="1">
        <f t="array" ref="I357">IFERROR(INDEX(ReferenceCard, MATCH(1, (INDEX(ReferenceCard,,1)=Table1[[#This Row],[SAP No]]) * (INDEX(ReferenceCard,,2)=Table1[[#This Row],[Mould No]]), 0), 4),)</f>
        <v>6</v>
      </c>
      <c r="J357" s="4" cm="1">
        <f t="array" ref="J357">IFERROR(INDEX(ReferenceCard, MATCH(1, (INDEX(ReferenceCard,,1)=Table1[[#This Row],[SAP No]]) * (INDEX(ReferenceCard,,2)=Table1[[#This Row],[Mould No]]), 0), 9),)</f>
        <v>12.3</v>
      </c>
      <c r="K357" s="4" cm="1">
        <f t="array" ref="K357">IFERROR(INDEX(ReferenceCard, MATCH(1, (INDEX(ReferenceCard,,1)=Table1[[#This Row],[SAP No]]) * (INDEX(ReferenceCard,,2)=Table1[[#This Row],[Mould No]]), 0), 7),)</f>
        <v>12.3</v>
      </c>
      <c r="L357">
        <v>1652</v>
      </c>
      <c r="M357">
        <v>0</v>
      </c>
      <c r="N357">
        <v>0</v>
      </c>
      <c r="O357">
        <v>0</v>
      </c>
      <c r="P357">
        <f>Table1[[#This Row],[Shot]]*Table1[[#This Row],[Cav]]</f>
        <v>9912</v>
      </c>
      <c r="Q357">
        <v>0</v>
      </c>
      <c r="R357">
        <f>(Table1[[#This Row],[Part Weight (gm)]]*Table1[[#This Row],[Finish Good]])/1000</f>
        <v>0</v>
      </c>
      <c r="S357">
        <v>0</v>
      </c>
      <c r="T357">
        <f>IF(Table1[[#This Row],[Qty Order]]="Sample","-",IF(Table1[[#This Row],[Qty Order]]="RTFN","-",Table1[[#This Row],[Qty Order]]-Table1[[#This Row],[Qty Accumulate]]))</f>
        <v>0</v>
      </c>
      <c r="U357">
        <f>((Table1[[#This Row],[Shift Output]]*Table1[[#This Row],[Part Weight (gm)]])/1000)+Table1[[#This Row],[Reject Startup (kg)]]+Table1[[#This Row],[Reject Purging (kg)]]+Table1[[#This Row],[Reject Preform (kg)]]</f>
        <v>121.91760000000001</v>
      </c>
      <c r="V357" s="37">
        <f>(Table1[[#This Row],[Gross Weight (gm)]]-Table1[[#This Row],[Part Weight (gm)]])*Table1[[#This Row],[Shift Output]]/1000</f>
        <v>0</v>
      </c>
      <c r="W357" s="3">
        <v>0</v>
      </c>
      <c r="X357" s="36">
        <f>Table1[[#This Row],[Reject Startup (kg)]]/Table1[[#This Row],[Material Used]]</f>
        <v>0</v>
      </c>
      <c r="Y357" s="3">
        <v>0</v>
      </c>
      <c r="Z357" s="36">
        <f>Table1[[#This Row],[Reject Prod (kg)]]/Table1[[#This Row],[Material Used]]</f>
        <v>0</v>
      </c>
      <c r="AA357" s="4">
        <v>26.135646820068299</v>
      </c>
      <c r="AB357" s="5">
        <v>12</v>
      </c>
      <c r="AC357" s="4" cm="1">
        <f t="array" ref="AC357">IFERROR(INDEX(ReferenceCard, MATCH(1, (INDEX(ReferenceCard,,1)=Table1[[#This Row],[SAP No]]) * (INDEX(ReferenceCard,,2)=Table1[[#This Row],[Mould No]]), 0), 9),)</f>
        <v>12.3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L357" s="2"/>
      <c r="AM357" s="2"/>
      <c r="AN357" s="3">
        <v>0</v>
      </c>
      <c r="AO357" s="3">
        <v>0</v>
      </c>
      <c r="AP35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8" spans="1:42" x14ac:dyDescent="0.35">
      <c r="A358" s="1">
        <v>46012</v>
      </c>
      <c r="B358">
        <v>1</v>
      </c>
      <c r="C358" t="s">
        <v>33</v>
      </c>
      <c r="D358" t="str" cm="1">
        <f t="array" ref="D358">IFERROR(INDEX(ReferenceCard, MATCH(1, (INDEX(ReferenceCard,,1)=Table1[[#This Row],[SAP No]]) * (INDEX(ReferenceCard,,2)=Table1[[#This Row],[Mould No]]), 0), 6),)</f>
        <v>PET</v>
      </c>
      <c r="E358">
        <v>541381</v>
      </c>
      <c r="F358">
        <v>0</v>
      </c>
      <c r="G358" t="str" cm="1">
        <f t="array" ref="G358">IFERROR(INDEX(ReferenceCard, MATCH(1, (INDEX(ReferenceCard,,1)=Table1[[#This Row],[SAP No]]) * (INDEX(ReferenceCard,,2)=Table1[[#This Row],[Mould No]]), 0), 3),)</f>
        <v>BC28-1200-K-R-CL</v>
      </c>
      <c r="H358">
        <v>0</v>
      </c>
      <c r="I358" cm="1">
        <f t="array" ref="I358">IFERROR(INDEX(ReferenceCard, MATCH(1, (INDEX(ReferenceCard,,1)=Table1[[#This Row],[SAP No]]) * (INDEX(ReferenceCard,,2)=Table1[[#This Row],[Mould No]]), 0), 4),)</f>
        <v>4</v>
      </c>
      <c r="J358" s="4" cm="1">
        <f t="array" ref="J358">IFERROR(INDEX(ReferenceCard, MATCH(1, (INDEX(ReferenceCard,,1)=Table1[[#This Row],[SAP No]]) * (INDEX(ReferenceCard,,2)=Table1[[#This Row],[Mould No]]), 0), 9),)</f>
        <v>55</v>
      </c>
      <c r="K358" s="4" cm="1">
        <f t="array" ref="K358">IFERROR(INDEX(ReferenceCard, MATCH(1, (INDEX(ReferenceCard,,1)=Table1[[#This Row],[SAP No]]) * (INDEX(ReferenceCard,,2)=Table1[[#This Row],[Mould No]]), 0), 7),)</f>
        <v>55</v>
      </c>
      <c r="L358">
        <v>1012</v>
      </c>
      <c r="M358">
        <v>0</v>
      </c>
      <c r="N358">
        <v>0</v>
      </c>
      <c r="O358">
        <v>0</v>
      </c>
      <c r="P358">
        <f>Table1[[#This Row],[Shot]]*Table1[[#This Row],[Cav]]</f>
        <v>4048</v>
      </c>
      <c r="Q358">
        <v>0</v>
      </c>
      <c r="R358">
        <f>(Table1[[#This Row],[Part Weight (gm)]]*Table1[[#This Row],[Finish Good]])/1000</f>
        <v>0</v>
      </c>
      <c r="S358">
        <v>0</v>
      </c>
      <c r="T358">
        <f>IF(Table1[[#This Row],[Qty Order]]="Sample","-",IF(Table1[[#This Row],[Qty Order]]="RTFN","-",Table1[[#This Row],[Qty Order]]-Table1[[#This Row],[Qty Accumulate]]))</f>
        <v>0</v>
      </c>
      <c r="U358">
        <f>((Table1[[#This Row],[Shift Output]]*Table1[[#This Row],[Part Weight (gm)]])/1000)+Table1[[#This Row],[Reject Startup (kg)]]+Table1[[#This Row],[Reject Purging (kg)]]+Table1[[#This Row],[Reject Preform (kg)]]</f>
        <v>222.64</v>
      </c>
      <c r="V358" s="37">
        <f>(Table1[[#This Row],[Gross Weight (gm)]]-Table1[[#This Row],[Part Weight (gm)]])*Table1[[#This Row],[Shift Output]]/1000</f>
        <v>0</v>
      </c>
      <c r="W358" s="3">
        <v>0</v>
      </c>
      <c r="X358" s="36">
        <f>Table1[[#This Row],[Reject Startup (kg)]]/Table1[[#This Row],[Material Used]]</f>
        <v>0</v>
      </c>
      <c r="Y358" s="3">
        <v>0</v>
      </c>
      <c r="Z358" s="36">
        <f>Table1[[#This Row],[Reject Prod (kg)]]/Table1[[#This Row],[Material Used]]</f>
        <v>0</v>
      </c>
      <c r="AA358" s="4">
        <v>42.688117980957003</v>
      </c>
      <c r="AB358" s="5">
        <v>12</v>
      </c>
      <c r="AC358" s="4" cm="1">
        <f t="array" ref="AC358">IFERROR(INDEX(ReferenceCard, MATCH(1, (INDEX(ReferenceCard,,1)=Table1[[#This Row],[SAP No]]) * (INDEX(ReferenceCard,,2)=Table1[[#This Row],[Mould No]]), 0), 9),)</f>
        <v>55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L358" s="2"/>
      <c r="AM358" s="2"/>
      <c r="AN358" s="3">
        <v>0</v>
      </c>
      <c r="AO358" s="3">
        <v>0</v>
      </c>
      <c r="AP35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59" spans="1:42" x14ac:dyDescent="0.35">
      <c r="A359" s="1">
        <v>46012</v>
      </c>
      <c r="B359">
        <v>1</v>
      </c>
      <c r="C359" t="s">
        <v>35</v>
      </c>
      <c r="D359" t="str" cm="1">
        <f t="array" ref="D359">IFERROR(INDEX(ReferenceCard, MATCH(1, (INDEX(ReferenceCard,,1)=Table1[[#This Row],[SAP No]]) * (INDEX(ReferenceCard,,2)=Table1[[#This Row],[Mould No]]), 0), 6),)</f>
        <v>PPSB520Y</v>
      </c>
      <c r="E359">
        <v>552181</v>
      </c>
      <c r="F359">
        <v>1</v>
      </c>
      <c r="G359" t="str" cm="1">
        <f t="array" ref="G359">IFERROR(INDEX(ReferenceCard, MATCH(1, (INDEX(ReferenceCard,,1)=Table1[[#This Row],[SAP No]]) * (INDEX(ReferenceCard,,2)=Table1[[#This Row],[Mould No]]), 0), 3),)</f>
        <v>BC28-0090-D-APH-5180-3538-PP-6 NOTCHES-MOLD1</v>
      </c>
      <c r="H359">
        <v>0</v>
      </c>
      <c r="I359" cm="1">
        <f t="array" ref="I359">IFERROR(INDEX(ReferenceCard, MATCH(1, (INDEX(ReferenceCard,,1)=Table1[[#This Row],[SAP No]]) * (INDEX(ReferenceCard,,2)=Table1[[#This Row],[Mould No]]), 0), 4),)</f>
        <v>6</v>
      </c>
      <c r="J359" s="4" cm="1">
        <f t="array" ref="J359">IFERROR(INDEX(ReferenceCard, MATCH(1, (INDEX(ReferenceCard,,1)=Table1[[#This Row],[SAP No]]) * (INDEX(ReferenceCard,,2)=Table1[[#This Row],[Mould No]]), 0), 9),)</f>
        <v>18.8</v>
      </c>
      <c r="K359" s="4" cm="1">
        <f t="array" ref="K359">IFERROR(INDEX(ReferenceCard, MATCH(1, (INDEX(ReferenceCard,,1)=Table1[[#This Row],[SAP No]]) * (INDEX(ReferenceCard,,2)=Table1[[#This Row],[Mould No]]), 0), 7),)</f>
        <v>18.8</v>
      </c>
      <c r="L359">
        <v>1389</v>
      </c>
      <c r="M359">
        <v>0</v>
      </c>
      <c r="N359">
        <v>0</v>
      </c>
      <c r="O359">
        <v>0</v>
      </c>
      <c r="P359">
        <f>Table1[[#This Row],[Shot]]*Table1[[#This Row],[Cav]]</f>
        <v>8334</v>
      </c>
      <c r="Q359">
        <v>0</v>
      </c>
      <c r="R359">
        <f>(Table1[[#This Row],[Part Weight (gm)]]*Table1[[#This Row],[Finish Good]])/1000</f>
        <v>0</v>
      </c>
      <c r="S359">
        <v>0</v>
      </c>
      <c r="T359">
        <f>IF(Table1[[#This Row],[Qty Order]]="Sample","-",IF(Table1[[#This Row],[Qty Order]]="RTFN","-",Table1[[#This Row],[Qty Order]]-Table1[[#This Row],[Qty Accumulate]]))</f>
        <v>0</v>
      </c>
      <c r="U359">
        <f>((Table1[[#This Row],[Shift Output]]*Table1[[#This Row],[Part Weight (gm)]])/1000)+Table1[[#This Row],[Reject Startup (kg)]]+Table1[[#This Row],[Reject Purging (kg)]]+Table1[[#This Row],[Reject Preform (kg)]]</f>
        <v>156.67920000000001</v>
      </c>
      <c r="V359" s="37">
        <f>(Table1[[#This Row],[Gross Weight (gm)]]-Table1[[#This Row],[Part Weight (gm)]])*Table1[[#This Row],[Shift Output]]/1000</f>
        <v>0</v>
      </c>
      <c r="W359" s="3">
        <v>0</v>
      </c>
      <c r="X359" s="36">
        <f>Table1[[#This Row],[Reject Startup (kg)]]/Table1[[#This Row],[Material Used]]</f>
        <v>0</v>
      </c>
      <c r="Y359" s="3">
        <v>0</v>
      </c>
      <c r="Z359" s="36">
        <f>Table1[[#This Row],[Reject Prod (kg)]]/Table1[[#This Row],[Material Used]]</f>
        <v>0</v>
      </c>
      <c r="AA359" s="4">
        <v>31.075269699096602</v>
      </c>
      <c r="AB359" s="5">
        <v>12</v>
      </c>
      <c r="AC359" s="4" cm="1">
        <f t="array" ref="AC359">IFERROR(INDEX(ReferenceCard, MATCH(1, (INDEX(ReferenceCard,,1)=Table1[[#This Row],[SAP No]]) * (INDEX(ReferenceCard,,2)=Table1[[#This Row],[Mould No]]), 0), 9),)</f>
        <v>18.8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L359" s="2"/>
      <c r="AM359" s="2"/>
      <c r="AN359" s="3">
        <v>0</v>
      </c>
      <c r="AO359" s="3">
        <v>0</v>
      </c>
      <c r="AP35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0" spans="1:42" x14ac:dyDescent="0.35">
      <c r="A360" s="1">
        <v>46012</v>
      </c>
      <c r="B360">
        <v>1</v>
      </c>
      <c r="C360" t="s">
        <v>18</v>
      </c>
      <c r="D360" t="str" cm="1">
        <f t="array" ref="D360">IFERROR(INDEX(ReferenceCard, MATCH(1, (INDEX(ReferenceCard,,1)=Table1[[#This Row],[SAP No]]) * (INDEX(ReferenceCard,,2)=Table1[[#This Row],[Mould No]]), 0), 6),)</f>
        <v>PPSB520Y</v>
      </c>
      <c r="E360">
        <v>555979</v>
      </c>
      <c r="F360">
        <v>4</v>
      </c>
      <c r="G360" t="str" cm="1">
        <f t="array" ref="G360">IFERROR(INDEX(ReferenceCard, MATCH(1, (INDEX(ReferenceCard,,1)=Table1[[#This Row],[SAP No]]) * (INDEX(ReferenceCard,,2)=Table1[[#This Row],[Mould No]]), 0), 3),)</f>
        <v>BC28-0170-D-APH-5180-3539-PP-6 NOTCHES-MOLD4</v>
      </c>
      <c r="H360">
        <v>0</v>
      </c>
      <c r="I360" cm="1">
        <f t="array" ref="I360">IFERROR(INDEX(ReferenceCard, MATCH(1, (INDEX(ReferenceCard,,1)=Table1[[#This Row],[SAP No]]) * (INDEX(ReferenceCard,,2)=Table1[[#This Row],[Mould No]]), 0), 4),)</f>
        <v>6</v>
      </c>
      <c r="J360" s="4" cm="1">
        <f t="array" ref="J360">IFERROR(INDEX(ReferenceCard, MATCH(1, (INDEX(ReferenceCard,,1)=Table1[[#This Row],[SAP No]]) * (INDEX(ReferenceCard,,2)=Table1[[#This Row],[Mould No]]), 0), 9),)</f>
        <v>28</v>
      </c>
      <c r="K360" s="4" cm="1">
        <f t="array" ref="K360">IFERROR(INDEX(ReferenceCard, MATCH(1, (INDEX(ReferenceCard,,1)=Table1[[#This Row],[SAP No]]) * (INDEX(ReferenceCard,,2)=Table1[[#This Row],[Mould No]]), 0), 7),)</f>
        <v>28</v>
      </c>
      <c r="L360">
        <v>992</v>
      </c>
      <c r="M360">
        <v>0</v>
      </c>
      <c r="N360">
        <v>0</v>
      </c>
      <c r="O360">
        <v>0</v>
      </c>
      <c r="P360">
        <f>Table1[[#This Row],[Shot]]*Table1[[#This Row],[Cav]]</f>
        <v>5952</v>
      </c>
      <c r="Q360">
        <v>0</v>
      </c>
      <c r="R360">
        <f>(Table1[[#This Row],[Part Weight (gm)]]*Table1[[#This Row],[Finish Good]])/1000</f>
        <v>0</v>
      </c>
      <c r="S360">
        <v>0</v>
      </c>
      <c r="T360">
        <f>IF(Table1[[#This Row],[Qty Order]]="Sample","-",IF(Table1[[#This Row],[Qty Order]]="RTFN","-",Table1[[#This Row],[Qty Order]]-Table1[[#This Row],[Qty Accumulate]]))</f>
        <v>0</v>
      </c>
      <c r="U360">
        <f>((Table1[[#This Row],[Shift Output]]*Table1[[#This Row],[Part Weight (gm)]])/1000)+Table1[[#This Row],[Reject Startup (kg)]]+Table1[[#This Row],[Reject Purging (kg)]]+Table1[[#This Row],[Reject Preform (kg)]]</f>
        <v>166.65600000000001</v>
      </c>
      <c r="V360" s="37">
        <f>(Table1[[#This Row],[Gross Weight (gm)]]-Table1[[#This Row],[Part Weight (gm)]])*Table1[[#This Row],[Shift Output]]/1000</f>
        <v>0</v>
      </c>
      <c r="W360" s="3">
        <v>0</v>
      </c>
      <c r="X360" s="36">
        <f>Table1[[#This Row],[Reject Startup (kg)]]/Table1[[#This Row],[Material Used]]</f>
        <v>0</v>
      </c>
      <c r="Y360" s="3">
        <v>0</v>
      </c>
      <c r="Z360" s="36">
        <f>Table1[[#This Row],[Reject Prod (kg)]]/Table1[[#This Row],[Material Used]]</f>
        <v>0</v>
      </c>
      <c r="AA360" s="4">
        <v>43.5</v>
      </c>
      <c r="AB360" s="5">
        <v>12</v>
      </c>
      <c r="AC360" s="4" cm="1">
        <f t="array" ref="AC360">IFERROR(INDEX(ReferenceCard, MATCH(1, (INDEX(ReferenceCard,,1)=Table1[[#This Row],[SAP No]]) * (INDEX(ReferenceCard,,2)=Table1[[#This Row],[Mould No]]), 0), 9),)</f>
        <v>28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L360" s="2"/>
      <c r="AM360" s="2"/>
      <c r="AN360" s="3">
        <v>0</v>
      </c>
      <c r="AO360" s="3">
        <v>0</v>
      </c>
      <c r="AP36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1" spans="1:42" x14ac:dyDescent="0.35">
      <c r="A361" s="1">
        <v>46011</v>
      </c>
      <c r="B361">
        <v>2</v>
      </c>
      <c r="C361" t="s">
        <v>18</v>
      </c>
      <c r="D361" t="str" cm="1">
        <f t="array" ref="D361">IFERROR(INDEX(ReferenceCard, MATCH(1, (INDEX(ReferenceCard,,1)=Table1[[#This Row],[SAP No]]) * (INDEX(ReferenceCard,,2)=Table1[[#This Row],[Mould No]]), 0), 6),)</f>
        <v>PPSB520Y</v>
      </c>
      <c r="E361">
        <v>555979</v>
      </c>
      <c r="F361">
        <v>4</v>
      </c>
      <c r="G361" t="str" cm="1">
        <f t="array" ref="G361">IFERROR(INDEX(ReferenceCard, MATCH(1, (INDEX(ReferenceCard,,1)=Table1[[#This Row],[SAP No]]) * (INDEX(ReferenceCard,,2)=Table1[[#This Row],[Mould No]]), 0), 3),)</f>
        <v>BC28-0170-D-APH-5180-3539-PP-6 NOTCHES-MOLD4</v>
      </c>
      <c r="H361">
        <v>0</v>
      </c>
      <c r="I361" cm="1">
        <f t="array" ref="I361">IFERROR(INDEX(ReferenceCard, MATCH(1, (INDEX(ReferenceCard,,1)=Table1[[#This Row],[SAP No]]) * (INDEX(ReferenceCard,,2)=Table1[[#This Row],[Mould No]]), 0), 4),)</f>
        <v>6</v>
      </c>
      <c r="J361" s="4" cm="1">
        <f t="array" ref="J361">IFERROR(INDEX(ReferenceCard, MATCH(1, (INDEX(ReferenceCard,,1)=Table1[[#This Row],[SAP No]]) * (INDEX(ReferenceCard,,2)=Table1[[#This Row],[Mould No]]), 0), 9),)</f>
        <v>28</v>
      </c>
      <c r="K361" s="4" cm="1">
        <f t="array" ref="K361">IFERROR(INDEX(ReferenceCard, MATCH(1, (INDEX(ReferenceCard,,1)=Table1[[#This Row],[SAP No]]) * (INDEX(ReferenceCard,,2)=Table1[[#This Row],[Mould No]]), 0), 7),)</f>
        <v>28</v>
      </c>
      <c r="L361">
        <v>981</v>
      </c>
      <c r="M361">
        <v>0</v>
      </c>
      <c r="N361">
        <v>0</v>
      </c>
      <c r="O361">
        <v>0</v>
      </c>
      <c r="P361">
        <f>Table1[[#This Row],[Shot]]*Table1[[#This Row],[Cav]]</f>
        <v>5886</v>
      </c>
      <c r="Q361">
        <v>0</v>
      </c>
      <c r="R361">
        <f>(Table1[[#This Row],[Part Weight (gm)]]*Table1[[#This Row],[Finish Good]])/1000</f>
        <v>0</v>
      </c>
      <c r="S361">
        <v>0</v>
      </c>
      <c r="T361">
        <f>IF(Table1[[#This Row],[Qty Order]]="Sample","-",IF(Table1[[#This Row],[Qty Order]]="RTFN","-",Table1[[#This Row],[Qty Order]]-Table1[[#This Row],[Qty Accumulate]]))</f>
        <v>0</v>
      </c>
      <c r="U361">
        <f>((Table1[[#This Row],[Shift Output]]*Table1[[#This Row],[Part Weight (gm)]])/1000)+Table1[[#This Row],[Reject Startup (kg)]]+Table1[[#This Row],[Reject Purging (kg)]]+Table1[[#This Row],[Reject Preform (kg)]]</f>
        <v>164.80799999999999</v>
      </c>
      <c r="V361" s="37">
        <f>(Table1[[#This Row],[Gross Weight (gm)]]-Table1[[#This Row],[Part Weight (gm)]])*Table1[[#This Row],[Shift Output]]/1000</f>
        <v>0</v>
      </c>
      <c r="W361" s="3">
        <v>0</v>
      </c>
      <c r="X361" s="36">
        <f>Table1[[#This Row],[Reject Startup (kg)]]/Table1[[#This Row],[Material Used]]</f>
        <v>0</v>
      </c>
      <c r="Y361" s="3">
        <v>0</v>
      </c>
      <c r="Z361" s="36">
        <f>Table1[[#This Row],[Reject Prod (kg)]]/Table1[[#This Row],[Material Used]]</f>
        <v>0</v>
      </c>
      <c r="AA361" s="4">
        <v>43.5</v>
      </c>
      <c r="AB361" s="5">
        <v>12</v>
      </c>
      <c r="AC361" s="4" cm="1">
        <f t="array" ref="AC361">IFERROR(INDEX(ReferenceCard, MATCH(1, (INDEX(ReferenceCard,,1)=Table1[[#This Row],[SAP No]]) * (INDEX(ReferenceCard,,2)=Table1[[#This Row],[Mould No]]), 0), 9),)</f>
        <v>28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L361" s="2"/>
      <c r="AM361" s="2"/>
      <c r="AN361" s="3">
        <v>0</v>
      </c>
      <c r="AO361" s="3">
        <v>0</v>
      </c>
      <c r="AP36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2" spans="1:42" x14ac:dyDescent="0.35">
      <c r="A362" s="1">
        <v>46011</v>
      </c>
      <c r="B362">
        <v>2</v>
      </c>
      <c r="C362" t="s">
        <v>0</v>
      </c>
      <c r="D362" t="str" cm="1">
        <f t="array" ref="D362">IFERROR(INDEX(ReferenceCard, MATCH(1, (INDEX(ReferenceCard,,1)=Table1[[#This Row],[SAP No]]) * (INDEX(ReferenceCard,,2)=Table1[[#This Row],[Mould No]]), 0), 6),)</f>
        <v>PET</v>
      </c>
      <c r="E362">
        <v>347623</v>
      </c>
      <c r="F362">
        <v>0</v>
      </c>
      <c r="G362" t="str" cm="1">
        <f t="array" ref="G362">IFERROR(INDEX(ReferenceCard, MATCH(1, (INDEX(ReferenceCard,,1)=Table1[[#This Row],[SAP No]]) * (INDEX(ReferenceCard,,2)=Table1[[#This Row],[Mould No]]), 0), 3),)</f>
        <v>BC28-0375-K-R-CL</v>
      </c>
      <c r="H362">
        <v>0</v>
      </c>
      <c r="I362" cm="1">
        <f t="array" ref="I362">IFERROR(INDEX(ReferenceCard, MATCH(1, (INDEX(ReferenceCard,,1)=Table1[[#This Row],[SAP No]]) * (INDEX(ReferenceCard,,2)=Table1[[#This Row],[Mould No]]), 0), 4),)</f>
        <v>4</v>
      </c>
      <c r="J362" s="4" cm="1">
        <f t="array" ref="J362">IFERROR(INDEX(ReferenceCard, MATCH(1, (INDEX(ReferenceCard,,1)=Table1[[#This Row],[SAP No]]) * (INDEX(ReferenceCard,,2)=Table1[[#This Row],[Mould No]]), 0), 9),)</f>
        <v>35.6</v>
      </c>
      <c r="K362" s="4" cm="1">
        <f t="array" ref="K362">IFERROR(INDEX(ReferenceCard, MATCH(1, (INDEX(ReferenceCard,,1)=Table1[[#This Row],[SAP No]]) * (INDEX(ReferenceCard,,2)=Table1[[#This Row],[Mould No]]), 0), 7),)</f>
        <v>35.6</v>
      </c>
      <c r="L362">
        <v>1627</v>
      </c>
      <c r="M362">
        <v>0</v>
      </c>
      <c r="N362">
        <v>0</v>
      </c>
      <c r="O362">
        <v>0</v>
      </c>
      <c r="P362">
        <f>Table1[[#This Row],[Shot]]*Table1[[#This Row],[Cav]]</f>
        <v>6508</v>
      </c>
      <c r="Q362">
        <v>0</v>
      </c>
      <c r="R362">
        <f>(Table1[[#This Row],[Part Weight (gm)]]*Table1[[#This Row],[Finish Good]])/1000</f>
        <v>0</v>
      </c>
      <c r="S362">
        <v>0</v>
      </c>
      <c r="T362">
        <f>IF(Table1[[#This Row],[Qty Order]]="Sample","-",IF(Table1[[#This Row],[Qty Order]]="RTFN","-",Table1[[#This Row],[Qty Order]]-Table1[[#This Row],[Qty Accumulate]]))</f>
        <v>0</v>
      </c>
      <c r="U362">
        <f>((Table1[[#This Row],[Shift Output]]*Table1[[#This Row],[Part Weight (gm)]])/1000)+Table1[[#This Row],[Reject Startup (kg)]]+Table1[[#This Row],[Reject Purging (kg)]]+Table1[[#This Row],[Reject Preform (kg)]]</f>
        <v>231.68480000000002</v>
      </c>
      <c r="V362" s="37">
        <f>(Table1[[#This Row],[Gross Weight (gm)]]-Table1[[#This Row],[Part Weight (gm)]])*Table1[[#This Row],[Shift Output]]/1000</f>
        <v>0</v>
      </c>
      <c r="W362" s="3">
        <v>0</v>
      </c>
      <c r="X362" s="36">
        <f>Table1[[#This Row],[Reject Startup (kg)]]/Table1[[#This Row],[Material Used]]</f>
        <v>0</v>
      </c>
      <c r="Y362" s="3">
        <v>0</v>
      </c>
      <c r="Z362" s="36">
        <f>Table1[[#This Row],[Reject Prod (kg)]]/Table1[[#This Row],[Material Used]]</f>
        <v>0</v>
      </c>
      <c r="AA362" s="4">
        <v>26.551439285278299</v>
      </c>
      <c r="AB362" s="5">
        <v>12</v>
      </c>
      <c r="AC362" s="4" cm="1">
        <f t="array" ref="AC362">IFERROR(INDEX(ReferenceCard, MATCH(1, (INDEX(ReferenceCard,,1)=Table1[[#This Row],[SAP No]]) * (INDEX(ReferenceCard,,2)=Table1[[#This Row],[Mould No]]), 0), 9),)</f>
        <v>35.6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L362" s="2"/>
      <c r="AM362" s="2"/>
      <c r="AN362" s="3">
        <v>0</v>
      </c>
      <c r="AO362" s="3">
        <v>0</v>
      </c>
      <c r="AP36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3" spans="1:42" x14ac:dyDescent="0.35">
      <c r="A363" s="1">
        <v>46011</v>
      </c>
      <c r="B363">
        <v>2</v>
      </c>
      <c r="C363" t="s">
        <v>3</v>
      </c>
      <c r="D363" t="str" cm="1">
        <f t="array" ref="D363">IFERROR(INDEX(ReferenceCard, MATCH(1, (INDEX(ReferenceCard,,1)=Table1[[#This Row],[SAP No]]) * (INDEX(ReferenceCard,,2)=Table1[[#This Row],[Mould No]]), 0), 6),)</f>
        <v>PET</v>
      </c>
      <c r="E363">
        <v>423215</v>
      </c>
      <c r="F363">
        <v>0</v>
      </c>
      <c r="G363" t="str" cm="1">
        <f t="array" ref="G363">IFERROR(INDEX(ReferenceCard, MATCH(1, (INDEX(ReferenceCard,,1)=Table1[[#This Row],[SAP No]]) * (INDEX(ReferenceCard,,2)=Table1[[#This Row],[Mould No]]), 0), 3),)</f>
        <v>BC28-0355-SCC-A-Q-CL</v>
      </c>
      <c r="H363">
        <v>0</v>
      </c>
      <c r="I363" cm="1">
        <f t="array" ref="I363">IFERROR(INDEX(ReferenceCard, MATCH(1, (INDEX(ReferenceCard,,1)=Table1[[#This Row],[SAP No]]) * (INDEX(ReferenceCard,,2)=Table1[[#This Row],[Mould No]]), 0), 4),)</f>
        <v>4</v>
      </c>
      <c r="J363" s="4" cm="1">
        <f t="array" ref="J363">IFERROR(INDEX(ReferenceCard, MATCH(1, (INDEX(ReferenceCard,,1)=Table1[[#This Row],[SAP No]]) * (INDEX(ReferenceCard,,2)=Table1[[#This Row],[Mould No]]), 0), 9),)</f>
        <v>24</v>
      </c>
      <c r="K363" s="4" cm="1">
        <f t="array" ref="K363">IFERROR(INDEX(ReferenceCard, MATCH(1, (INDEX(ReferenceCard,,1)=Table1[[#This Row],[SAP No]]) * (INDEX(ReferenceCard,,2)=Table1[[#This Row],[Mould No]]), 0), 7),)</f>
        <v>24</v>
      </c>
      <c r="L363">
        <v>142</v>
      </c>
      <c r="M363">
        <v>0</v>
      </c>
      <c r="N363">
        <v>0</v>
      </c>
      <c r="O363">
        <v>0</v>
      </c>
      <c r="P363">
        <f>Table1[[#This Row],[Shot]]*Table1[[#This Row],[Cav]]</f>
        <v>568</v>
      </c>
      <c r="Q363">
        <v>0</v>
      </c>
      <c r="R363">
        <f>(Table1[[#This Row],[Part Weight (gm)]]*Table1[[#This Row],[Finish Good]])/1000</f>
        <v>0</v>
      </c>
      <c r="S363">
        <v>0</v>
      </c>
      <c r="T363">
        <f>IF(Table1[[#This Row],[Qty Order]]="Sample","-",IF(Table1[[#This Row],[Qty Order]]="RTFN","-",Table1[[#This Row],[Qty Order]]-Table1[[#This Row],[Qty Accumulate]]))</f>
        <v>0</v>
      </c>
      <c r="U363">
        <f>((Table1[[#This Row],[Shift Output]]*Table1[[#This Row],[Part Weight (gm)]])/1000)+Table1[[#This Row],[Reject Startup (kg)]]+Table1[[#This Row],[Reject Purging (kg)]]+Table1[[#This Row],[Reject Preform (kg)]]</f>
        <v>13.632</v>
      </c>
      <c r="V363" s="37">
        <f>(Table1[[#This Row],[Gross Weight (gm)]]-Table1[[#This Row],[Part Weight (gm)]])*Table1[[#This Row],[Shift Output]]/1000</f>
        <v>0</v>
      </c>
      <c r="W363" s="3">
        <v>0</v>
      </c>
      <c r="X363" s="36">
        <f>Table1[[#This Row],[Reject Startup (kg)]]/Table1[[#This Row],[Material Used]]</f>
        <v>0</v>
      </c>
      <c r="Y363" s="3">
        <v>0</v>
      </c>
      <c r="Z363" s="36">
        <f>Table1[[#This Row],[Reject Prod (kg)]]/Table1[[#This Row],[Material Used]]</f>
        <v>0</v>
      </c>
      <c r="AA363" s="4">
        <v>0</v>
      </c>
      <c r="AB363" s="5">
        <v>0</v>
      </c>
      <c r="AC363" s="4" cm="1">
        <f t="array" ref="AC363">IFERROR(INDEX(ReferenceCard, MATCH(1, (INDEX(ReferenceCard,,1)=Table1[[#This Row],[SAP No]]) * (INDEX(ReferenceCard,,2)=Table1[[#This Row],[Mould No]]), 0), 9),)</f>
        <v>24</v>
      </c>
      <c r="AD363" s="5">
        <v>0</v>
      </c>
      <c r="AE363" s="5">
        <v>0</v>
      </c>
      <c r="AF363" s="5">
        <v>0</v>
      </c>
      <c r="AG363" s="5">
        <v>0</v>
      </c>
      <c r="AH363" s="5">
        <v>12</v>
      </c>
      <c r="AI363" s="5">
        <v>0</v>
      </c>
      <c r="AJ363" s="5">
        <v>0</v>
      </c>
      <c r="AL363" s="2"/>
      <c r="AM363" s="2"/>
      <c r="AN363" s="3">
        <v>0</v>
      </c>
      <c r="AO363" s="3">
        <v>0</v>
      </c>
      <c r="AP36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4" spans="1:42" x14ac:dyDescent="0.35">
      <c r="A364" s="1">
        <v>46011</v>
      </c>
      <c r="B364">
        <v>2</v>
      </c>
      <c r="C364" t="s">
        <v>5</v>
      </c>
      <c r="D364" t="str" cm="1">
        <f t="array" ref="D364">IFERROR(INDEX(ReferenceCard, MATCH(1, (INDEX(ReferenceCard,,1)=Table1[[#This Row],[SAP No]]) * (INDEX(ReferenceCard,,2)=Table1[[#This Row],[Mould No]]), 0), 6),)</f>
        <v>PET</v>
      </c>
      <c r="E364">
        <v>543590</v>
      </c>
      <c r="F364">
        <v>0</v>
      </c>
      <c r="G364" t="str" cm="1">
        <f t="array" ref="G364">IFERROR(INDEX(ReferenceCard, MATCH(1, (INDEX(ReferenceCard,,1)=Table1[[#This Row],[SAP No]]) * (INDEX(ReferenceCard,,2)=Table1[[#This Row],[Mould No]]), 0), 3),)</f>
        <v>BC28-0130-R-R-AM</v>
      </c>
      <c r="H364">
        <v>0</v>
      </c>
      <c r="I364" cm="1">
        <f t="array" ref="I364">IFERROR(INDEX(ReferenceCard, MATCH(1, (INDEX(ReferenceCard,,1)=Table1[[#This Row],[SAP No]]) * (INDEX(ReferenceCard,,2)=Table1[[#This Row],[Mould No]]), 0), 4),)</f>
        <v>4</v>
      </c>
      <c r="J364" s="4" cm="1">
        <f t="array" ref="J364">IFERROR(INDEX(ReferenceCard, MATCH(1, (INDEX(ReferenceCard,,1)=Table1[[#This Row],[SAP No]]) * (INDEX(ReferenceCard,,2)=Table1[[#This Row],[Mould No]]), 0), 9),)</f>
        <v>19</v>
      </c>
      <c r="K364" s="4" cm="1">
        <f t="array" ref="K364">IFERROR(INDEX(ReferenceCard, MATCH(1, (INDEX(ReferenceCard,,1)=Table1[[#This Row],[SAP No]]) * (INDEX(ReferenceCard,,2)=Table1[[#This Row],[Mould No]]), 0), 7),)</f>
        <v>19</v>
      </c>
      <c r="L364">
        <v>5201</v>
      </c>
      <c r="M364">
        <v>0</v>
      </c>
      <c r="N364">
        <v>0</v>
      </c>
      <c r="O364">
        <v>0</v>
      </c>
      <c r="P364">
        <f>Table1[[#This Row],[Shot]]*Table1[[#This Row],[Cav]]</f>
        <v>20804</v>
      </c>
      <c r="Q364">
        <v>0</v>
      </c>
      <c r="R364">
        <f>(Table1[[#This Row],[Part Weight (gm)]]*Table1[[#This Row],[Finish Good]])/1000</f>
        <v>0</v>
      </c>
      <c r="S364">
        <v>0</v>
      </c>
      <c r="T364">
        <f>IF(Table1[[#This Row],[Qty Order]]="Sample","-",IF(Table1[[#This Row],[Qty Order]]="RTFN","-",Table1[[#This Row],[Qty Order]]-Table1[[#This Row],[Qty Accumulate]]))</f>
        <v>0</v>
      </c>
      <c r="U364">
        <f>((Table1[[#This Row],[Shift Output]]*Table1[[#This Row],[Part Weight (gm)]])/1000)+Table1[[#This Row],[Reject Startup (kg)]]+Table1[[#This Row],[Reject Purging (kg)]]+Table1[[#This Row],[Reject Preform (kg)]]</f>
        <v>395.27600000000001</v>
      </c>
      <c r="V364" s="37">
        <f>(Table1[[#This Row],[Gross Weight (gm)]]-Table1[[#This Row],[Part Weight (gm)]])*Table1[[#This Row],[Shift Output]]/1000</f>
        <v>0</v>
      </c>
      <c r="W364" s="3">
        <v>0</v>
      </c>
      <c r="X364" s="36">
        <f>Table1[[#This Row],[Reject Startup (kg)]]/Table1[[#This Row],[Material Used]]</f>
        <v>0</v>
      </c>
      <c r="Y364" s="3">
        <v>0</v>
      </c>
      <c r="Z364" s="36">
        <f>Table1[[#This Row],[Reject Prod (kg)]]/Table1[[#This Row],[Material Used]]</f>
        <v>0</v>
      </c>
      <c r="AA364" s="4">
        <v>26.781673431396399</v>
      </c>
      <c r="AB364" s="5">
        <v>7.6699999999999902</v>
      </c>
      <c r="AC364" s="4" cm="1">
        <f t="array" ref="AC364">IFERROR(INDEX(ReferenceCard, MATCH(1, (INDEX(ReferenceCard,,1)=Table1[[#This Row],[SAP No]]) * (INDEX(ReferenceCard,,2)=Table1[[#This Row],[Mould No]]), 0), 9),)</f>
        <v>19</v>
      </c>
      <c r="AD364" s="5">
        <v>0</v>
      </c>
      <c r="AE364" s="5">
        <v>0</v>
      </c>
      <c r="AF364" s="5">
        <v>0</v>
      </c>
      <c r="AG364" s="5">
        <v>0.40999999999999898</v>
      </c>
      <c r="AH364" s="5">
        <v>3.9199999999999902</v>
      </c>
      <c r="AI364" s="5">
        <v>0</v>
      </c>
      <c r="AJ364" s="5">
        <v>0</v>
      </c>
      <c r="AK364" t="s">
        <v>83</v>
      </c>
      <c r="AL364" s="2"/>
      <c r="AM364" s="2"/>
      <c r="AN364" s="3">
        <v>0</v>
      </c>
      <c r="AO364" s="3">
        <v>0</v>
      </c>
      <c r="AP36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5" spans="1:42" x14ac:dyDescent="0.35">
      <c r="A365" s="1">
        <v>46011</v>
      </c>
      <c r="B365">
        <v>2</v>
      </c>
      <c r="C365" t="s">
        <v>7</v>
      </c>
      <c r="D365" t="str" cm="1">
        <f t="array" ref="D365">IFERROR(INDEX(ReferenceCard, MATCH(1, (INDEX(ReferenceCard,,1)=Table1[[#This Row],[SAP No]]) * (INDEX(ReferenceCard,,2)=Table1[[#This Row],[Mould No]]), 0), 6),)</f>
        <v>PET</v>
      </c>
      <c r="E365">
        <v>451191</v>
      </c>
      <c r="F365">
        <v>0</v>
      </c>
      <c r="G365" t="str" cm="1">
        <f t="array" ref="G365">IFERROR(INDEX(ReferenceCard, MATCH(1, (INDEX(ReferenceCard,,1)=Table1[[#This Row],[SAP No]]) * (INDEX(ReferenceCard,,2)=Table1[[#This Row],[Mould No]]), 0), 3),)</f>
        <v>BX38-0350-Z-C-CL</v>
      </c>
      <c r="H365">
        <v>0</v>
      </c>
      <c r="I365" cm="1">
        <f t="array" ref="I365">IFERROR(INDEX(ReferenceCard, MATCH(1, (INDEX(ReferenceCard,,1)=Table1[[#This Row],[SAP No]]) * (INDEX(ReferenceCard,,2)=Table1[[#This Row],[Mould No]]), 0), 4),)</f>
        <v>4</v>
      </c>
      <c r="J365" s="4" cm="1">
        <f t="array" ref="J365">IFERROR(INDEX(ReferenceCard, MATCH(1, (INDEX(ReferenceCard,,1)=Table1[[#This Row],[SAP No]]) * (INDEX(ReferenceCard,,2)=Table1[[#This Row],[Mould No]]), 0), 9),)</f>
        <v>29</v>
      </c>
      <c r="K365" s="4" cm="1">
        <f t="array" ref="K365">IFERROR(INDEX(ReferenceCard, MATCH(1, (INDEX(ReferenceCard,,1)=Table1[[#This Row],[SAP No]]) * (INDEX(ReferenceCard,,2)=Table1[[#This Row],[Mould No]]), 0), 7),)</f>
        <v>29</v>
      </c>
      <c r="L365">
        <v>0</v>
      </c>
      <c r="M365">
        <v>0</v>
      </c>
      <c r="N365">
        <v>0</v>
      </c>
      <c r="O365">
        <v>0</v>
      </c>
      <c r="P365">
        <f>Table1[[#This Row],[Shot]]*Table1[[#This Row],[Cav]]</f>
        <v>0</v>
      </c>
      <c r="Q365">
        <v>0</v>
      </c>
      <c r="R365">
        <f>(Table1[[#This Row],[Part Weight (gm)]]*Table1[[#This Row],[Finish Good]])/1000</f>
        <v>0</v>
      </c>
      <c r="S365">
        <v>0</v>
      </c>
      <c r="T365">
        <f>IF(Table1[[#This Row],[Qty Order]]="Sample","-",IF(Table1[[#This Row],[Qty Order]]="RTFN","-",Table1[[#This Row],[Qty Order]]-Table1[[#This Row],[Qty Accumulate]]))</f>
        <v>0</v>
      </c>
      <c r="U365">
        <f>((Table1[[#This Row],[Shift Output]]*Table1[[#This Row],[Part Weight (gm)]])/1000)+Table1[[#This Row],[Reject Startup (kg)]]+Table1[[#This Row],[Reject Purging (kg)]]+Table1[[#This Row],[Reject Preform (kg)]]</f>
        <v>0</v>
      </c>
      <c r="V365" s="37">
        <f>(Table1[[#This Row],[Gross Weight (gm)]]-Table1[[#This Row],[Part Weight (gm)]])*Table1[[#This Row],[Shift Output]]/1000</f>
        <v>0</v>
      </c>
      <c r="W365" s="3">
        <v>0</v>
      </c>
      <c r="X365" s="36" t="e">
        <f>Table1[[#This Row],[Reject Startup (kg)]]/Table1[[#This Row],[Material Used]]</f>
        <v>#DIV/0!</v>
      </c>
      <c r="Y365" s="3">
        <v>0</v>
      </c>
      <c r="Z365" s="36" t="e">
        <f>Table1[[#This Row],[Reject Prod (kg)]]/Table1[[#This Row],[Material Used]]</f>
        <v>#DIV/0!</v>
      </c>
      <c r="AA365" s="4">
        <v>0</v>
      </c>
      <c r="AB365" s="5">
        <v>0</v>
      </c>
      <c r="AC365" s="4" cm="1">
        <f t="array" ref="AC365">IFERROR(INDEX(ReferenceCard, MATCH(1, (INDEX(ReferenceCard,,1)=Table1[[#This Row],[SAP No]]) * (INDEX(ReferenceCard,,2)=Table1[[#This Row],[Mould No]]), 0), 9),)</f>
        <v>29</v>
      </c>
      <c r="AD365" s="5">
        <v>0</v>
      </c>
      <c r="AE365" s="5">
        <v>0</v>
      </c>
      <c r="AF365" s="5">
        <v>0</v>
      </c>
      <c r="AG365" s="5">
        <v>0</v>
      </c>
      <c r="AH365" s="5">
        <v>12</v>
      </c>
      <c r="AI365" s="5">
        <v>0</v>
      </c>
      <c r="AJ365" s="5">
        <v>0</v>
      </c>
      <c r="AL365" s="2"/>
      <c r="AM365" s="2"/>
      <c r="AN365" s="3">
        <v>0</v>
      </c>
      <c r="AO365" s="3">
        <v>0</v>
      </c>
      <c r="AP36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6" spans="1:42" x14ac:dyDescent="0.35">
      <c r="A366" s="1">
        <v>46011</v>
      </c>
      <c r="B366">
        <v>2</v>
      </c>
      <c r="C366" t="s">
        <v>9</v>
      </c>
      <c r="D366" t="str" cm="1">
        <f t="array" ref="D366">IFERROR(INDEX(ReferenceCard, MATCH(1, (INDEX(ReferenceCard,,1)=Table1[[#This Row],[SAP No]]) * (INDEX(ReferenceCard,,2)=Table1[[#This Row],[Mould No]]), 0), 6),)</f>
        <v>PET</v>
      </c>
      <c r="E366">
        <v>322451</v>
      </c>
      <c r="F366">
        <v>0</v>
      </c>
      <c r="G366" t="str" cm="1">
        <f t="array" ref="G366">IFERROR(INDEX(ReferenceCard, MATCH(1, (INDEX(ReferenceCard,,1)=Table1[[#This Row],[SAP No]]) * (INDEX(ReferenceCard,,2)=Table1[[#This Row],[Mould No]]), 0), 3),)</f>
        <v>BC28-0500-WNHP-R-BR</v>
      </c>
      <c r="H366">
        <v>0</v>
      </c>
      <c r="I366" cm="1">
        <f t="array" ref="I366">IFERROR(INDEX(ReferenceCard, MATCH(1, (INDEX(ReferenceCard,,1)=Table1[[#This Row],[SAP No]]) * (INDEX(ReferenceCard,,2)=Table1[[#This Row],[Mould No]]), 0), 4),)</f>
        <v>4</v>
      </c>
      <c r="J366" s="4" cm="1">
        <f t="array" ref="J366">IFERROR(INDEX(ReferenceCard, MATCH(1, (INDEX(ReferenceCard,,1)=Table1[[#This Row],[SAP No]]) * (INDEX(ReferenceCard,,2)=Table1[[#This Row],[Mould No]]), 0), 9),)</f>
        <v>45.6</v>
      </c>
      <c r="K366" s="4" cm="1">
        <f t="array" ref="K366">IFERROR(INDEX(ReferenceCard, MATCH(1, (INDEX(ReferenceCard,,1)=Table1[[#This Row],[SAP No]]) * (INDEX(ReferenceCard,,2)=Table1[[#This Row],[Mould No]]), 0), 7),)</f>
        <v>45.6</v>
      </c>
      <c r="L366">
        <v>0</v>
      </c>
      <c r="M366">
        <v>0</v>
      </c>
      <c r="N366">
        <v>0</v>
      </c>
      <c r="O366">
        <v>0</v>
      </c>
      <c r="P366">
        <f>Table1[[#This Row],[Shot]]*Table1[[#This Row],[Cav]]</f>
        <v>0</v>
      </c>
      <c r="Q366">
        <v>0</v>
      </c>
      <c r="R366">
        <f>(Table1[[#This Row],[Part Weight (gm)]]*Table1[[#This Row],[Finish Good]])/1000</f>
        <v>0</v>
      </c>
      <c r="S366">
        <v>0</v>
      </c>
      <c r="T366">
        <f>IF(Table1[[#This Row],[Qty Order]]="Sample","-",IF(Table1[[#This Row],[Qty Order]]="RTFN","-",Table1[[#This Row],[Qty Order]]-Table1[[#This Row],[Qty Accumulate]]))</f>
        <v>0</v>
      </c>
      <c r="U366">
        <f>((Table1[[#This Row],[Shift Output]]*Table1[[#This Row],[Part Weight (gm)]])/1000)+Table1[[#This Row],[Reject Startup (kg)]]+Table1[[#This Row],[Reject Purging (kg)]]+Table1[[#This Row],[Reject Preform (kg)]]</f>
        <v>0</v>
      </c>
      <c r="V366" s="37">
        <f>(Table1[[#This Row],[Gross Weight (gm)]]-Table1[[#This Row],[Part Weight (gm)]])*Table1[[#This Row],[Shift Output]]/1000</f>
        <v>0</v>
      </c>
      <c r="W366" s="3">
        <v>0</v>
      </c>
      <c r="X366" s="36" t="e">
        <f>Table1[[#This Row],[Reject Startup (kg)]]/Table1[[#This Row],[Material Used]]</f>
        <v>#DIV/0!</v>
      </c>
      <c r="Y366" s="3">
        <v>0</v>
      </c>
      <c r="Z366" s="36" t="e">
        <f>Table1[[#This Row],[Reject Prod (kg)]]/Table1[[#This Row],[Material Used]]</f>
        <v>#DIV/0!</v>
      </c>
      <c r="AA366" s="4">
        <v>0</v>
      </c>
      <c r="AB366" s="5">
        <v>0</v>
      </c>
      <c r="AC366" s="4" cm="1">
        <f t="array" ref="AC366">IFERROR(INDEX(ReferenceCard, MATCH(1, (INDEX(ReferenceCard,,1)=Table1[[#This Row],[SAP No]]) * (INDEX(ReferenceCard,,2)=Table1[[#This Row],[Mould No]]), 0), 9),)</f>
        <v>45.6</v>
      </c>
      <c r="AD366" s="5">
        <v>0</v>
      </c>
      <c r="AE366" s="5">
        <v>0</v>
      </c>
      <c r="AF366" s="5">
        <v>0</v>
      </c>
      <c r="AG366" s="5">
        <v>0</v>
      </c>
      <c r="AH366" s="5">
        <v>12</v>
      </c>
      <c r="AI366" s="5">
        <v>0</v>
      </c>
      <c r="AJ366" s="5">
        <v>0</v>
      </c>
      <c r="AL366" s="2"/>
      <c r="AM366" s="2"/>
      <c r="AN366" s="3">
        <v>0</v>
      </c>
      <c r="AO366" s="3">
        <v>0</v>
      </c>
      <c r="AP36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7" spans="1:42" x14ac:dyDescent="0.35">
      <c r="A367" s="1">
        <v>46011</v>
      </c>
      <c r="B367">
        <v>2</v>
      </c>
      <c r="C367" t="s">
        <v>11</v>
      </c>
      <c r="D367" t="str" cm="1">
        <f t="array" ref="D367">IFERROR(INDEX(ReferenceCard, MATCH(1, (INDEX(ReferenceCard,,1)=Table1[[#This Row],[SAP No]]) * (INDEX(ReferenceCard,,2)=Table1[[#This Row],[Mould No]]), 0), 6),)</f>
        <v>rPET</v>
      </c>
      <c r="E367">
        <v>620994</v>
      </c>
      <c r="F367">
        <v>0</v>
      </c>
      <c r="G367" t="str" cm="1">
        <f t="array" ref="G367">IFERROR(INDEX(ReferenceCard, MATCH(1, (INDEX(ReferenceCard,,1)=Table1[[#This Row],[SAP No]]) * (INDEX(ReferenceCard,,2)=Table1[[#This Row],[Mould No]]), 0), 3),)</f>
        <v>JJ63-0400-SH-S-CL-rPET</v>
      </c>
      <c r="H367">
        <v>0</v>
      </c>
      <c r="I367" cm="1">
        <f t="array" ref="I367">IFERROR(INDEX(ReferenceCard, MATCH(1, (INDEX(ReferenceCard,,1)=Table1[[#This Row],[SAP No]]) * (INDEX(ReferenceCard,,2)=Table1[[#This Row],[Mould No]]), 0), 4),)</f>
        <v>4</v>
      </c>
      <c r="J367" s="4" cm="1">
        <f t="array" ref="J367">IFERROR(INDEX(ReferenceCard, MATCH(1, (INDEX(ReferenceCard,,1)=Table1[[#This Row],[SAP No]]) * (INDEX(ReferenceCard,,2)=Table1[[#This Row],[Mould No]]), 0), 9),)</f>
        <v>32.74</v>
      </c>
      <c r="K367" s="4" cm="1">
        <f t="array" ref="K367">IFERROR(INDEX(ReferenceCard, MATCH(1, (INDEX(ReferenceCard,,1)=Table1[[#This Row],[SAP No]]) * (INDEX(ReferenceCard,,2)=Table1[[#This Row],[Mould No]]), 0), 7),)</f>
        <v>33</v>
      </c>
      <c r="L367">
        <v>1922</v>
      </c>
      <c r="M367">
        <v>0</v>
      </c>
      <c r="N367">
        <v>0</v>
      </c>
      <c r="O367">
        <v>0</v>
      </c>
      <c r="P367">
        <f>Table1[[#This Row],[Shot]]*Table1[[#This Row],[Cav]]</f>
        <v>7688</v>
      </c>
      <c r="Q367">
        <v>0</v>
      </c>
      <c r="R367">
        <f>(Table1[[#This Row],[Part Weight (gm)]]*Table1[[#This Row],[Finish Good]])/1000</f>
        <v>0</v>
      </c>
      <c r="S367">
        <v>0</v>
      </c>
      <c r="T367">
        <f>IF(Table1[[#This Row],[Qty Order]]="Sample","-",IF(Table1[[#This Row],[Qty Order]]="RTFN","-",Table1[[#This Row],[Qty Order]]-Table1[[#This Row],[Qty Accumulate]]))</f>
        <v>0</v>
      </c>
      <c r="U367">
        <f>((Table1[[#This Row],[Shift Output]]*Table1[[#This Row],[Part Weight (gm)]])/1000)+Table1[[#This Row],[Reject Startup (kg)]]+Table1[[#This Row],[Reject Purging (kg)]]+Table1[[#This Row],[Reject Preform (kg)]]</f>
        <v>253.70400000000001</v>
      </c>
      <c r="V367" s="37">
        <f>(Table1[[#This Row],[Gross Weight (gm)]]-Table1[[#This Row],[Part Weight (gm)]])*Table1[[#This Row],[Shift Output]]/1000</f>
        <v>-1.9988799999999847</v>
      </c>
      <c r="W367" s="3">
        <v>0</v>
      </c>
      <c r="X367" s="36">
        <f>Table1[[#This Row],[Reject Startup (kg)]]/Table1[[#This Row],[Material Used]]</f>
        <v>0</v>
      </c>
      <c r="Y367" s="3">
        <v>0</v>
      </c>
      <c r="Z367" s="36">
        <f>Table1[[#This Row],[Reject Prod (kg)]]/Table1[[#This Row],[Material Used]]</f>
        <v>0</v>
      </c>
      <c r="AA367" s="4">
        <v>22.475149154663001</v>
      </c>
      <c r="AB367" s="5">
        <v>12</v>
      </c>
      <c r="AC367" s="4" cm="1">
        <f t="array" ref="AC367">IFERROR(INDEX(ReferenceCard, MATCH(1, (INDEX(ReferenceCard,,1)=Table1[[#This Row],[SAP No]]) * (INDEX(ReferenceCard,,2)=Table1[[#This Row],[Mould No]]), 0), 9),)</f>
        <v>32.74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L367" s="2"/>
      <c r="AM367" s="2"/>
      <c r="AN367" s="3">
        <v>0</v>
      </c>
      <c r="AO367" s="3">
        <v>0</v>
      </c>
      <c r="AP36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8" spans="1:42" x14ac:dyDescent="0.35">
      <c r="A368" s="1">
        <v>46011</v>
      </c>
      <c r="B368">
        <v>2</v>
      </c>
      <c r="C368" t="s">
        <v>14</v>
      </c>
      <c r="D368" t="str" cm="1">
        <f t="array" ref="D368">IFERROR(INDEX(ReferenceCard, MATCH(1, (INDEX(ReferenceCard,,1)=Table1[[#This Row],[SAP No]]) * (INDEX(ReferenceCard,,2)=Table1[[#This Row],[Mould No]]), 0), 6),)</f>
        <v>PET</v>
      </c>
      <c r="E368">
        <v>322444</v>
      </c>
      <c r="F368">
        <v>0</v>
      </c>
      <c r="G368" t="str" cm="1">
        <f t="array" ref="G368">IFERROR(INDEX(ReferenceCard, MATCH(1, (INDEX(ReferenceCard,,1)=Table1[[#This Row],[SAP No]]) * (INDEX(ReferenceCard,,2)=Table1[[#This Row],[Mould No]]), 0), 3),)</f>
        <v>JJ63-0400-RH-R-CL</v>
      </c>
      <c r="H368">
        <v>0</v>
      </c>
      <c r="I368" cm="1">
        <f t="array" ref="I368">IFERROR(INDEX(ReferenceCard, MATCH(1, (INDEX(ReferenceCard,,1)=Table1[[#This Row],[SAP No]]) * (INDEX(ReferenceCard,,2)=Table1[[#This Row],[Mould No]]), 0), 4),)</f>
        <v>4</v>
      </c>
      <c r="J368" s="4" cm="1">
        <f t="array" ref="J368">IFERROR(INDEX(ReferenceCard, MATCH(1, (INDEX(ReferenceCard,,1)=Table1[[#This Row],[SAP No]]) * (INDEX(ReferenceCard,,2)=Table1[[#This Row],[Mould No]]), 0), 9),)</f>
        <v>32.74</v>
      </c>
      <c r="K368" s="4" cm="1">
        <f t="array" ref="K368">IFERROR(INDEX(ReferenceCard, MATCH(1, (INDEX(ReferenceCard,,1)=Table1[[#This Row],[SAP No]]) * (INDEX(ReferenceCard,,2)=Table1[[#This Row],[Mould No]]), 0), 7),)</f>
        <v>34.5</v>
      </c>
      <c r="L368">
        <v>0</v>
      </c>
      <c r="M368">
        <v>0</v>
      </c>
      <c r="N368">
        <v>0</v>
      </c>
      <c r="O368">
        <v>0</v>
      </c>
      <c r="P368">
        <f>Table1[[#This Row],[Shot]]*Table1[[#This Row],[Cav]]</f>
        <v>0</v>
      </c>
      <c r="Q368">
        <v>0</v>
      </c>
      <c r="R368">
        <f>(Table1[[#This Row],[Part Weight (gm)]]*Table1[[#This Row],[Finish Good]])/1000</f>
        <v>0</v>
      </c>
      <c r="S368">
        <v>0</v>
      </c>
      <c r="T368">
        <f>IF(Table1[[#This Row],[Qty Order]]="Sample","-",IF(Table1[[#This Row],[Qty Order]]="RTFN","-",Table1[[#This Row],[Qty Order]]-Table1[[#This Row],[Qty Accumulate]]))</f>
        <v>0</v>
      </c>
      <c r="U368">
        <f>((Table1[[#This Row],[Shift Output]]*Table1[[#This Row],[Part Weight (gm)]])/1000)+Table1[[#This Row],[Reject Startup (kg)]]+Table1[[#This Row],[Reject Purging (kg)]]+Table1[[#This Row],[Reject Preform (kg)]]</f>
        <v>0</v>
      </c>
      <c r="V368" s="37">
        <f>(Table1[[#This Row],[Gross Weight (gm)]]-Table1[[#This Row],[Part Weight (gm)]])*Table1[[#This Row],[Shift Output]]/1000</f>
        <v>0</v>
      </c>
      <c r="W368" s="3">
        <v>0</v>
      </c>
      <c r="X368" s="36" t="e">
        <f>Table1[[#This Row],[Reject Startup (kg)]]/Table1[[#This Row],[Material Used]]</f>
        <v>#DIV/0!</v>
      </c>
      <c r="Y368" s="3">
        <v>0</v>
      </c>
      <c r="Z368" s="36" t="e">
        <f>Table1[[#This Row],[Reject Prod (kg)]]/Table1[[#This Row],[Material Used]]</f>
        <v>#DIV/0!</v>
      </c>
      <c r="AA368" s="4">
        <v>0</v>
      </c>
      <c r="AB368" s="5">
        <v>0</v>
      </c>
      <c r="AC368" s="4" cm="1">
        <f t="array" ref="AC368">IFERROR(INDEX(ReferenceCard, MATCH(1, (INDEX(ReferenceCard,,1)=Table1[[#This Row],[SAP No]]) * (INDEX(ReferenceCard,,2)=Table1[[#This Row],[Mould No]]), 0), 9),)</f>
        <v>32.74</v>
      </c>
      <c r="AD368" s="5">
        <v>0</v>
      </c>
      <c r="AE368" s="5">
        <v>0</v>
      </c>
      <c r="AF368" s="5">
        <v>0</v>
      </c>
      <c r="AG368" s="5">
        <v>0</v>
      </c>
      <c r="AH368" s="5">
        <v>12</v>
      </c>
      <c r="AI368" s="5">
        <v>0</v>
      </c>
      <c r="AJ368" s="5">
        <v>0</v>
      </c>
      <c r="AL368" s="2"/>
      <c r="AM368" s="2"/>
      <c r="AN368" s="3">
        <v>0</v>
      </c>
      <c r="AO368" s="3">
        <v>0</v>
      </c>
      <c r="AP36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69" spans="1:42" x14ac:dyDescent="0.35">
      <c r="A369" s="1">
        <v>46011</v>
      </c>
      <c r="B369">
        <v>2</v>
      </c>
      <c r="C369" t="s">
        <v>16</v>
      </c>
      <c r="D369" t="str" cm="1">
        <f t="array" ref="D369">IFERROR(INDEX(ReferenceCard, MATCH(1, (INDEX(ReferenceCard,,1)=Table1[[#This Row],[SAP No]]) * (INDEX(ReferenceCard,,2)=Table1[[#This Row],[Mould No]]), 0), 6),)</f>
        <v>PET</v>
      </c>
      <c r="E369">
        <v>324206</v>
      </c>
      <c r="F369">
        <v>0</v>
      </c>
      <c r="G369" t="str" cm="1">
        <f t="array" ref="G369">IFERROR(INDEX(ReferenceCard, MATCH(1, (INDEX(ReferenceCard,,1)=Table1[[#This Row],[SAP No]]) * (INDEX(ReferenceCard,,2)=Table1[[#This Row],[Mould No]]), 0), 3),)</f>
        <v>BX38-1000-HC-S-CL</v>
      </c>
      <c r="H369">
        <v>0</v>
      </c>
      <c r="I369" cm="1">
        <f t="array" ref="I369">IFERROR(INDEX(ReferenceCard, MATCH(1, (INDEX(ReferenceCard,,1)=Table1[[#This Row],[SAP No]]) * (INDEX(ReferenceCard,,2)=Table1[[#This Row],[Mould No]]), 0), 4),)</f>
        <v>4</v>
      </c>
      <c r="J369" s="4" cm="1">
        <f t="array" ref="J369">IFERROR(INDEX(ReferenceCard, MATCH(1, (INDEX(ReferenceCard,,1)=Table1[[#This Row],[SAP No]]) * (INDEX(ReferenceCard,,2)=Table1[[#This Row],[Mould No]]), 0), 9),)</f>
        <v>49</v>
      </c>
      <c r="K369" s="4" cm="1">
        <f t="array" ref="K369">IFERROR(INDEX(ReferenceCard, MATCH(1, (INDEX(ReferenceCard,,1)=Table1[[#This Row],[SAP No]]) * (INDEX(ReferenceCard,,2)=Table1[[#This Row],[Mould No]]), 0), 7),)</f>
        <v>48</v>
      </c>
      <c r="L369">
        <v>0</v>
      </c>
      <c r="M369">
        <v>0</v>
      </c>
      <c r="N369">
        <v>0</v>
      </c>
      <c r="O369">
        <v>0</v>
      </c>
      <c r="P369">
        <f>Table1[[#This Row],[Shot]]*Table1[[#This Row],[Cav]]</f>
        <v>0</v>
      </c>
      <c r="Q369">
        <v>0</v>
      </c>
      <c r="R369">
        <f>(Table1[[#This Row],[Part Weight (gm)]]*Table1[[#This Row],[Finish Good]])/1000</f>
        <v>0</v>
      </c>
      <c r="S369">
        <v>0</v>
      </c>
      <c r="T369">
        <f>IF(Table1[[#This Row],[Qty Order]]="Sample","-",IF(Table1[[#This Row],[Qty Order]]="RTFN","-",Table1[[#This Row],[Qty Order]]-Table1[[#This Row],[Qty Accumulate]]))</f>
        <v>0</v>
      </c>
      <c r="U369">
        <f>((Table1[[#This Row],[Shift Output]]*Table1[[#This Row],[Part Weight (gm)]])/1000)+Table1[[#This Row],[Reject Startup (kg)]]+Table1[[#This Row],[Reject Purging (kg)]]+Table1[[#This Row],[Reject Preform (kg)]]</f>
        <v>0</v>
      </c>
      <c r="V369" s="37">
        <f>(Table1[[#This Row],[Gross Weight (gm)]]-Table1[[#This Row],[Part Weight (gm)]])*Table1[[#This Row],[Shift Output]]/1000</f>
        <v>0</v>
      </c>
      <c r="W369" s="3">
        <v>0</v>
      </c>
      <c r="X369" s="36" t="e">
        <f>Table1[[#This Row],[Reject Startup (kg)]]/Table1[[#This Row],[Material Used]]</f>
        <v>#DIV/0!</v>
      </c>
      <c r="Y369" s="3">
        <v>0</v>
      </c>
      <c r="Z369" s="36" t="e">
        <f>Table1[[#This Row],[Reject Prod (kg)]]/Table1[[#This Row],[Material Used]]</f>
        <v>#DIV/0!</v>
      </c>
      <c r="AA369" s="4">
        <v>0</v>
      </c>
      <c r="AB369" s="5">
        <v>0</v>
      </c>
      <c r="AC369" s="4" cm="1">
        <f t="array" ref="AC369">IFERROR(INDEX(ReferenceCard, MATCH(1, (INDEX(ReferenceCard,,1)=Table1[[#This Row],[SAP No]]) * (INDEX(ReferenceCard,,2)=Table1[[#This Row],[Mould No]]), 0), 9),)</f>
        <v>49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12</v>
      </c>
      <c r="AJ369" s="5">
        <v>0</v>
      </c>
      <c r="AL369" s="2"/>
      <c r="AM369" s="2"/>
      <c r="AN369" s="3">
        <v>0</v>
      </c>
      <c r="AO369" s="3">
        <v>0</v>
      </c>
      <c r="AP36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0" spans="1:42" x14ac:dyDescent="0.35">
      <c r="A370" s="1">
        <v>46011</v>
      </c>
      <c r="B370">
        <v>2</v>
      </c>
      <c r="C370" t="s">
        <v>23</v>
      </c>
      <c r="D370" t="str" cm="1">
        <f t="array" ref="D370">IFERROR(INDEX(ReferenceCard, MATCH(1, (INDEX(ReferenceCard,,1)=Table1[[#This Row],[SAP No]]) * (INDEX(ReferenceCard,,2)=Table1[[#This Row],[Mould No]]), 0), 6),)</f>
        <v>PPSB520Y</v>
      </c>
      <c r="E370">
        <v>586276</v>
      </c>
      <c r="F370">
        <v>2</v>
      </c>
      <c r="G370" t="str" cm="1">
        <f t="array" ref="G370">IFERROR(INDEX(ReferenceCard, MATCH(1, (INDEX(ReferenceCard,,1)=Table1[[#This Row],[SAP No]]) * (INDEX(ReferenceCard,,2)=Table1[[#This Row],[Mould No]]), 0), 3),)</f>
        <v>BC28-0056-D-APH-LEB-604001-MOLD2</v>
      </c>
      <c r="H370">
        <v>0</v>
      </c>
      <c r="I370" cm="1">
        <f t="array" ref="I370">IFERROR(INDEX(ReferenceCard, MATCH(1, (INDEX(ReferenceCard,,1)=Table1[[#This Row],[SAP No]]) * (INDEX(ReferenceCard,,2)=Table1[[#This Row],[Mould No]]), 0), 4),)</f>
        <v>6</v>
      </c>
      <c r="J370" s="4" cm="1">
        <f t="array" ref="J370">IFERROR(INDEX(ReferenceCard, MATCH(1, (INDEX(ReferenceCard,,1)=Table1[[#This Row],[SAP No]]) * (INDEX(ReferenceCard,,2)=Table1[[#This Row],[Mould No]]), 0), 9),)</f>
        <v>12.3</v>
      </c>
      <c r="K370" s="4" cm="1">
        <f t="array" ref="K370">IFERROR(INDEX(ReferenceCard, MATCH(1, (INDEX(ReferenceCard,,1)=Table1[[#This Row],[SAP No]]) * (INDEX(ReferenceCard,,2)=Table1[[#This Row],[Mould No]]), 0), 7),)</f>
        <v>12.3</v>
      </c>
      <c r="L370">
        <v>2869</v>
      </c>
      <c r="M370">
        <v>0</v>
      </c>
      <c r="N370">
        <v>0</v>
      </c>
      <c r="O370">
        <v>0</v>
      </c>
      <c r="P370">
        <f>Table1[[#This Row],[Shot]]*Table1[[#This Row],[Cav]]</f>
        <v>17214</v>
      </c>
      <c r="Q370">
        <v>0</v>
      </c>
      <c r="R370">
        <f>(Table1[[#This Row],[Part Weight (gm)]]*Table1[[#This Row],[Finish Good]])/1000</f>
        <v>0</v>
      </c>
      <c r="S370">
        <v>0</v>
      </c>
      <c r="T370">
        <f>IF(Table1[[#This Row],[Qty Order]]="Sample","-",IF(Table1[[#This Row],[Qty Order]]="RTFN","-",Table1[[#This Row],[Qty Order]]-Table1[[#This Row],[Qty Accumulate]]))</f>
        <v>0</v>
      </c>
      <c r="U370">
        <f>((Table1[[#This Row],[Shift Output]]*Table1[[#This Row],[Part Weight (gm)]])/1000)+Table1[[#This Row],[Reject Startup (kg)]]+Table1[[#This Row],[Reject Purging (kg)]]+Table1[[#This Row],[Reject Preform (kg)]]</f>
        <v>211.73220000000001</v>
      </c>
      <c r="V370" s="37">
        <f>(Table1[[#This Row],[Gross Weight (gm)]]-Table1[[#This Row],[Part Weight (gm)]])*Table1[[#This Row],[Shift Output]]/1000</f>
        <v>0</v>
      </c>
      <c r="W370" s="3">
        <v>0</v>
      </c>
      <c r="X370" s="36">
        <f>Table1[[#This Row],[Reject Startup (kg)]]/Table1[[#This Row],[Material Used]]</f>
        <v>0</v>
      </c>
      <c r="Y370" s="3">
        <v>0</v>
      </c>
      <c r="Z370" s="36">
        <f>Table1[[#This Row],[Reject Prod (kg)]]/Table1[[#This Row],[Material Used]]</f>
        <v>0</v>
      </c>
      <c r="AA370" s="4">
        <v>25.745464324951101</v>
      </c>
      <c r="AB370" s="5">
        <v>11.99</v>
      </c>
      <c r="AC370" s="4" cm="1">
        <f t="array" ref="AC370">IFERROR(INDEX(ReferenceCard, MATCH(1, (INDEX(ReferenceCard,,1)=Table1[[#This Row],[SAP No]]) * (INDEX(ReferenceCard,,2)=Table1[[#This Row],[Mould No]]), 0), 9),)</f>
        <v>12.3</v>
      </c>
      <c r="AD370" s="5">
        <v>0</v>
      </c>
      <c r="AE370" s="5">
        <v>0</v>
      </c>
      <c r="AF370" s="5">
        <v>0</v>
      </c>
      <c r="AG370" s="5">
        <v>0</v>
      </c>
      <c r="AH370" s="5">
        <v>0.01</v>
      </c>
      <c r="AI370" s="5">
        <v>0</v>
      </c>
      <c r="AJ370" s="5">
        <v>0</v>
      </c>
      <c r="AL370" s="2"/>
      <c r="AM370" s="2"/>
      <c r="AN370" s="3">
        <v>0</v>
      </c>
      <c r="AO370" s="3">
        <v>0</v>
      </c>
      <c r="AP37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1" spans="1:42" x14ac:dyDescent="0.35">
      <c r="A371" s="1">
        <v>46011</v>
      </c>
      <c r="B371">
        <v>2</v>
      </c>
      <c r="C371" t="s">
        <v>25</v>
      </c>
      <c r="D371" t="str" cm="1">
        <f t="array" ref="D371">IFERROR(INDEX(ReferenceCard, MATCH(1, (INDEX(ReferenceCard,,1)=Table1[[#This Row],[SAP No]]) * (INDEX(ReferenceCard,,2)=Table1[[#This Row],[Mould No]]), 0), 6),)</f>
        <v>PET</v>
      </c>
      <c r="E371">
        <v>323133</v>
      </c>
      <c r="F371">
        <v>0</v>
      </c>
      <c r="G371" t="str" cm="1">
        <f t="array" ref="G371">IFERROR(INDEX(ReferenceCard, MATCH(1, (INDEX(ReferenceCard,,1)=Table1[[#This Row],[SAP No]]) * (INDEX(ReferenceCard,,2)=Table1[[#This Row],[Mould No]]), 0), 3),)</f>
        <v>BX38-2000-RH-R-CL(GREEN) (ASEM)</v>
      </c>
      <c r="H371">
        <v>0</v>
      </c>
      <c r="I371" cm="1">
        <f t="array" ref="I371">IFERROR(INDEX(ReferenceCard, MATCH(1, (INDEX(ReferenceCard,,1)=Table1[[#This Row],[SAP No]]) * (INDEX(ReferenceCard,,2)=Table1[[#This Row],[Mould No]]), 0), 4),)</f>
        <v>4</v>
      </c>
      <c r="J371" s="4" cm="1">
        <f t="array" ref="J371">IFERROR(INDEX(ReferenceCard, MATCH(1, (INDEX(ReferenceCard,,1)=Table1[[#This Row],[SAP No]]) * (INDEX(ReferenceCard,,2)=Table1[[#This Row],[Mould No]]), 0), 9),)</f>
        <v>77</v>
      </c>
      <c r="K371" s="4" cm="1">
        <f t="array" ref="K371">IFERROR(INDEX(ReferenceCard, MATCH(1, (INDEX(ReferenceCard,,1)=Table1[[#This Row],[SAP No]]) * (INDEX(ReferenceCard,,2)=Table1[[#This Row],[Mould No]]), 0), 7),)</f>
        <v>77</v>
      </c>
      <c r="L371">
        <v>0</v>
      </c>
      <c r="M371">
        <v>0</v>
      </c>
      <c r="N371">
        <v>0</v>
      </c>
      <c r="O371">
        <v>0</v>
      </c>
      <c r="P371">
        <f>Table1[[#This Row],[Shot]]*Table1[[#This Row],[Cav]]</f>
        <v>0</v>
      </c>
      <c r="Q371">
        <v>0</v>
      </c>
      <c r="R371">
        <f>(Table1[[#This Row],[Part Weight (gm)]]*Table1[[#This Row],[Finish Good]])/1000</f>
        <v>0</v>
      </c>
      <c r="S371">
        <v>0</v>
      </c>
      <c r="T371">
        <f>IF(Table1[[#This Row],[Qty Order]]="Sample","-",IF(Table1[[#This Row],[Qty Order]]="RTFN","-",Table1[[#This Row],[Qty Order]]-Table1[[#This Row],[Qty Accumulate]]))</f>
        <v>0</v>
      </c>
      <c r="U371">
        <f>((Table1[[#This Row],[Shift Output]]*Table1[[#This Row],[Part Weight (gm)]])/1000)+Table1[[#This Row],[Reject Startup (kg)]]+Table1[[#This Row],[Reject Purging (kg)]]+Table1[[#This Row],[Reject Preform (kg)]]</f>
        <v>0</v>
      </c>
      <c r="V371" s="37">
        <f>(Table1[[#This Row],[Gross Weight (gm)]]-Table1[[#This Row],[Part Weight (gm)]])*Table1[[#This Row],[Shift Output]]/1000</f>
        <v>0</v>
      </c>
      <c r="W371" s="3">
        <v>0</v>
      </c>
      <c r="X371" s="36" t="e">
        <f>Table1[[#This Row],[Reject Startup (kg)]]/Table1[[#This Row],[Material Used]]</f>
        <v>#DIV/0!</v>
      </c>
      <c r="Y371" s="3">
        <v>0</v>
      </c>
      <c r="Z371" s="36" t="e">
        <f>Table1[[#This Row],[Reject Prod (kg)]]/Table1[[#This Row],[Material Used]]</f>
        <v>#DIV/0!</v>
      </c>
      <c r="AA371" s="4">
        <v>0</v>
      </c>
      <c r="AB371" s="5">
        <v>0</v>
      </c>
      <c r="AC371" s="4" cm="1">
        <f t="array" ref="AC371">IFERROR(INDEX(ReferenceCard, MATCH(1, (INDEX(ReferenceCard,,1)=Table1[[#This Row],[SAP No]]) * (INDEX(ReferenceCard,,2)=Table1[[#This Row],[Mould No]]), 0), 9),)</f>
        <v>77</v>
      </c>
      <c r="AD371" s="5">
        <v>0</v>
      </c>
      <c r="AE371" s="5">
        <v>0</v>
      </c>
      <c r="AF371" s="5">
        <v>0</v>
      </c>
      <c r="AG371" s="5">
        <v>12</v>
      </c>
      <c r="AH371" s="5">
        <v>0</v>
      </c>
      <c r="AI371" s="5">
        <v>0</v>
      </c>
      <c r="AJ371" s="5">
        <v>0</v>
      </c>
      <c r="AK371" t="s">
        <v>79</v>
      </c>
      <c r="AL371" s="2"/>
      <c r="AM371" s="2"/>
      <c r="AN371" s="3">
        <v>0</v>
      </c>
      <c r="AO371" s="3">
        <v>0</v>
      </c>
      <c r="AP37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2" spans="1:42" x14ac:dyDescent="0.35">
      <c r="A372" s="1">
        <v>46011</v>
      </c>
      <c r="B372">
        <v>2</v>
      </c>
      <c r="C372" t="s">
        <v>27</v>
      </c>
      <c r="D372" t="str" cm="1">
        <f t="array" ref="D372">IFERROR(INDEX(ReferenceCard, MATCH(1, (INDEX(ReferenceCard,,1)=Table1[[#This Row],[SAP No]]) * (INDEX(ReferenceCard,,2)=Table1[[#This Row],[Mould No]]), 0), 6),)</f>
        <v>PPSB520Y</v>
      </c>
      <c r="E372">
        <v>552181</v>
      </c>
      <c r="F372">
        <v>4</v>
      </c>
      <c r="G372" t="str" cm="1">
        <f t="array" ref="G372">IFERROR(INDEX(ReferenceCard, MATCH(1, (INDEX(ReferenceCard,,1)=Table1[[#This Row],[SAP No]]) * (INDEX(ReferenceCard,,2)=Table1[[#This Row],[Mould No]]), 0), 3),)</f>
        <v>BC28-0090-D-APH-5180-3538-PP-6 NOTCHES-MOLD4</v>
      </c>
      <c r="H372">
        <v>0</v>
      </c>
      <c r="I372" cm="1">
        <f t="array" ref="I372">IFERROR(INDEX(ReferenceCard, MATCH(1, (INDEX(ReferenceCard,,1)=Table1[[#This Row],[SAP No]]) * (INDEX(ReferenceCard,,2)=Table1[[#This Row],[Mould No]]), 0), 4),)</f>
        <v>6</v>
      </c>
      <c r="J372" s="4" cm="1">
        <f t="array" ref="J372">IFERROR(INDEX(ReferenceCard, MATCH(1, (INDEX(ReferenceCard,,1)=Table1[[#This Row],[SAP No]]) * (INDEX(ReferenceCard,,2)=Table1[[#This Row],[Mould No]]), 0), 9),)</f>
        <v>18.8</v>
      </c>
      <c r="K372" s="4" cm="1">
        <f t="array" ref="K372">IFERROR(INDEX(ReferenceCard, MATCH(1, (INDEX(ReferenceCard,,1)=Table1[[#This Row],[SAP No]]) * (INDEX(ReferenceCard,,2)=Table1[[#This Row],[Mould No]]), 0), 7),)</f>
        <v>18.8</v>
      </c>
      <c r="L372">
        <v>447</v>
      </c>
      <c r="M372">
        <v>0</v>
      </c>
      <c r="N372">
        <v>0</v>
      </c>
      <c r="O372">
        <v>0</v>
      </c>
      <c r="P372">
        <f>Table1[[#This Row],[Shot]]*Table1[[#This Row],[Cav]]</f>
        <v>2682</v>
      </c>
      <c r="Q372">
        <v>0</v>
      </c>
      <c r="R372">
        <f>(Table1[[#This Row],[Part Weight (gm)]]*Table1[[#This Row],[Finish Good]])/1000</f>
        <v>0</v>
      </c>
      <c r="S372">
        <v>0</v>
      </c>
      <c r="T372">
        <f>IF(Table1[[#This Row],[Qty Order]]="Sample","-",IF(Table1[[#This Row],[Qty Order]]="RTFN","-",Table1[[#This Row],[Qty Order]]-Table1[[#This Row],[Qty Accumulate]]))</f>
        <v>0</v>
      </c>
      <c r="U372">
        <f>((Table1[[#This Row],[Shift Output]]*Table1[[#This Row],[Part Weight (gm)]])/1000)+Table1[[#This Row],[Reject Startup (kg)]]+Table1[[#This Row],[Reject Purging (kg)]]+Table1[[#This Row],[Reject Preform (kg)]]</f>
        <v>50.421599999999998</v>
      </c>
      <c r="V372" s="37">
        <f>(Table1[[#This Row],[Gross Weight (gm)]]-Table1[[#This Row],[Part Weight (gm)]])*Table1[[#This Row],[Shift Output]]/1000</f>
        <v>0</v>
      </c>
      <c r="W372" s="3">
        <v>0</v>
      </c>
      <c r="X372" s="36">
        <f>Table1[[#This Row],[Reject Startup (kg)]]/Table1[[#This Row],[Material Used]]</f>
        <v>0</v>
      </c>
      <c r="Y372" s="3">
        <v>0</v>
      </c>
      <c r="Z372" s="36">
        <f>Table1[[#This Row],[Reject Prod (kg)]]/Table1[[#This Row],[Material Used]]</f>
        <v>0</v>
      </c>
      <c r="AA372" s="4">
        <v>0</v>
      </c>
      <c r="AB372" s="5">
        <v>0.1</v>
      </c>
      <c r="AC372" s="4" cm="1">
        <f t="array" ref="AC372">IFERROR(INDEX(ReferenceCard, MATCH(1, (INDEX(ReferenceCard,,1)=Table1[[#This Row],[SAP No]]) * (INDEX(ReferenceCard,,2)=Table1[[#This Row],[Mould No]]), 0), 9),)</f>
        <v>18.8</v>
      </c>
      <c r="AD372" s="5">
        <v>0</v>
      </c>
      <c r="AE372" s="5">
        <v>0</v>
      </c>
      <c r="AF372" s="5">
        <v>0</v>
      </c>
      <c r="AG372" s="5">
        <v>11.9</v>
      </c>
      <c r="AH372" s="5">
        <v>0</v>
      </c>
      <c r="AI372" s="5">
        <v>0</v>
      </c>
      <c r="AJ372" s="5">
        <v>0</v>
      </c>
      <c r="AK372" t="s">
        <v>84</v>
      </c>
      <c r="AL372" s="2"/>
      <c r="AM372" s="2"/>
      <c r="AN372" s="3">
        <v>0</v>
      </c>
      <c r="AO372" s="3">
        <v>0</v>
      </c>
      <c r="AP37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3" spans="1:42" x14ac:dyDescent="0.35">
      <c r="A373" s="1">
        <v>46011</v>
      </c>
      <c r="B373">
        <v>2</v>
      </c>
      <c r="C373" t="s">
        <v>29</v>
      </c>
      <c r="D373" t="str" cm="1">
        <f t="array" ref="D373">IFERROR(INDEX(ReferenceCard, MATCH(1, (INDEX(ReferenceCard,,1)=Table1[[#This Row],[SAP No]]) * (INDEX(ReferenceCard,,2)=Table1[[#This Row],[Mould No]]), 0), 6),)</f>
        <v>PET</v>
      </c>
      <c r="E373">
        <v>620599</v>
      </c>
      <c r="F373">
        <v>0</v>
      </c>
      <c r="G373" t="str" cm="1">
        <f t="array" ref="G373">IFERROR(INDEX(ReferenceCard, MATCH(1, (INDEX(ReferenceCard,,1)=Table1[[#This Row],[SAP No]]) * (INDEX(ReferenceCard,,2)=Table1[[#This Row],[Mould No]]), 0), 3),)</f>
        <v>BC28-0750-K4-R-CL (55g)</v>
      </c>
      <c r="H373">
        <v>0</v>
      </c>
      <c r="I373" cm="1">
        <f t="array" ref="I373">IFERROR(INDEX(ReferenceCard, MATCH(1, (INDEX(ReferenceCard,,1)=Table1[[#This Row],[SAP No]]) * (INDEX(ReferenceCard,,2)=Table1[[#This Row],[Mould No]]), 0), 4),)</f>
        <v>4</v>
      </c>
      <c r="J373" s="4" cm="1">
        <f t="array" ref="J373">IFERROR(INDEX(ReferenceCard, MATCH(1, (INDEX(ReferenceCard,,1)=Table1[[#This Row],[SAP No]]) * (INDEX(ReferenceCard,,2)=Table1[[#This Row],[Mould No]]), 0), 9),)</f>
        <v>55</v>
      </c>
      <c r="K373" s="4" cm="1">
        <f t="array" ref="K373">IFERROR(INDEX(ReferenceCard, MATCH(1, (INDEX(ReferenceCard,,1)=Table1[[#This Row],[SAP No]]) * (INDEX(ReferenceCard,,2)=Table1[[#This Row],[Mould No]]), 0), 7),)</f>
        <v>55</v>
      </c>
      <c r="L373">
        <v>0</v>
      </c>
      <c r="M373">
        <v>0</v>
      </c>
      <c r="N373">
        <v>0</v>
      </c>
      <c r="O373">
        <v>0</v>
      </c>
      <c r="P373">
        <f>Table1[[#This Row],[Shot]]*Table1[[#This Row],[Cav]]</f>
        <v>0</v>
      </c>
      <c r="Q373">
        <v>0</v>
      </c>
      <c r="R373">
        <f>(Table1[[#This Row],[Part Weight (gm)]]*Table1[[#This Row],[Finish Good]])/1000</f>
        <v>0</v>
      </c>
      <c r="S373">
        <v>0</v>
      </c>
      <c r="T373">
        <f>IF(Table1[[#This Row],[Qty Order]]="Sample","-",IF(Table1[[#This Row],[Qty Order]]="RTFN","-",Table1[[#This Row],[Qty Order]]-Table1[[#This Row],[Qty Accumulate]]))</f>
        <v>0</v>
      </c>
      <c r="U373">
        <f>((Table1[[#This Row],[Shift Output]]*Table1[[#This Row],[Part Weight (gm)]])/1000)+Table1[[#This Row],[Reject Startup (kg)]]+Table1[[#This Row],[Reject Purging (kg)]]+Table1[[#This Row],[Reject Preform (kg)]]</f>
        <v>0</v>
      </c>
      <c r="V373" s="37">
        <f>(Table1[[#This Row],[Gross Weight (gm)]]-Table1[[#This Row],[Part Weight (gm)]])*Table1[[#This Row],[Shift Output]]/1000</f>
        <v>0</v>
      </c>
      <c r="W373" s="3">
        <v>0</v>
      </c>
      <c r="X373" s="36" t="e">
        <f>Table1[[#This Row],[Reject Startup (kg)]]/Table1[[#This Row],[Material Used]]</f>
        <v>#DIV/0!</v>
      </c>
      <c r="Y373" s="3">
        <v>0</v>
      </c>
      <c r="Z373" s="36" t="e">
        <f>Table1[[#This Row],[Reject Prod (kg)]]/Table1[[#This Row],[Material Used]]</f>
        <v>#DIV/0!</v>
      </c>
      <c r="AA373" s="4">
        <v>0</v>
      </c>
      <c r="AB373" s="5">
        <v>0</v>
      </c>
      <c r="AC373" s="4" cm="1">
        <f t="array" ref="AC373">IFERROR(INDEX(ReferenceCard, MATCH(1, (INDEX(ReferenceCard,,1)=Table1[[#This Row],[SAP No]]) * (INDEX(ReferenceCard,,2)=Table1[[#This Row],[Mould No]]), 0), 9),)</f>
        <v>55</v>
      </c>
      <c r="AD373" s="5">
        <v>0</v>
      </c>
      <c r="AE373" s="5">
        <v>0</v>
      </c>
      <c r="AF373" s="5">
        <v>0</v>
      </c>
      <c r="AG373" s="5">
        <v>0</v>
      </c>
      <c r="AH373" s="5">
        <v>12</v>
      </c>
      <c r="AI373" s="5">
        <v>0</v>
      </c>
      <c r="AJ373" s="5">
        <v>0</v>
      </c>
      <c r="AL373" s="2"/>
      <c r="AM373" s="2"/>
      <c r="AN373" s="3">
        <v>0</v>
      </c>
      <c r="AO373" s="3">
        <v>0</v>
      </c>
      <c r="AP37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4" spans="1:42" x14ac:dyDescent="0.35">
      <c r="A374" s="1">
        <v>46011</v>
      </c>
      <c r="B374">
        <v>2</v>
      </c>
      <c r="C374" t="s">
        <v>31</v>
      </c>
      <c r="D374" t="str" cm="1">
        <f t="array" ref="D374">IFERROR(INDEX(ReferenceCard, MATCH(1, (INDEX(ReferenceCard,,1)=Table1[[#This Row],[SAP No]]) * (INDEX(ReferenceCard,,2)=Table1[[#This Row],[Mould No]]), 0), 6),)</f>
        <v>PPSB520Y</v>
      </c>
      <c r="E374">
        <v>586276</v>
      </c>
      <c r="F374">
        <v>4</v>
      </c>
      <c r="G374" t="str" cm="1">
        <f t="array" ref="G374">IFERROR(INDEX(ReferenceCard, MATCH(1, (INDEX(ReferenceCard,,1)=Table1[[#This Row],[SAP No]]) * (INDEX(ReferenceCard,,2)=Table1[[#This Row],[Mould No]]), 0), 3),)</f>
        <v>BC28-0056-D-APH-LEB-604001-MOLD4</v>
      </c>
      <c r="H374">
        <v>0</v>
      </c>
      <c r="I374" cm="1">
        <f t="array" ref="I374">IFERROR(INDEX(ReferenceCard, MATCH(1, (INDEX(ReferenceCard,,1)=Table1[[#This Row],[SAP No]]) * (INDEX(ReferenceCard,,2)=Table1[[#This Row],[Mould No]]), 0), 4),)</f>
        <v>6</v>
      </c>
      <c r="J374" s="4" cm="1">
        <f t="array" ref="J374">IFERROR(INDEX(ReferenceCard, MATCH(1, (INDEX(ReferenceCard,,1)=Table1[[#This Row],[SAP No]]) * (INDEX(ReferenceCard,,2)=Table1[[#This Row],[Mould No]]), 0), 9),)</f>
        <v>12.3</v>
      </c>
      <c r="K374" s="4" cm="1">
        <f t="array" ref="K374">IFERROR(INDEX(ReferenceCard, MATCH(1, (INDEX(ReferenceCard,,1)=Table1[[#This Row],[SAP No]]) * (INDEX(ReferenceCard,,2)=Table1[[#This Row],[Mould No]]), 0), 7),)</f>
        <v>12.3</v>
      </c>
      <c r="L374">
        <v>1652</v>
      </c>
      <c r="M374">
        <v>0</v>
      </c>
      <c r="N374">
        <v>0</v>
      </c>
      <c r="O374">
        <v>0</v>
      </c>
      <c r="P374">
        <f>Table1[[#This Row],[Shot]]*Table1[[#This Row],[Cav]]</f>
        <v>9912</v>
      </c>
      <c r="Q374">
        <v>0</v>
      </c>
      <c r="R374">
        <f>(Table1[[#This Row],[Part Weight (gm)]]*Table1[[#This Row],[Finish Good]])/1000</f>
        <v>0</v>
      </c>
      <c r="S374">
        <v>0</v>
      </c>
      <c r="T374">
        <f>IF(Table1[[#This Row],[Qty Order]]="Sample","-",IF(Table1[[#This Row],[Qty Order]]="RTFN","-",Table1[[#This Row],[Qty Order]]-Table1[[#This Row],[Qty Accumulate]]))</f>
        <v>0</v>
      </c>
      <c r="U374">
        <f>((Table1[[#This Row],[Shift Output]]*Table1[[#This Row],[Part Weight (gm)]])/1000)+Table1[[#This Row],[Reject Startup (kg)]]+Table1[[#This Row],[Reject Purging (kg)]]+Table1[[#This Row],[Reject Preform (kg)]]</f>
        <v>121.91760000000001</v>
      </c>
      <c r="V374" s="37">
        <f>(Table1[[#This Row],[Gross Weight (gm)]]-Table1[[#This Row],[Part Weight (gm)]])*Table1[[#This Row],[Shift Output]]/1000</f>
        <v>0</v>
      </c>
      <c r="W374" s="3">
        <v>0</v>
      </c>
      <c r="X374" s="36">
        <f>Table1[[#This Row],[Reject Startup (kg)]]/Table1[[#This Row],[Material Used]]</f>
        <v>0</v>
      </c>
      <c r="Y374" s="3">
        <v>0</v>
      </c>
      <c r="Z374" s="36">
        <f>Table1[[#This Row],[Reject Prod (kg)]]/Table1[[#This Row],[Material Used]]</f>
        <v>0</v>
      </c>
      <c r="AA374" s="4">
        <v>26.1416511535644</v>
      </c>
      <c r="AB374" s="5">
        <v>12</v>
      </c>
      <c r="AC374" s="4" cm="1">
        <f t="array" ref="AC374">IFERROR(INDEX(ReferenceCard, MATCH(1, (INDEX(ReferenceCard,,1)=Table1[[#This Row],[SAP No]]) * (INDEX(ReferenceCard,,2)=Table1[[#This Row],[Mould No]]), 0), 9),)</f>
        <v>12.3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L374" s="2"/>
      <c r="AM374" s="2"/>
      <c r="AN374" s="3">
        <v>0</v>
      </c>
      <c r="AO374" s="3">
        <v>0</v>
      </c>
      <c r="AP37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5" spans="1:42" x14ac:dyDescent="0.35">
      <c r="A375" s="1">
        <v>46011</v>
      </c>
      <c r="B375">
        <v>2</v>
      </c>
      <c r="C375" t="s">
        <v>33</v>
      </c>
      <c r="D375" t="str" cm="1">
        <f t="array" ref="D375">IFERROR(INDEX(ReferenceCard, MATCH(1, (INDEX(ReferenceCard,,1)=Table1[[#This Row],[SAP No]]) * (INDEX(ReferenceCard,,2)=Table1[[#This Row],[Mould No]]), 0), 6),)</f>
        <v>PET</v>
      </c>
      <c r="E375">
        <v>541381</v>
      </c>
      <c r="F375">
        <v>0</v>
      </c>
      <c r="G375" t="str" cm="1">
        <f t="array" ref="G375">IFERROR(INDEX(ReferenceCard, MATCH(1, (INDEX(ReferenceCard,,1)=Table1[[#This Row],[SAP No]]) * (INDEX(ReferenceCard,,2)=Table1[[#This Row],[Mould No]]), 0), 3),)</f>
        <v>BC28-1200-K-R-CL</v>
      </c>
      <c r="H375">
        <v>0</v>
      </c>
      <c r="I375" cm="1">
        <f t="array" ref="I375">IFERROR(INDEX(ReferenceCard, MATCH(1, (INDEX(ReferenceCard,,1)=Table1[[#This Row],[SAP No]]) * (INDEX(ReferenceCard,,2)=Table1[[#This Row],[Mould No]]), 0), 4),)</f>
        <v>4</v>
      </c>
      <c r="J375" s="4" cm="1">
        <f t="array" ref="J375">IFERROR(INDEX(ReferenceCard, MATCH(1, (INDEX(ReferenceCard,,1)=Table1[[#This Row],[SAP No]]) * (INDEX(ReferenceCard,,2)=Table1[[#This Row],[Mould No]]), 0), 9),)</f>
        <v>55</v>
      </c>
      <c r="K375" s="4" cm="1">
        <f t="array" ref="K375">IFERROR(INDEX(ReferenceCard, MATCH(1, (INDEX(ReferenceCard,,1)=Table1[[#This Row],[SAP No]]) * (INDEX(ReferenceCard,,2)=Table1[[#This Row],[Mould No]]), 0), 7),)</f>
        <v>55</v>
      </c>
      <c r="L375">
        <v>1106</v>
      </c>
      <c r="M375">
        <v>0</v>
      </c>
      <c r="N375">
        <v>0</v>
      </c>
      <c r="O375">
        <v>0</v>
      </c>
      <c r="P375">
        <f>Table1[[#This Row],[Shot]]*Table1[[#This Row],[Cav]]</f>
        <v>4424</v>
      </c>
      <c r="Q375">
        <v>0</v>
      </c>
      <c r="R375">
        <f>(Table1[[#This Row],[Part Weight (gm)]]*Table1[[#This Row],[Finish Good]])/1000</f>
        <v>0</v>
      </c>
      <c r="S375">
        <v>0</v>
      </c>
      <c r="T375">
        <f>IF(Table1[[#This Row],[Qty Order]]="Sample","-",IF(Table1[[#This Row],[Qty Order]]="RTFN","-",Table1[[#This Row],[Qty Order]]-Table1[[#This Row],[Qty Accumulate]]))</f>
        <v>0</v>
      </c>
      <c r="U375">
        <f>((Table1[[#This Row],[Shift Output]]*Table1[[#This Row],[Part Weight (gm)]])/1000)+Table1[[#This Row],[Reject Startup (kg)]]+Table1[[#This Row],[Reject Purging (kg)]]+Table1[[#This Row],[Reject Preform (kg)]]</f>
        <v>243.32</v>
      </c>
      <c r="V375" s="37">
        <f>(Table1[[#This Row],[Gross Weight (gm)]]-Table1[[#This Row],[Part Weight (gm)]])*Table1[[#This Row],[Shift Output]]/1000</f>
        <v>0</v>
      </c>
      <c r="W375" s="3">
        <v>0</v>
      </c>
      <c r="X375" s="36">
        <f>Table1[[#This Row],[Reject Startup (kg)]]/Table1[[#This Row],[Material Used]]</f>
        <v>0</v>
      </c>
      <c r="Y375" s="3">
        <v>0</v>
      </c>
      <c r="Z375" s="36">
        <f>Table1[[#This Row],[Reject Prod (kg)]]/Table1[[#This Row],[Material Used]]</f>
        <v>0</v>
      </c>
      <c r="AA375" s="4">
        <v>42.679771423339801</v>
      </c>
      <c r="AB375" s="5">
        <v>11.39</v>
      </c>
      <c r="AC375" s="4" cm="1">
        <f t="array" ref="AC375">IFERROR(INDEX(ReferenceCard, MATCH(1, (INDEX(ReferenceCard,,1)=Table1[[#This Row],[SAP No]]) * (INDEX(ReferenceCard,,2)=Table1[[#This Row],[Mould No]]), 0), 9),)</f>
        <v>55</v>
      </c>
      <c r="AD375" s="5">
        <v>0</v>
      </c>
      <c r="AE375" s="5">
        <v>0</v>
      </c>
      <c r="AF375" s="5">
        <v>0</v>
      </c>
      <c r="AG375" s="5">
        <v>0</v>
      </c>
      <c r="AH375" s="5">
        <v>0.60999999999999899</v>
      </c>
      <c r="AI375" s="5">
        <v>0</v>
      </c>
      <c r="AJ375" s="5">
        <v>0</v>
      </c>
      <c r="AL375" s="2"/>
      <c r="AM375" s="2"/>
      <c r="AN375" s="3">
        <v>0</v>
      </c>
      <c r="AO375" s="3">
        <v>0</v>
      </c>
      <c r="AP37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6" spans="1:42" x14ac:dyDescent="0.35">
      <c r="A376" s="1">
        <v>46011</v>
      </c>
      <c r="B376">
        <v>2</v>
      </c>
      <c r="C376" t="s">
        <v>35</v>
      </c>
      <c r="D376" t="str" cm="1">
        <f t="array" ref="D376">IFERROR(INDEX(ReferenceCard, MATCH(1, (INDEX(ReferenceCard,,1)=Table1[[#This Row],[SAP No]]) * (INDEX(ReferenceCard,,2)=Table1[[#This Row],[Mould No]]), 0), 6),)</f>
        <v>PPSB520Y</v>
      </c>
      <c r="E376">
        <v>552181</v>
      </c>
      <c r="F376">
        <v>1</v>
      </c>
      <c r="G376" t="str" cm="1">
        <f t="array" ref="G376">IFERROR(INDEX(ReferenceCard, MATCH(1, (INDEX(ReferenceCard,,1)=Table1[[#This Row],[SAP No]]) * (INDEX(ReferenceCard,,2)=Table1[[#This Row],[Mould No]]), 0), 3),)</f>
        <v>BC28-0090-D-APH-5180-3538-PP-6 NOTCHES-MOLD1</v>
      </c>
      <c r="H376">
        <v>0</v>
      </c>
      <c r="I376" cm="1">
        <f t="array" ref="I376">IFERROR(INDEX(ReferenceCard, MATCH(1, (INDEX(ReferenceCard,,1)=Table1[[#This Row],[SAP No]]) * (INDEX(ReferenceCard,,2)=Table1[[#This Row],[Mould No]]), 0), 4),)</f>
        <v>6</v>
      </c>
      <c r="J376" s="4" cm="1">
        <f t="array" ref="J376">IFERROR(INDEX(ReferenceCard, MATCH(1, (INDEX(ReferenceCard,,1)=Table1[[#This Row],[SAP No]]) * (INDEX(ReferenceCard,,2)=Table1[[#This Row],[Mould No]]), 0), 9),)</f>
        <v>18.8</v>
      </c>
      <c r="K376" s="4" cm="1">
        <f t="array" ref="K376">IFERROR(INDEX(ReferenceCard, MATCH(1, (INDEX(ReferenceCard,,1)=Table1[[#This Row],[SAP No]]) * (INDEX(ReferenceCard,,2)=Table1[[#This Row],[Mould No]]), 0), 7),)</f>
        <v>18.8</v>
      </c>
      <c r="L376">
        <v>1389</v>
      </c>
      <c r="M376">
        <v>0</v>
      </c>
      <c r="N376">
        <v>0</v>
      </c>
      <c r="O376">
        <v>0</v>
      </c>
      <c r="P376">
        <f>Table1[[#This Row],[Shot]]*Table1[[#This Row],[Cav]]</f>
        <v>8334</v>
      </c>
      <c r="Q376">
        <v>0</v>
      </c>
      <c r="R376">
        <f>(Table1[[#This Row],[Part Weight (gm)]]*Table1[[#This Row],[Finish Good]])/1000</f>
        <v>0</v>
      </c>
      <c r="S376">
        <v>0</v>
      </c>
      <c r="T376">
        <f>IF(Table1[[#This Row],[Qty Order]]="Sample","-",IF(Table1[[#This Row],[Qty Order]]="RTFN","-",Table1[[#This Row],[Qty Order]]-Table1[[#This Row],[Qty Accumulate]]))</f>
        <v>0</v>
      </c>
      <c r="U376">
        <f>((Table1[[#This Row],[Shift Output]]*Table1[[#This Row],[Part Weight (gm)]])/1000)+Table1[[#This Row],[Reject Startup (kg)]]+Table1[[#This Row],[Reject Purging (kg)]]+Table1[[#This Row],[Reject Preform (kg)]]</f>
        <v>156.67920000000001</v>
      </c>
      <c r="V376" s="37">
        <f>(Table1[[#This Row],[Gross Weight (gm)]]-Table1[[#This Row],[Part Weight (gm)]])*Table1[[#This Row],[Shift Output]]/1000</f>
        <v>0</v>
      </c>
      <c r="W376" s="3">
        <v>0</v>
      </c>
      <c r="X376" s="36">
        <f>Table1[[#This Row],[Reject Startup (kg)]]/Table1[[#This Row],[Material Used]]</f>
        <v>0</v>
      </c>
      <c r="Y376" s="3">
        <v>0</v>
      </c>
      <c r="Z376" s="36">
        <f>Table1[[#This Row],[Reject Prod (kg)]]/Table1[[#This Row],[Material Used]]</f>
        <v>0</v>
      </c>
      <c r="AA376" s="4">
        <v>31.0784397125244</v>
      </c>
      <c r="AB376" s="5">
        <v>12</v>
      </c>
      <c r="AC376" s="4" cm="1">
        <f t="array" ref="AC376">IFERROR(INDEX(ReferenceCard, MATCH(1, (INDEX(ReferenceCard,,1)=Table1[[#This Row],[SAP No]]) * (INDEX(ReferenceCard,,2)=Table1[[#This Row],[Mould No]]), 0), 9),)</f>
        <v>18.8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L376" s="2"/>
      <c r="AM376" s="2"/>
      <c r="AN376" s="3">
        <v>0</v>
      </c>
      <c r="AO376" s="3">
        <v>0</v>
      </c>
      <c r="AP37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7" spans="1:42" x14ac:dyDescent="0.35">
      <c r="A377" s="1">
        <v>46011</v>
      </c>
      <c r="B377">
        <v>1</v>
      </c>
      <c r="C377" t="s">
        <v>0</v>
      </c>
      <c r="D377" t="str" cm="1">
        <f t="array" ref="D377">IFERROR(INDEX(ReferenceCard, MATCH(1, (INDEX(ReferenceCard,,1)=Table1[[#This Row],[SAP No]]) * (INDEX(ReferenceCard,,2)=Table1[[#This Row],[Mould No]]), 0), 6),)</f>
        <v>PET</v>
      </c>
      <c r="E377">
        <v>347623</v>
      </c>
      <c r="F377">
        <v>0</v>
      </c>
      <c r="G377" t="str" cm="1">
        <f t="array" ref="G377">IFERROR(INDEX(ReferenceCard, MATCH(1, (INDEX(ReferenceCard,,1)=Table1[[#This Row],[SAP No]]) * (INDEX(ReferenceCard,,2)=Table1[[#This Row],[Mould No]]), 0), 3),)</f>
        <v>BC28-0375-K-R-CL</v>
      </c>
      <c r="H377">
        <v>0</v>
      </c>
      <c r="I377" cm="1">
        <f t="array" ref="I377">IFERROR(INDEX(ReferenceCard, MATCH(1, (INDEX(ReferenceCard,,1)=Table1[[#This Row],[SAP No]]) * (INDEX(ReferenceCard,,2)=Table1[[#This Row],[Mould No]]), 0), 4),)</f>
        <v>4</v>
      </c>
      <c r="J377" s="4" cm="1">
        <f t="array" ref="J377">IFERROR(INDEX(ReferenceCard, MATCH(1, (INDEX(ReferenceCard,,1)=Table1[[#This Row],[SAP No]]) * (INDEX(ReferenceCard,,2)=Table1[[#This Row],[Mould No]]), 0), 9),)</f>
        <v>35.6</v>
      </c>
      <c r="K377" s="4" cm="1">
        <f t="array" ref="K377">IFERROR(INDEX(ReferenceCard, MATCH(1, (INDEX(ReferenceCard,,1)=Table1[[#This Row],[SAP No]]) * (INDEX(ReferenceCard,,2)=Table1[[#This Row],[Mould No]]), 0), 7),)</f>
        <v>35.6</v>
      </c>
      <c r="L377">
        <v>1633</v>
      </c>
      <c r="M377">
        <v>0</v>
      </c>
      <c r="N377">
        <v>0</v>
      </c>
      <c r="O377">
        <v>0</v>
      </c>
      <c r="P377">
        <f>Table1[[#This Row],[Shot]]*Table1[[#This Row],[Cav]]</f>
        <v>6532</v>
      </c>
      <c r="Q377">
        <v>0</v>
      </c>
      <c r="R377">
        <f>(Table1[[#This Row],[Part Weight (gm)]]*Table1[[#This Row],[Finish Good]])/1000</f>
        <v>0</v>
      </c>
      <c r="S377">
        <v>0</v>
      </c>
      <c r="T377">
        <f>IF(Table1[[#This Row],[Qty Order]]="Sample","-",IF(Table1[[#This Row],[Qty Order]]="RTFN","-",Table1[[#This Row],[Qty Order]]-Table1[[#This Row],[Qty Accumulate]]))</f>
        <v>0</v>
      </c>
      <c r="U377">
        <f>((Table1[[#This Row],[Shift Output]]*Table1[[#This Row],[Part Weight (gm)]])/1000)+Table1[[#This Row],[Reject Startup (kg)]]+Table1[[#This Row],[Reject Purging (kg)]]+Table1[[#This Row],[Reject Preform (kg)]]</f>
        <v>232.53920000000002</v>
      </c>
      <c r="V377" s="37">
        <f>(Table1[[#This Row],[Gross Weight (gm)]]-Table1[[#This Row],[Part Weight (gm)]])*Table1[[#This Row],[Shift Output]]/1000</f>
        <v>0</v>
      </c>
      <c r="W377" s="3">
        <v>0</v>
      </c>
      <c r="X377" s="36">
        <f>Table1[[#This Row],[Reject Startup (kg)]]/Table1[[#This Row],[Material Used]]</f>
        <v>0</v>
      </c>
      <c r="Y377" s="3">
        <v>0</v>
      </c>
      <c r="Z377" s="36">
        <f>Table1[[#This Row],[Reject Prod (kg)]]/Table1[[#This Row],[Material Used]]</f>
        <v>0</v>
      </c>
      <c r="AA377" s="4">
        <v>26.4625644683837</v>
      </c>
      <c r="AB377" s="5">
        <v>12</v>
      </c>
      <c r="AC377" s="4" cm="1">
        <f t="array" ref="AC377">IFERROR(INDEX(ReferenceCard, MATCH(1, (INDEX(ReferenceCard,,1)=Table1[[#This Row],[SAP No]]) * (INDEX(ReferenceCard,,2)=Table1[[#This Row],[Mould No]]), 0), 9),)</f>
        <v>35.6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L377" s="2"/>
      <c r="AM377" s="2"/>
      <c r="AN377" s="3">
        <v>0</v>
      </c>
      <c r="AO377" s="3">
        <v>0</v>
      </c>
      <c r="AP37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8" spans="1:42" x14ac:dyDescent="0.35">
      <c r="A378" s="1">
        <v>46011</v>
      </c>
      <c r="B378">
        <v>1</v>
      </c>
      <c r="C378" t="s">
        <v>3</v>
      </c>
      <c r="D378" t="str" cm="1">
        <f t="array" ref="D378">IFERROR(INDEX(ReferenceCard, MATCH(1, (INDEX(ReferenceCard,,1)=Table1[[#This Row],[SAP No]]) * (INDEX(ReferenceCard,,2)=Table1[[#This Row],[Mould No]]), 0), 6),)</f>
        <v>PET</v>
      </c>
      <c r="E378">
        <v>423215</v>
      </c>
      <c r="F378">
        <v>0</v>
      </c>
      <c r="G378" t="str" cm="1">
        <f t="array" ref="G378">IFERROR(INDEX(ReferenceCard, MATCH(1, (INDEX(ReferenceCard,,1)=Table1[[#This Row],[SAP No]]) * (INDEX(ReferenceCard,,2)=Table1[[#This Row],[Mould No]]), 0), 3),)</f>
        <v>BC28-0355-SCC-A-Q-CL</v>
      </c>
      <c r="H378">
        <v>0</v>
      </c>
      <c r="I378" cm="1">
        <f t="array" ref="I378">IFERROR(INDEX(ReferenceCard, MATCH(1, (INDEX(ReferenceCard,,1)=Table1[[#This Row],[SAP No]]) * (INDEX(ReferenceCard,,2)=Table1[[#This Row],[Mould No]]), 0), 4),)</f>
        <v>4</v>
      </c>
      <c r="J378" s="4" cm="1">
        <f t="array" ref="J378">IFERROR(INDEX(ReferenceCard, MATCH(1, (INDEX(ReferenceCard,,1)=Table1[[#This Row],[SAP No]]) * (INDEX(ReferenceCard,,2)=Table1[[#This Row],[Mould No]]), 0), 9),)</f>
        <v>24</v>
      </c>
      <c r="K378" s="4" cm="1">
        <f t="array" ref="K378">IFERROR(INDEX(ReferenceCard, MATCH(1, (INDEX(ReferenceCard,,1)=Table1[[#This Row],[SAP No]]) * (INDEX(ReferenceCard,,2)=Table1[[#This Row],[Mould No]]), 0), 7),)</f>
        <v>24</v>
      </c>
      <c r="L378">
        <v>651</v>
      </c>
      <c r="M378">
        <v>0</v>
      </c>
      <c r="N378">
        <v>0</v>
      </c>
      <c r="O378">
        <v>0</v>
      </c>
      <c r="P378">
        <f>Table1[[#This Row],[Shot]]*Table1[[#This Row],[Cav]]</f>
        <v>2604</v>
      </c>
      <c r="Q378">
        <v>0</v>
      </c>
      <c r="R378">
        <f>(Table1[[#This Row],[Part Weight (gm)]]*Table1[[#This Row],[Finish Good]])/1000</f>
        <v>0</v>
      </c>
      <c r="S378">
        <v>0</v>
      </c>
      <c r="T378">
        <f>IF(Table1[[#This Row],[Qty Order]]="Sample","-",IF(Table1[[#This Row],[Qty Order]]="RTFN","-",Table1[[#This Row],[Qty Order]]-Table1[[#This Row],[Qty Accumulate]]))</f>
        <v>0</v>
      </c>
      <c r="U378">
        <f>((Table1[[#This Row],[Shift Output]]*Table1[[#This Row],[Part Weight (gm)]])/1000)+Table1[[#This Row],[Reject Startup (kg)]]+Table1[[#This Row],[Reject Purging (kg)]]+Table1[[#This Row],[Reject Preform (kg)]]</f>
        <v>62.496000000000002</v>
      </c>
      <c r="V378" s="37">
        <f>(Table1[[#This Row],[Gross Weight (gm)]]-Table1[[#This Row],[Part Weight (gm)]])*Table1[[#This Row],[Shift Output]]/1000</f>
        <v>0</v>
      </c>
      <c r="W378" s="3">
        <v>0</v>
      </c>
      <c r="X378" s="36">
        <f>Table1[[#This Row],[Reject Startup (kg)]]/Table1[[#This Row],[Material Used]]</f>
        <v>0</v>
      </c>
      <c r="Y378" s="3">
        <v>0</v>
      </c>
      <c r="Z378" s="36">
        <f>Table1[[#This Row],[Reject Prod (kg)]]/Table1[[#This Row],[Material Used]]</f>
        <v>0</v>
      </c>
      <c r="AA378" s="4">
        <v>0</v>
      </c>
      <c r="AB378" s="5">
        <v>0</v>
      </c>
      <c r="AC378" s="4" cm="1">
        <f t="array" ref="AC378">IFERROR(INDEX(ReferenceCard, MATCH(1, (INDEX(ReferenceCard,,1)=Table1[[#This Row],[SAP No]]) * (INDEX(ReferenceCard,,2)=Table1[[#This Row],[Mould No]]), 0), 9),)</f>
        <v>24</v>
      </c>
      <c r="AD378" s="5">
        <v>0</v>
      </c>
      <c r="AE378" s="5">
        <v>0</v>
      </c>
      <c r="AF378" s="5">
        <v>0</v>
      </c>
      <c r="AG378" s="5">
        <v>0</v>
      </c>
      <c r="AH378" s="5">
        <v>12</v>
      </c>
      <c r="AI378" s="5">
        <v>0</v>
      </c>
      <c r="AJ378" s="5">
        <v>0</v>
      </c>
      <c r="AL378" s="2"/>
      <c r="AM378" s="2"/>
      <c r="AN378" s="3">
        <v>0</v>
      </c>
      <c r="AO378" s="3">
        <v>0</v>
      </c>
      <c r="AP37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79" spans="1:42" x14ac:dyDescent="0.35">
      <c r="A379" s="1">
        <v>46011</v>
      </c>
      <c r="B379">
        <v>1</v>
      </c>
      <c r="C379" t="s">
        <v>5</v>
      </c>
      <c r="D379" t="str" cm="1">
        <f t="array" ref="D379">IFERROR(INDEX(ReferenceCard, MATCH(1, (INDEX(ReferenceCard,,1)=Table1[[#This Row],[SAP No]]) * (INDEX(ReferenceCard,,2)=Table1[[#This Row],[Mould No]]), 0), 6),)</f>
        <v>PET</v>
      </c>
      <c r="E379">
        <v>543590</v>
      </c>
      <c r="F379">
        <v>0</v>
      </c>
      <c r="G379" t="str" cm="1">
        <f t="array" ref="G379">IFERROR(INDEX(ReferenceCard, MATCH(1, (INDEX(ReferenceCard,,1)=Table1[[#This Row],[SAP No]]) * (INDEX(ReferenceCard,,2)=Table1[[#This Row],[Mould No]]), 0), 3),)</f>
        <v>BC28-0130-R-R-AM</v>
      </c>
      <c r="H379">
        <v>0</v>
      </c>
      <c r="I379" cm="1">
        <f t="array" ref="I379">IFERROR(INDEX(ReferenceCard, MATCH(1, (INDEX(ReferenceCard,,1)=Table1[[#This Row],[SAP No]]) * (INDEX(ReferenceCard,,2)=Table1[[#This Row],[Mould No]]), 0), 4),)</f>
        <v>4</v>
      </c>
      <c r="J379" s="4" cm="1">
        <f t="array" ref="J379">IFERROR(INDEX(ReferenceCard, MATCH(1, (INDEX(ReferenceCard,,1)=Table1[[#This Row],[SAP No]]) * (INDEX(ReferenceCard,,2)=Table1[[#This Row],[Mould No]]), 0), 9),)</f>
        <v>19</v>
      </c>
      <c r="K379" s="4" cm="1">
        <f t="array" ref="K379">IFERROR(INDEX(ReferenceCard, MATCH(1, (INDEX(ReferenceCard,,1)=Table1[[#This Row],[SAP No]]) * (INDEX(ReferenceCard,,2)=Table1[[#This Row],[Mould No]]), 0), 7),)</f>
        <v>19</v>
      </c>
      <c r="L379">
        <v>4242</v>
      </c>
      <c r="M379">
        <v>0</v>
      </c>
      <c r="N379">
        <v>0</v>
      </c>
      <c r="O379">
        <v>0</v>
      </c>
      <c r="P379">
        <f>Table1[[#This Row],[Shot]]*Table1[[#This Row],[Cav]]</f>
        <v>16968</v>
      </c>
      <c r="Q379">
        <v>0</v>
      </c>
      <c r="R379">
        <f>(Table1[[#This Row],[Part Weight (gm)]]*Table1[[#This Row],[Finish Good]])/1000</f>
        <v>0</v>
      </c>
      <c r="S379">
        <v>0</v>
      </c>
      <c r="T379">
        <f>IF(Table1[[#This Row],[Qty Order]]="Sample","-",IF(Table1[[#This Row],[Qty Order]]="RTFN","-",Table1[[#This Row],[Qty Order]]-Table1[[#This Row],[Qty Accumulate]]))</f>
        <v>0</v>
      </c>
      <c r="U379">
        <f>((Table1[[#This Row],[Shift Output]]*Table1[[#This Row],[Part Weight (gm)]])/1000)+Table1[[#This Row],[Reject Startup (kg)]]+Table1[[#This Row],[Reject Purging (kg)]]+Table1[[#This Row],[Reject Preform (kg)]]</f>
        <v>322.392</v>
      </c>
      <c r="V379" s="37">
        <f>(Table1[[#This Row],[Gross Weight (gm)]]-Table1[[#This Row],[Part Weight (gm)]])*Table1[[#This Row],[Shift Output]]/1000</f>
        <v>0</v>
      </c>
      <c r="W379" s="3">
        <v>0</v>
      </c>
      <c r="X379" s="36">
        <f>Table1[[#This Row],[Reject Startup (kg)]]/Table1[[#This Row],[Material Used]]</f>
        <v>0</v>
      </c>
      <c r="Y379" s="3">
        <v>0</v>
      </c>
      <c r="Z379" s="36">
        <f>Table1[[#This Row],[Reject Prod (kg)]]/Table1[[#This Row],[Material Used]]</f>
        <v>0</v>
      </c>
      <c r="AA379" s="4">
        <v>0</v>
      </c>
      <c r="AB379" s="5">
        <v>7.16</v>
      </c>
      <c r="AC379" s="4" cm="1">
        <f t="array" ref="AC379">IFERROR(INDEX(ReferenceCard, MATCH(1, (INDEX(ReferenceCard,,1)=Table1[[#This Row],[SAP No]]) * (INDEX(ReferenceCard,,2)=Table1[[#This Row],[Mould No]]), 0), 9),)</f>
        <v>19</v>
      </c>
      <c r="AD379" s="5">
        <v>0</v>
      </c>
      <c r="AE379" s="5">
        <v>0</v>
      </c>
      <c r="AF379" s="5">
        <v>0</v>
      </c>
      <c r="AG379" s="5">
        <v>4.8399999999999901</v>
      </c>
      <c r="AH379" s="5">
        <v>0</v>
      </c>
      <c r="AI379" s="5">
        <v>0</v>
      </c>
      <c r="AJ379" s="5">
        <v>0</v>
      </c>
      <c r="AK379" t="s">
        <v>85</v>
      </c>
      <c r="AL379" s="2"/>
      <c r="AM379" s="2"/>
      <c r="AN379" s="3">
        <v>0</v>
      </c>
      <c r="AO379" s="3">
        <v>0</v>
      </c>
      <c r="AP37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0" spans="1:42" x14ac:dyDescent="0.35">
      <c r="A380" s="1">
        <v>46011</v>
      </c>
      <c r="B380">
        <v>1</v>
      </c>
      <c r="C380" t="s">
        <v>7</v>
      </c>
      <c r="D380" t="str" cm="1">
        <f t="array" ref="D380">IFERROR(INDEX(ReferenceCard, MATCH(1, (INDEX(ReferenceCard,,1)=Table1[[#This Row],[SAP No]]) * (INDEX(ReferenceCard,,2)=Table1[[#This Row],[Mould No]]), 0), 6),)</f>
        <v>PET</v>
      </c>
      <c r="E380">
        <v>451191</v>
      </c>
      <c r="F380">
        <v>0</v>
      </c>
      <c r="G380" t="str" cm="1">
        <f t="array" ref="G380">IFERROR(INDEX(ReferenceCard, MATCH(1, (INDEX(ReferenceCard,,1)=Table1[[#This Row],[SAP No]]) * (INDEX(ReferenceCard,,2)=Table1[[#This Row],[Mould No]]), 0), 3),)</f>
        <v>BX38-0350-Z-C-CL</v>
      </c>
      <c r="H380">
        <v>0</v>
      </c>
      <c r="I380" cm="1">
        <f t="array" ref="I380">IFERROR(INDEX(ReferenceCard, MATCH(1, (INDEX(ReferenceCard,,1)=Table1[[#This Row],[SAP No]]) * (INDEX(ReferenceCard,,2)=Table1[[#This Row],[Mould No]]), 0), 4),)</f>
        <v>4</v>
      </c>
      <c r="J380" s="4" cm="1">
        <f t="array" ref="J380">IFERROR(INDEX(ReferenceCard, MATCH(1, (INDEX(ReferenceCard,,1)=Table1[[#This Row],[SAP No]]) * (INDEX(ReferenceCard,,2)=Table1[[#This Row],[Mould No]]), 0), 9),)</f>
        <v>29</v>
      </c>
      <c r="K380" s="4" cm="1">
        <f t="array" ref="K380">IFERROR(INDEX(ReferenceCard, MATCH(1, (INDEX(ReferenceCard,,1)=Table1[[#This Row],[SAP No]]) * (INDEX(ReferenceCard,,2)=Table1[[#This Row],[Mould No]]), 0), 7),)</f>
        <v>29</v>
      </c>
      <c r="L380">
        <v>2988</v>
      </c>
      <c r="M380">
        <v>0</v>
      </c>
      <c r="N380">
        <v>0</v>
      </c>
      <c r="O380">
        <v>0</v>
      </c>
      <c r="P380">
        <f>Table1[[#This Row],[Shot]]*Table1[[#This Row],[Cav]]</f>
        <v>11952</v>
      </c>
      <c r="Q380">
        <v>0</v>
      </c>
      <c r="R380">
        <f>(Table1[[#This Row],[Part Weight (gm)]]*Table1[[#This Row],[Finish Good]])/1000</f>
        <v>0</v>
      </c>
      <c r="S380">
        <v>0</v>
      </c>
      <c r="T380">
        <f>IF(Table1[[#This Row],[Qty Order]]="Sample","-",IF(Table1[[#This Row],[Qty Order]]="RTFN","-",Table1[[#This Row],[Qty Order]]-Table1[[#This Row],[Qty Accumulate]]))</f>
        <v>0</v>
      </c>
      <c r="U380">
        <f>((Table1[[#This Row],[Shift Output]]*Table1[[#This Row],[Part Weight (gm)]])/1000)+Table1[[#This Row],[Reject Startup (kg)]]+Table1[[#This Row],[Reject Purging (kg)]]+Table1[[#This Row],[Reject Preform (kg)]]</f>
        <v>346.608</v>
      </c>
      <c r="V380" s="37">
        <f>(Table1[[#This Row],[Gross Weight (gm)]]-Table1[[#This Row],[Part Weight (gm)]])*Table1[[#This Row],[Shift Output]]/1000</f>
        <v>0</v>
      </c>
      <c r="W380" s="3">
        <v>0</v>
      </c>
      <c r="X380" s="36">
        <f>Table1[[#This Row],[Reject Startup (kg)]]/Table1[[#This Row],[Material Used]]</f>
        <v>0</v>
      </c>
      <c r="Y380" s="3">
        <v>0</v>
      </c>
      <c r="Z380" s="36">
        <f>Table1[[#This Row],[Reject Prod (kg)]]/Table1[[#This Row],[Material Used]]</f>
        <v>0</v>
      </c>
      <c r="AA380" s="4">
        <v>25.623760223388601</v>
      </c>
      <c r="AB380" s="5">
        <v>10.64</v>
      </c>
      <c r="AC380" s="4" cm="1">
        <f t="array" ref="AC380">IFERROR(INDEX(ReferenceCard, MATCH(1, (INDEX(ReferenceCard,,1)=Table1[[#This Row],[SAP No]]) * (INDEX(ReferenceCard,,2)=Table1[[#This Row],[Mould No]]), 0), 9),)</f>
        <v>29</v>
      </c>
      <c r="AD380" s="5">
        <v>0</v>
      </c>
      <c r="AE380" s="5">
        <v>0</v>
      </c>
      <c r="AF380" s="5">
        <v>0</v>
      </c>
      <c r="AG380" s="5">
        <v>0</v>
      </c>
      <c r="AH380" s="5">
        <v>1.36</v>
      </c>
      <c r="AI380" s="5">
        <v>0</v>
      </c>
      <c r="AJ380" s="5">
        <v>0</v>
      </c>
      <c r="AL380" s="2"/>
      <c r="AM380" s="2"/>
      <c r="AN380" s="3">
        <v>0</v>
      </c>
      <c r="AO380" s="3">
        <v>0</v>
      </c>
      <c r="AP38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1" spans="1:42" x14ac:dyDescent="0.35">
      <c r="A381" s="1">
        <v>46011</v>
      </c>
      <c r="B381">
        <v>1</v>
      </c>
      <c r="C381" t="s">
        <v>9</v>
      </c>
      <c r="D381" t="str" cm="1">
        <f t="array" ref="D381">IFERROR(INDEX(ReferenceCard, MATCH(1, (INDEX(ReferenceCard,,1)=Table1[[#This Row],[SAP No]]) * (INDEX(ReferenceCard,,2)=Table1[[#This Row],[Mould No]]), 0), 6),)</f>
        <v>PET</v>
      </c>
      <c r="E381">
        <v>322451</v>
      </c>
      <c r="F381">
        <v>0</v>
      </c>
      <c r="G381" t="str" cm="1">
        <f t="array" ref="G381">IFERROR(INDEX(ReferenceCard, MATCH(1, (INDEX(ReferenceCard,,1)=Table1[[#This Row],[SAP No]]) * (INDEX(ReferenceCard,,2)=Table1[[#This Row],[Mould No]]), 0), 3),)</f>
        <v>BC28-0500-WNHP-R-BR</v>
      </c>
      <c r="H381">
        <v>0</v>
      </c>
      <c r="I381" cm="1">
        <f t="array" ref="I381">IFERROR(INDEX(ReferenceCard, MATCH(1, (INDEX(ReferenceCard,,1)=Table1[[#This Row],[SAP No]]) * (INDEX(ReferenceCard,,2)=Table1[[#This Row],[Mould No]]), 0), 4),)</f>
        <v>4</v>
      </c>
      <c r="J381" s="4" cm="1">
        <f t="array" ref="J381">IFERROR(INDEX(ReferenceCard, MATCH(1, (INDEX(ReferenceCard,,1)=Table1[[#This Row],[SAP No]]) * (INDEX(ReferenceCard,,2)=Table1[[#This Row],[Mould No]]), 0), 9),)</f>
        <v>45.6</v>
      </c>
      <c r="K381" s="4" cm="1">
        <f t="array" ref="K381">IFERROR(INDEX(ReferenceCard, MATCH(1, (INDEX(ReferenceCard,,1)=Table1[[#This Row],[SAP No]]) * (INDEX(ReferenceCard,,2)=Table1[[#This Row],[Mould No]]), 0), 7),)</f>
        <v>45.6</v>
      </c>
      <c r="L381">
        <v>2236</v>
      </c>
      <c r="M381">
        <v>0</v>
      </c>
      <c r="N381">
        <v>0</v>
      </c>
      <c r="O381">
        <v>0</v>
      </c>
      <c r="P381">
        <f>Table1[[#This Row],[Shot]]*Table1[[#This Row],[Cav]]</f>
        <v>8944</v>
      </c>
      <c r="Q381">
        <v>0</v>
      </c>
      <c r="R381">
        <f>(Table1[[#This Row],[Part Weight (gm)]]*Table1[[#This Row],[Finish Good]])/1000</f>
        <v>0</v>
      </c>
      <c r="S381">
        <v>0</v>
      </c>
      <c r="T381">
        <f>IF(Table1[[#This Row],[Qty Order]]="Sample","-",IF(Table1[[#This Row],[Qty Order]]="RTFN","-",Table1[[#This Row],[Qty Order]]-Table1[[#This Row],[Qty Accumulate]]))</f>
        <v>0</v>
      </c>
      <c r="U381">
        <f>((Table1[[#This Row],[Shift Output]]*Table1[[#This Row],[Part Weight (gm)]])/1000)+Table1[[#This Row],[Reject Startup (kg)]]+Table1[[#This Row],[Reject Purging (kg)]]+Table1[[#This Row],[Reject Preform (kg)]]</f>
        <v>407.84640000000002</v>
      </c>
      <c r="V381" s="37">
        <f>(Table1[[#This Row],[Gross Weight (gm)]]-Table1[[#This Row],[Part Weight (gm)]])*Table1[[#This Row],[Shift Output]]/1000</f>
        <v>0</v>
      </c>
      <c r="W381" s="3">
        <v>0</v>
      </c>
      <c r="X381" s="36">
        <f>Table1[[#This Row],[Reject Startup (kg)]]/Table1[[#This Row],[Material Used]]</f>
        <v>0</v>
      </c>
      <c r="Y381" s="3">
        <v>0</v>
      </c>
      <c r="Z381" s="36">
        <f>Table1[[#This Row],[Reject Prod (kg)]]/Table1[[#This Row],[Material Used]]</f>
        <v>0</v>
      </c>
      <c r="AA381" s="4">
        <v>33.860477447509702</v>
      </c>
      <c r="AB381" s="5">
        <v>10.52</v>
      </c>
      <c r="AC381" s="4" cm="1">
        <f t="array" ref="AC381">IFERROR(INDEX(ReferenceCard, MATCH(1, (INDEX(ReferenceCard,,1)=Table1[[#This Row],[SAP No]]) * (INDEX(ReferenceCard,,2)=Table1[[#This Row],[Mould No]]), 0), 9),)</f>
        <v>45.6</v>
      </c>
      <c r="AD381" s="5">
        <v>0</v>
      </c>
      <c r="AE381" s="5">
        <v>0</v>
      </c>
      <c r="AF381" s="5">
        <v>0</v>
      </c>
      <c r="AG381" s="5">
        <v>0</v>
      </c>
      <c r="AH381" s="5">
        <v>1.48</v>
      </c>
      <c r="AI381" s="5">
        <v>0</v>
      </c>
      <c r="AJ381" s="5">
        <v>0</v>
      </c>
      <c r="AL381" s="2"/>
      <c r="AM381" s="2"/>
      <c r="AN381" s="3">
        <v>0</v>
      </c>
      <c r="AO381" s="3">
        <v>0</v>
      </c>
      <c r="AP38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2" spans="1:42" x14ac:dyDescent="0.35">
      <c r="A382" s="1">
        <v>46011</v>
      </c>
      <c r="B382">
        <v>1</v>
      </c>
      <c r="C382" t="s">
        <v>11</v>
      </c>
      <c r="D382" t="str" cm="1">
        <f t="array" ref="D382">IFERROR(INDEX(ReferenceCard, MATCH(1, (INDEX(ReferenceCard,,1)=Table1[[#This Row],[SAP No]]) * (INDEX(ReferenceCard,,2)=Table1[[#This Row],[Mould No]]), 0), 6),)</f>
        <v>rPET</v>
      </c>
      <c r="E382">
        <v>620994</v>
      </c>
      <c r="F382">
        <v>0</v>
      </c>
      <c r="G382" t="str" cm="1">
        <f t="array" ref="G382">IFERROR(INDEX(ReferenceCard, MATCH(1, (INDEX(ReferenceCard,,1)=Table1[[#This Row],[SAP No]]) * (INDEX(ReferenceCard,,2)=Table1[[#This Row],[Mould No]]), 0), 3),)</f>
        <v>JJ63-0400-SH-S-CL-rPET</v>
      </c>
      <c r="H382">
        <v>0</v>
      </c>
      <c r="I382" cm="1">
        <f t="array" ref="I382">IFERROR(INDEX(ReferenceCard, MATCH(1, (INDEX(ReferenceCard,,1)=Table1[[#This Row],[SAP No]]) * (INDEX(ReferenceCard,,2)=Table1[[#This Row],[Mould No]]), 0), 4),)</f>
        <v>4</v>
      </c>
      <c r="J382" s="4" cm="1">
        <f t="array" ref="J382">IFERROR(INDEX(ReferenceCard, MATCH(1, (INDEX(ReferenceCard,,1)=Table1[[#This Row],[SAP No]]) * (INDEX(ReferenceCard,,2)=Table1[[#This Row],[Mould No]]), 0), 9),)</f>
        <v>32.74</v>
      </c>
      <c r="K382" s="4" cm="1">
        <f t="array" ref="K382">IFERROR(INDEX(ReferenceCard, MATCH(1, (INDEX(ReferenceCard,,1)=Table1[[#This Row],[SAP No]]) * (INDEX(ReferenceCard,,2)=Table1[[#This Row],[Mould No]]), 0), 7),)</f>
        <v>33</v>
      </c>
      <c r="L382">
        <v>1921</v>
      </c>
      <c r="M382">
        <v>0</v>
      </c>
      <c r="N382">
        <v>0</v>
      </c>
      <c r="O382">
        <v>0</v>
      </c>
      <c r="P382">
        <f>Table1[[#This Row],[Shot]]*Table1[[#This Row],[Cav]]</f>
        <v>7684</v>
      </c>
      <c r="Q382">
        <v>0</v>
      </c>
      <c r="R382">
        <f>(Table1[[#This Row],[Part Weight (gm)]]*Table1[[#This Row],[Finish Good]])/1000</f>
        <v>0</v>
      </c>
      <c r="S382">
        <v>0</v>
      </c>
      <c r="T382">
        <f>IF(Table1[[#This Row],[Qty Order]]="Sample","-",IF(Table1[[#This Row],[Qty Order]]="RTFN","-",Table1[[#This Row],[Qty Order]]-Table1[[#This Row],[Qty Accumulate]]))</f>
        <v>0</v>
      </c>
      <c r="U382">
        <f>((Table1[[#This Row],[Shift Output]]*Table1[[#This Row],[Part Weight (gm)]])/1000)+Table1[[#This Row],[Reject Startup (kg)]]+Table1[[#This Row],[Reject Purging (kg)]]+Table1[[#This Row],[Reject Preform (kg)]]</f>
        <v>253.572</v>
      </c>
      <c r="V382" s="37">
        <f>(Table1[[#This Row],[Gross Weight (gm)]]-Table1[[#This Row],[Part Weight (gm)]])*Table1[[#This Row],[Shift Output]]/1000</f>
        <v>-1.9978399999999847</v>
      </c>
      <c r="W382" s="3">
        <v>0</v>
      </c>
      <c r="X382" s="36">
        <f>Table1[[#This Row],[Reject Startup (kg)]]/Table1[[#This Row],[Material Used]]</f>
        <v>0</v>
      </c>
      <c r="Y382" s="3">
        <v>0</v>
      </c>
      <c r="Z382" s="36">
        <f>Table1[[#This Row],[Reject Prod (kg)]]/Table1[[#This Row],[Material Used]]</f>
        <v>0</v>
      </c>
      <c r="AA382" s="4">
        <v>22.486259460449201</v>
      </c>
      <c r="AB382" s="5">
        <v>12</v>
      </c>
      <c r="AC382" s="4" cm="1">
        <f t="array" ref="AC382">IFERROR(INDEX(ReferenceCard, MATCH(1, (INDEX(ReferenceCard,,1)=Table1[[#This Row],[SAP No]]) * (INDEX(ReferenceCard,,2)=Table1[[#This Row],[Mould No]]), 0), 9),)</f>
        <v>32.74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L382" s="2"/>
      <c r="AM382" s="2"/>
      <c r="AN382" s="3">
        <v>0</v>
      </c>
      <c r="AO382" s="3">
        <v>0</v>
      </c>
      <c r="AP38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3" spans="1:42" x14ac:dyDescent="0.35">
      <c r="A383" s="1">
        <v>46011</v>
      </c>
      <c r="B383">
        <v>1</v>
      </c>
      <c r="C383" t="s">
        <v>14</v>
      </c>
      <c r="D383" t="str" cm="1">
        <f t="array" ref="D383">IFERROR(INDEX(ReferenceCard, MATCH(1, (INDEX(ReferenceCard,,1)=Table1[[#This Row],[SAP No]]) * (INDEX(ReferenceCard,,2)=Table1[[#This Row],[Mould No]]), 0), 6),)</f>
        <v>PET</v>
      </c>
      <c r="E383">
        <v>322444</v>
      </c>
      <c r="F383">
        <v>0</v>
      </c>
      <c r="G383" t="str" cm="1">
        <f t="array" ref="G383">IFERROR(INDEX(ReferenceCard, MATCH(1, (INDEX(ReferenceCard,,1)=Table1[[#This Row],[SAP No]]) * (INDEX(ReferenceCard,,2)=Table1[[#This Row],[Mould No]]), 0), 3),)</f>
        <v>JJ63-0400-RH-R-CL</v>
      </c>
      <c r="H383">
        <v>0</v>
      </c>
      <c r="I383" cm="1">
        <f t="array" ref="I383">IFERROR(INDEX(ReferenceCard, MATCH(1, (INDEX(ReferenceCard,,1)=Table1[[#This Row],[SAP No]]) * (INDEX(ReferenceCard,,2)=Table1[[#This Row],[Mould No]]), 0), 4),)</f>
        <v>4</v>
      </c>
      <c r="J383" s="4" cm="1">
        <f t="array" ref="J383">IFERROR(INDEX(ReferenceCard, MATCH(1, (INDEX(ReferenceCard,,1)=Table1[[#This Row],[SAP No]]) * (INDEX(ReferenceCard,,2)=Table1[[#This Row],[Mould No]]), 0), 9),)</f>
        <v>32.74</v>
      </c>
      <c r="K383" s="4" cm="1">
        <f t="array" ref="K383">IFERROR(INDEX(ReferenceCard, MATCH(1, (INDEX(ReferenceCard,,1)=Table1[[#This Row],[SAP No]]) * (INDEX(ReferenceCard,,2)=Table1[[#This Row],[Mould No]]), 0), 7),)</f>
        <v>34.5</v>
      </c>
      <c r="L383">
        <v>2162</v>
      </c>
      <c r="M383">
        <v>0</v>
      </c>
      <c r="N383">
        <v>0</v>
      </c>
      <c r="O383">
        <v>0</v>
      </c>
      <c r="P383">
        <f>Table1[[#This Row],[Shot]]*Table1[[#This Row],[Cav]]</f>
        <v>8648</v>
      </c>
      <c r="Q383">
        <v>0</v>
      </c>
      <c r="R383">
        <f>(Table1[[#This Row],[Part Weight (gm)]]*Table1[[#This Row],[Finish Good]])/1000</f>
        <v>0</v>
      </c>
      <c r="S383">
        <v>0</v>
      </c>
      <c r="T383">
        <f>IF(Table1[[#This Row],[Qty Order]]="Sample","-",IF(Table1[[#This Row],[Qty Order]]="RTFN","-",Table1[[#This Row],[Qty Order]]-Table1[[#This Row],[Qty Accumulate]]))</f>
        <v>0</v>
      </c>
      <c r="U383">
        <f>((Table1[[#This Row],[Shift Output]]*Table1[[#This Row],[Part Weight (gm)]])/1000)+Table1[[#This Row],[Reject Startup (kg)]]+Table1[[#This Row],[Reject Purging (kg)]]+Table1[[#This Row],[Reject Preform (kg)]]</f>
        <v>298.35599999999999</v>
      </c>
      <c r="V383" s="37">
        <f>(Table1[[#This Row],[Gross Weight (gm)]]-Table1[[#This Row],[Part Weight (gm)]])*Table1[[#This Row],[Shift Output]]/1000</f>
        <v>-15.220479999999982</v>
      </c>
      <c r="W383" s="3">
        <v>0</v>
      </c>
      <c r="X383" s="36">
        <f>Table1[[#This Row],[Reject Startup (kg)]]/Table1[[#This Row],[Material Used]]</f>
        <v>0</v>
      </c>
      <c r="Y383" s="3">
        <v>0</v>
      </c>
      <c r="Z383" s="36">
        <f>Table1[[#This Row],[Reject Prod (kg)]]/Table1[[#This Row],[Material Used]]</f>
        <v>0</v>
      </c>
      <c r="AA383" s="4">
        <v>22.1152324676513</v>
      </c>
      <c r="AB383" s="5">
        <v>10.4</v>
      </c>
      <c r="AC383" s="4" cm="1">
        <f t="array" ref="AC383">IFERROR(INDEX(ReferenceCard, MATCH(1, (INDEX(ReferenceCard,,1)=Table1[[#This Row],[SAP No]]) * (INDEX(ReferenceCard,,2)=Table1[[#This Row],[Mould No]]), 0), 9),)</f>
        <v>32.74</v>
      </c>
      <c r="AD383" s="5">
        <v>0</v>
      </c>
      <c r="AE383" s="5">
        <v>0</v>
      </c>
      <c r="AF383" s="5">
        <v>0</v>
      </c>
      <c r="AG383" s="5">
        <v>0</v>
      </c>
      <c r="AH383" s="5">
        <v>1.6</v>
      </c>
      <c r="AI383" s="5">
        <v>0</v>
      </c>
      <c r="AJ383" s="5">
        <v>0</v>
      </c>
      <c r="AL383" s="2"/>
      <c r="AM383" s="2"/>
      <c r="AN383" s="3">
        <v>0</v>
      </c>
      <c r="AO383" s="3">
        <v>0</v>
      </c>
      <c r="AP38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4" spans="1:42" x14ac:dyDescent="0.35">
      <c r="A384" s="1">
        <v>46011</v>
      </c>
      <c r="B384">
        <v>1</v>
      </c>
      <c r="C384" t="s">
        <v>16</v>
      </c>
      <c r="D384" t="str" cm="1">
        <f t="array" ref="D384">IFERROR(INDEX(ReferenceCard, MATCH(1, (INDEX(ReferenceCard,,1)=Table1[[#This Row],[SAP No]]) * (INDEX(ReferenceCard,,2)=Table1[[#This Row],[Mould No]]), 0), 6),)</f>
        <v>PET</v>
      </c>
      <c r="E384">
        <v>324206</v>
      </c>
      <c r="F384">
        <v>0</v>
      </c>
      <c r="G384" t="str" cm="1">
        <f t="array" ref="G384">IFERROR(INDEX(ReferenceCard, MATCH(1, (INDEX(ReferenceCard,,1)=Table1[[#This Row],[SAP No]]) * (INDEX(ReferenceCard,,2)=Table1[[#This Row],[Mould No]]), 0), 3),)</f>
        <v>BX38-1000-HC-S-CL</v>
      </c>
      <c r="H384">
        <v>0</v>
      </c>
      <c r="I384" cm="1">
        <f t="array" ref="I384">IFERROR(INDEX(ReferenceCard, MATCH(1, (INDEX(ReferenceCard,,1)=Table1[[#This Row],[SAP No]]) * (INDEX(ReferenceCard,,2)=Table1[[#This Row],[Mould No]]), 0), 4),)</f>
        <v>4</v>
      </c>
      <c r="J384" s="4" cm="1">
        <f t="array" ref="J384">IFERROR(INDEX(ReferenceCard, MATCH(1, (INDEX(ReferenceCard,,1)=Table1[[#This Row],[SAP No]]) * (INDEX(ReferenceCard,,2)=Table1[[#This Row],[Mould No]]), 0), 9),)</f>
        <v>49</v>
      </c>
      <c r="K384" s="4" cm="1">
        <f t="array" ref="K384">IFERROR(INDEX(ReferenceCard, MATCH(1, (INDEX(ReferenceCard,,1)=Table1[[#This Row],[SAP No]]) * (INDEX(ReferenceCard,,2)=Table1[[#This Row],[Mould No]]), 0), 7),)</f>
        <v>48</v>
      </c>
      <c r="L384">
        <v>0</v>
      </c>
      <c r="M384">
        <v>0</v>
      </c>
      <c r="N384">
        <v>0</v>
      </c>
      <c r="O384">
        <v>0</v>
      </c>
      <c r="P384">
        <f>Table1[[#This Row],[Shot]]*Table1[[#This Row],[Cav]]</f>
        <v>0</v>
      </c>
      <c r="Q384">
        <v>0</v>
      </c>
      <c r="R384">
        <f>(Table1[[#This Row],[Part Weight (gm)]]*Table1[[#This Row],[Finish Good]])/1000</f>
        <v>0</v>
      </c>
      <c r="S384">
        <v>0</v>
      </c>
      <c r="T384">
        <f>IF(Table1[[#This Row],[Qty Order]]="Sample","-",IF(Table1[[#This Row],[Qty Order]]="RTFN","-",Table1[[#This Row],[Qty Order]]-Table1[[#This Row],[Qty Accumulate]]))</f>
        <v>0</v>
      </c>
      <c r="U384">
        <f>((Table1[[#This Row],[Shift Output]]*Table1[[#This Row],[Part Weight (gm)]])/1000)+Table1[[#This Row],[Reject Startup (kg)]]+Table1[[#This Row],[Reject Purging (kg)]]+Table1[[#This Row],[Reject Preform (kg)]]</f>
        <v>0</v>
      </c>
      <c r="V384" s="37">
        <f>(Table1[[#This Row],[Gross Weight (gm)]]-Table1[[#This Row],[Part Weight (gm)]])*Table1[[#This Row],[Shift Output]]/1000</f>
        <v>0</v>
      </c>
      <c r="W384" s="3">
        <v>0</v>
      </c>
      <c r="X384" s="36" t="e">
        <f>Table1[[#This Row],[Reject Startup (kg)]]/Table1[[#This Row],[Material Used]]</f>
        <v>#DIV/0!</v>
      </c>
      <c r="Y384" s="3">
        <v>0</v>
      </c>
      <c r="Z384" s="36" t="e">
        <f>Table1[[#This Row],[Reject Prod (kg)]]/Table1[[#This Row],[Material Used]]</f>
        <v>#DIV/0!</v>
      </c>
      <c r="AA384" s="4">
        <v>0</v>
      </c>
      <c r="AB384" s="5">
        <v>0</v>
      </c>
      <c r="AC384" s="4" cm="1">
        <f t="array" ref="AC384">IFERROR(INDEX(ReferenceCard, MATCH(1, (INDEX(ReferenceCard,,1)=Table1[[#This Row],[SAP No]]) * (INDEX(ReferenceCard,,2)=Table1[[#This Row],[Mould No]]), 0), 9),)</f>
        <v>49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12</v>
      </c>
      <c r="AJ384" s="5">
        <v>0</v>
      </c>
      <c r="AL384" s="2"/>
      <c r="AM384" s="2"/>
      <c r="AN384" s="3">
        <v>0</v>
      </c>
      <c r="AO384" s="3">
        <v>0</v>
      </c>
      <c r="AP38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5" spans="1:42" x14ac:dyDescent="0.35">
      <c r="A385" s="1">
        <v>46011</v>
      </c>
      <c r="B385">
        <v>1</v>
      </c>
      <c r="C385" t="s">
        <v>23</v>
      </c>
      <c r="D385" t="str" cm="1">
        <f t="array" ref="D385">IFERROR(INDEX(ReferenceCard, MATCH(1, (INDEX(ReferenceCard,,1)=Table1[[#This Row],[SAP No]]) * (INDEX(ReferenceCard,,2)=Table1[[#This Row],[Mould No]]), 0), 6),)</f>
        <v>PPSB520Y</v>
      </c>
      <c r="E385">
        <v>586276</v>
      </c>
      <c r="F385">
        <v>2</v>
      </c>
      <c r="G385" t="str" cm="1">
        <f t="array" ref="G385">IFERROR(INDEX(ReferenceCard, MATCH(1, (INDEX(ReferenceCard,,1)=Table1[[#This Row],[SAP No]]) * (INDEX(ReferenceCard,,2)=Table1[[#This Row],[Mould No]]), 0), 3),)</f>
        <v>BC28-0056-D-APH-LEB-604001-MOLD2</v>
      </c>
      <c r="H385">
        <v>0</v>
      </c>
      <c r="I385" cm="1">
        <f t="array" ref="I385">IFERROR(INDEX(ReferenceCard, MATCH(1, (INDEX(ReferenceCard,,1)=Table1[[#This Row],[SAP No]]) * (INDEX(ReferenceCard,,2)=Table1[[#This Row],[Mould No]]), 0), 4),)</f>
        <v>6</v>
      </c>
      <c r="J385" s="4" cm="1">
        <f t="array" ref="J385">IFERROR(INDEX(ReferenceCard, MATCH(1, (INDEX(ReferenceCard,,1)=Table1[[#This Row],[SAP No]]) * (INDEX(ReferenceCard,,2)=Table1[[#This Row],[Mould No]]), 0), 9),)</f>
        <v>12.3</v>
      </c>
      <c r="K385" s="4" cm="1">
        <f t="array" ref="K385">IFERROR(INDEX(ReferenceCard, MATCH(1, (INDEX(ReferenceCard,,1)=Table1[[#This Row],[SAP No]]) * (INDEX(ReferenceCard,,2)=Table1[[#This Row],[Mould No]]), 0), 7),)</f>
        <v>12.3</v>
      </c>
      <c r="L385">
        <v>1376</v>
      </c>
      <c r="M385">
        <v>0</v>
      </c>
      <c r="N385">
        <v>0</v>
      </c>
      <c r="O385">
        <v>0</v>
      </c>
      <c r="P385">
        <f>Table1[[#This Row],[Shot]]*Table1[[#This Row],[Cav]]</f>
        <v>8256</v>
      </c>
      <c r="Q385">
        <v>0</v>
      </c>
      <c r="R385">
        <f>(Table1[[#This Row],[Part Weight (gm)]]*Table1[[#This Row],[Finish Good]])/1000</f>
        <v>0</v>
      </c>
      <c r="S385">
        <v>0</v>
      </c>
      <c r="T385">
        <f>IF(Table1[[#This Row],[Qty Order]]="Sample","-",IF(Table1[[#This Row],[Qty Order]]="RTFN","-",Table1[[#This Row],[Qty Order]]-Table1[[#This Row],[Qty Accumulate]]))</f>
        <v>0</v>
      </c>
      <c r="U385">
        <f>((Table1[[#This Row],[Shift Output]]*Table1[[#This Row],[Part Weight (gm)]])/1000)+Table1[[#This Row],[Reject Startup (kg)]]+Table1[[#This Row],[Reject Purging (kg)]]+Table1[[#This Row],[Reject Preform (kg)]]</f>
        <v>101.5488</v>
      </c>
      <c r="V385" s="37">
        <f>(Table1[[#This Row],[Gross Weight (gm)]]-Table1[[#This Row],[Part Weight (gm)]])*Table1[[#This Row],[Shift Output]]/1000</f>
        <v>0</v>
      </c>
      <c r="W385" s="3">
        <v>0</v>
      </c>
      <c r="X385" s="36">
        <f>Table1[[#This Row],[Reject Startup (kg)]]/Table1[[#This Row],[Material Used]]</f>
        <v>0</v>
      </c>
      <c r="Y385" s="3">
        <v>0</v>
      </c>
      <c r="Z385" s="36">
        <f>Table1[[#This Row],[Reject Prod (kg)]]/Table1[[#This Row],[Material Used]]</f>
        <v>0</v>
      </c>
      <c r="AA385" s="4">
        <v>28.9954719543457</v>
      </c>
      <c r="AB385" s="5">
        <v>11.56</v>
      </c>
      <c r="AC385" s="4" cm="1">
        <f t="array" ref="AC385">IFERROR(INDEX(ReferenceCard, MATCH(1, (INDEX(ReferenceCard,,1)=Table1[[#This Row],[SAP No]]) * (INDEX(ReferenceCard,,2)=Table1[[#This Row],[Mould No]]), 0), 9),)</f>
        <v>12.3</v>
      </c>
      <c r="AD385" s="5">
        <v>0</v>
      </c>
      <c r="AE385" s="5">
        <v>0</v>
      </c>
      <c r="AF385" s="5">
        <v>0</v>
      </c>
      <c r="AG385" s="5">
        <v>0</v>
      </c>
      <c r="AH385" s="5">
        <v>0.44</v>
      </c>
      <c r="AI385" s="5">
        <v>0</v>
      </c>
      <c r="AJ385" s="5">
        <v>0</v>
      </c>
      <c r="AL385" s="2"/>
      <c r="AM385" s="2"/>
      <c r="AN385" s="3">
        <v>0</v>
      </c>
      <c r="AO385" s="3">
        <v>0</v>
      </c>
      <c r="AP38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6" spans="1:42" x14ac:dyDescent="0.35">
      <c r="A386" s="1">
        <v>46011</v>
      </c>
      <c r="B386">
        <v>1</v>
      </c>
      <c r="C386" t="s">
        <v>25</v>
      </c>
      <c r="D386" t="str" cm="1">
        <f t="array" ref="D386">IFERROR(INDEX(ReferenceCard, MATCH(1, (INDEX(ReferenceCard,,1)=Table1[[#This Row],[SAP No]]) * (INDEX(ReferenceCard,,2)=Table1[[#This Row],[Mould No]]), 0), 6),)</f>
        <v>PET</v>
      </c>
      <c r="E386">
        <v>323133</v>
      </c>
      <c r="F386">
        <v>0</v>
      </c>
      <c r="G386" t="str" cm="1">
        <f t="array" ref="G386">IFERROR(INDEX(ReferenceCard, MATCH(1, (INDEX(ReferenceCard,,1)=Table1[[#This Row],[SAP No]]) * (INDEX(ReferenceCard,,2)=Table1[[#This Row],[Mould No]]), 0), 3),)</f>
        <v>BX38-2000-RH-R-CL(GREEN) (ASEM)</v>
      </c>
      <c r="H386">
        <v>0</v>
      </c>
      <c r="I386" cm="1">
        <f t="array" ref="I386">IFERROR(INDEX(ReferenceCard, MATCH(1, (INDEX(ReferenceCard,,1)=Table1[[#This Row],[SAP No]]) * (INDEX(ReferenceCard,,2)=Table1[[#This Row],[Mould No]]), 0), 4),)</f>
        <v>4</v>
      </c>
      <c r="J386" s="4" cm="1">
        <f t="array" ref="J386">IFERROR(INDEX(ReferenceCard, MATCH(1, (INDEX(ReferenceCard,,1)=Table1[[#This Row],[SAP No]]) * (INDEX(ReferenceCard,,2)=Table1[[#This Row],[Mould No]]), 0), 9),)</f>
        <v>77</v>
      </c>
      <c r="K386" s="4" cm="1">
        <f t="array" ref="K386">IFERROR(INDEX(ReferenceCard, MATCH(1, (INDEX(ReferenceCard,,1)=Table1[[#This Row],[SAP No]]) * (INDEX(ReferenceCard,,2)=Table1[[#This Row],[Mould No]]), 0), 7),)</f>
        <v>77</v>
      </c>
      <c r="L386">
        <v>0</v>
      </c>
      <c r="M386">
        <v>0</v>
      </c>
      <c r="N386">
        <v>0</v>
      </c>
      <c r="O386">
        <v>0</v>
      </c>
      <c r="P386">
        <f>Table1[[#This Row],[Shot]]*Table1[[#This Row],[Cav]]</f>
        <v>0</v>
      </c>
      <c r="Q386">
        <v>0</v>
      </c>
      <c r="R386">
        <f>(Table1[[#This Row],[Part Weight (gm)]]*Table1[[#This Row],[Finish Good]])/1000</f>
        <v>0</v>
      </c>
      <c r="S386">
        <v>0</v>
      </c>
      <c r="T386">
        <f>IF(Table1[[#This Row],[Qty Order]]="Sample","-",IF(Table1[[#This Row],[Qty Order]]="RTFN","-",Table1[[#This Row],[Qty Order]]-Table1[[#This Row],[Qty Accumulate]]))</f>
        <v>0</v>
      </c>
      <c r="U386">
        <f>((Table1[[#This Row],[Shift Output]]*Table1[[#This Row],[Part Weight (gm)]])/1000)+Table1[[#This Row],[Reject Startup (kg)]]+Table1[[#This Row],[Reject Purging (kg)]]+Table1[[#This Row],[Reject Preform (kg)]]</f>
        <v>0</v>
      </c>
      <c r="V386" s="37">
        <f>(Table1[[#This Row],[Gross Weight (gm)]]-Table1[[#This Row],[Part Weight (gm)]])*Table1[[#This Row],[Shift Output]]/1000</f>
        <v>0</v>
      </c>
      <c r="W386" s="3">
        <v>0</v>
      </c>
      <c r="X386" s="36" t="e">
        <f>Table1[[#This Row],[Reject Startup (kg)]]/Table1[[#This Row],[Material Used]]</f>
        <v>#DIV/0!</v>
      </c>
      <c r="Y386" s="3">
        <v>0</v>
      </c>
      <c r="Z386" s="36" t="e">
        <f>Table1[[#This Row],[Reject Prod (kg)]]/Table1[[#This Row],[Material Used]]</f>
        <v>#DIV/0!</v>
      </c>
      <c r="AA386" s="4">
        <v>0</v>
      </c>
      <c r="AB386" s="5">
        <v>0</v>
      </c>
      <c r="AC386" s="4" cm="1">
        <f t="array" ref="AC386">IFERROR(INDEX(ReferenceCard, MATCH(1, (INDEX(ReferenceCard,,1)=Table1[[#This Row],[SAP No]]) * (INDEX(ReferenceCard,,2)=Table1[[#This Row],[Mould No]]), 0), 9),)</f>
        <v>77</v>
      </c>
      <c r="AD386" s="5">
        <v>0</v>
      </c>
      <c r="AE386" s="5">
        <v>0</v>
      </c>
      <c r="AF386" s="5">
        <v>0</v>
      </c>
      <c r="AG386" s="5">
        <v>12</v>
      </c>
      <c r="AH386" s="5">
        <v>0</v>
      </c>
      <c r="AI386" s="5">
        <v>0</v>
      </c>
      <c r="AJ386" s="5">
        <v>0</v>
      </c>
      <c r="AK386" t="s">
        <v>81</v>
      </c>
      <c r="AL386" s="2"/>
      <c r="AM386" s="2"/>
      <c r="AN386" s="3">
        <v>0</v>
      </c>
      <c r="AO386" s="3">
        <v>0</v>
      </c>
      <c r="AP38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7" spans="1:42" x14ac:dyDescent="0.35">
      <c r="A387" s="1">
        <v>46011</v>
      </c>
      <c r="B387">
        <v>1</v>
      </c>
      <c r="C387" t="s">
        <v>27</v>
      </c>
      <c r="D387" t="str" cm="1">
        <f t="array" ref="D387">IFERROR(INDEX(ReferenceCard, MATCH(1, (INDEX(ReferenceCard,,1)=Table1[[#This Row],[SAP No]]) * (INDEX(ReferenceCard,,2)=Table1[[#This Row],[Mould No]]), 0), 6),)</f>
        <v>PPSB520Y</v>
      </c>
      <c r="E387">
        <v>552181</v>
      </c>
      <c r="F387">
        <v>4</v>
      </c>
      <c r="G387" t="str" cm="1">
        <f t="array" ref="G387">IFERROR(INDEX(ReferenceCard, MATCH(1, (INDEX(ReferenceCard,,1)=Table1[[#This Row],[SAP No]]) * (INDEX(ReferenceCard,,2)=Table1[[#This Row],[Mould No]]), 0), 3),)</f>
        <v>BC28-0090-D-APH-5180-3538-PP-6 NOTCHES-MOLD4</v>
      </c>
      <c r="H387">
        <v>0</v>
      </c>
      <c r="I387" cm="1">
        <f t="array" ref="I387">IFERROR(INDEX(ReferenceCard, MATCH(1, (INDEX(ReferenceCard,,1)=Table1[[#This Row],[SAP No]]) * (INDEX(ReferenceCard,,2)=Table1[[#This Row],[Mould No]]), 0), 4),)</f>
        <v>6</v>
      </c>
      <c r="J387" s="4" cm="1">
        <f t="array" ref="J387">IFERROR(INDEX(ReferenceCard, MATCH(1, (INDEX(ReferenceCard,,1)=Table1[[#This Row],[SAP No]]) * (INDEX(ReferenceCard,,2)=Table1[[#This Row],[Mould No]]), 0), 9),)</f>
        <v>18.8</v>
      </c>
      <c r="K387" s="4" cm="1">
        <f t="array" ref="K387">IFERROR(INDEX(ReferenceCard, MATCH(1, (INDEX(ReferenceCard,,1)=Table1[[#This Row],[SAP No]]) * (INDEX(ReferenceCard,,2)=Table1[[#This Row],[Mould No]]), 0), 7),)</f>
        <v>18.8</v>
      </c>
      <c r="L387">
        <v>1013</v>
      </c>
      <c r="M387">
        <v>0</v>
      </c>
      <c r="N387">
        <v>0</v>
      </c>
      <c r="O387">
        <v>0</v>
      </c>
      <c r="P387">
        <f>Table1[[#This Row],[Shot]]*Table1[[#This Row],[Cav]]</f>
        <v>6078</v>
      </c>
      <c r="Q387">
        <v>0</v>
      </c>
      <c r="R387">
        <f>(Table1[[#This Row],[Part Weight (gm)]]*Table1[[#This Row],[Finish Good]])/1000</f>
        <v>0</v>
      </c>
      <c r="S387">
        <v>0</v>
      </c>
      <c r="T387">
        <f>IF(Table1[[#This Row],[Qty Order]]="Sample","-",IF(Table1[[#This Row],[Qty Order]]="RTFN","-",Table1[[#This Row],[Qty Order]]-Table1[[#This Row],[Qty Accumulate]]))</f>
        <v>0</v>
      </c>
      <c r="U387">
        <f>((Table1[[#This Row],[Shift Output]]*Table1[[#This Row],[Part Weight (gm)]])/1000)+Table1[[#This Row],[Reject Startup (kg)]]+Table1[[#This Row],[Reject Purging (kg)]]+Table1[[#This Row],[Reject Preform (kg)]]</f>
        <v>114.2664</v>
      </c>
      <c r="V387" s="37">
        <f>(Table1[[#This Row],[Gross Weight (gm)]]-Table1[[#This Row],[Part Weight (gm)]])*Table1[[#This Row],[Shift Output]]/1000</f>
        <v>0</v>
      </c>
      <c r="W387" s="3">
        <v>0</v>
      </c>
      <c r="X387" s="36">
        <f>Table1[[#This Row],[Reject Startup (kg)]]/Table1[[#This Row],[Material Used]]</f>
        <v>0</v>
      </c>
      <c r="Y387" s="3">
        <v>0</v>
      </c>
      <c r="Z387" s="36">
        <f>Table1[[#This Row],[Reject Prod (kg)]]/Table1[[#This Row],[Material Used]]</f>
        <v>0</v>
      </c>
      <c r="AA387" s="4">
        <v>0</v>
      </c>
      <c r="AB387" s="5">
        <v>0</v>
      </c>
      <c r="AC387" s="4" cm="1">
        <f t="array" ref="AC387">IFERROR(INDEX(ReferenceCard, MATCH(1, (INDEX(ReferenceCard,,1)=Table1[[#This Row],[SAP No]]) * (INDEX(ReferenceCard,,2)=Table1[[#This Row],[Mould No]]), 0), 9),)</f>
        <v>18.8</v>
      </c>
      <c r="AD387" s="5">
        <v>0</v>
      </c>
      <c r="AE387" s="5">
        <v>0</v>
      </c>
      <c r="AF387" s="5">
        <v>0</v>
      </c>
      <c r="AG387" s="5">
        <v>12</v>
      </c>
      <c r="AH387" s="5">
        <v>0</v>
      </c>
      <c r="AI387" s="5">
        <v>0</v>
      </c>
      <c r="AJ387" s="5">
        <v>0</v>
      </c>
      <c r="AK387" t="s">
        <v>86</v>
      </c>
      <c r="AL387" s="2"/>
      <c r="AM387" s="2"/>
      <c r="AN387" s="3">
        <v>0</v>
      </c>
      <c r="AO387" s="3">
        <v>0</v>
      </c>
      <c r="AP38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8" spans="1:42" x14ac:dyDescent="0.35">
      <c r="A388" s="1">
        <v>46011</v>
      </c>
      <c r="B388">
        <v>1</v>
      </c>
      <c r="C388" t="s">
        <v>29</v>
      </c>
      <c r="D388" t="str" cm="1">
        <f t="array" ref="D388">IFERROR(INDEX(ReferenceCard, MATCH(1, (INDEX(ReferenceCard,,1)=Table1[[#This Row],[SAP No]]) * (INDEX(ReferenceCard,,2)=Table1[[#This Row],[Mould No]]), 0), 6),)</f>
        <v>PET</v>
      </c>
      <c r="E388">
        <v>620599</v>
      </c>
      <c r="F388">
        <v>0</v>
      </c>
      <c r="G388" t="str" cm="1">
        <f t="array" ref="G388">IFERROR(INDEX(ReferenceCard, MATCH(1, (INDEX(ReferenceCard,,1)=Table1[[#This Row],[SAP No]]) * (INDEX(ReferenceCard,,2)=Table1[[#This Row],[Mould No]]), 0), 3),)</f>
        <v>BC28-0750-K4-R-CL (55g)</v>
      </c>
      <c r="H388">
        <v>0</v>
      </c>
      <c r="I388" cm="1">
        <f t="array" ref="I388">IFERROR(INDEX(ReferenceCard, MATCH(1, (INDEX(ReferenceCard,,1)=Table1[[#This Row],[SAP No]]) * (INDEX(ReferenceCard,,2)=Table1[[#This Row],[Mould No]]), 0), 4),)</f>
        <v>4</v>
      </c>
      <c r="J388" s="4" cm="1">
        <f t="array" ref="J388">IFERROR(INDEX(ReferenceCard, MATCH(1, (INDEX(ReferenceCard,,1)=Table1[[#This Row],[SAP No]]) * (INDEX(ReferenceCard,,2)=Table1[[#This Row],[Mould No]]), 0), 9),)</f>
        <v>55</v>
      </c>
      <c r="K388" s="4" cm="1">
        <f t="array" ref="K388">IFERROR(INDEX(ReferenceCard, MATCH(1, (INDEX(ReferenceCard,,1)=Table1[[#This Row],[SAP No]]) * (INDEX(ReferenceCard,,2)=Table1[[#This Row],[Mould No]]), 0), 7),)</f>
        <v>55</v>
      </c>
      <c r="L388">
        <v>2780</v>
      </c>
      <c r="M388">
        <v>0</v>
      </c>
      <c r="N388">
        <v>0</v>
      </c>
      <c r="O388">
        <v>0</v>
      </c>
      <c r="P388">
        <f>Table1[[#This Row],[Shot]]*Table1[[#This Row],[Cav]]</f>
        <v>11120</v>
      </c>
      <c r="Q388">
        <v>0</v>
      </c>
      <c r="R388">
        <f>(Table1[[#This Row],[Part Weight (gm)]]*Table1[[#This Row],[Finish Good]])/1000</f>
        <v>0</v>
      </c>
      <c r="S388">
        <v>0</v>
      </c>
      <c r="T388">
        <f>IF(Table1[[#This Row],[Qty Order]]="Sample","-",IF(Table1[[#This Row],[Qty Order]]="RTFN","-",Table1[[#This Row],[Qty Order]]-Table1[[#This Row],[Qty Accumulate]]))</f>
        <v>0</v>
      </c>
      <c r="U388">
        <f>((Table1[[#This Row],[Shift Output]]*Table1[[#This Row],[Part Weight (gm)]])/1000)+Table1[[#This Row],[Reject Startup (kg)]]+Table1[[#This Row],[Reject Purging (kg)]]+Table1[[#This Row],[Reject Preform (kg)]]</f>
        <v>611.6</v>
      </c>
      <c r="V388" s="37">
        <f>(Table1[[#This Row],[Gross Weight (gm)]]-Table1[[#This Row],[Part Weight (gm)]])*Table1[[#This Row],[Shift Output]]/1000</f>
        <v>0</v>
      </c>
      <c r="W388" s="3">
        <v>0</v>
      </c>
      <c r="X388" s="36">
        <f>Table1[[#This Row],[Reject Startup (kg)]]/Table1[[#This Row],[Material Used]]</f>
        <v>0</v>
      </c>
      <c r="Y388" s="3">
        <v>0</v>
      </c>
      <c r="Z388" s="36">
        <f>Table1[[#This Row],[Reject Prod (kg)]]/Table1[[#This Row],[Material Used]]</f>
        <v>0</v>
      </c>
      <c r="AA388" s="4">
        <v>27.9385967254638</v>
      </c>
      <c r="AB388" s="5">
        <v>10.8</v>
      </c>
      <c r="AC388" s="4" cm="1">
        <f t="array" ref="AC388">IFERROR(INDEX(ReferenceCard, MATCH(1, (INDEX(ReferenceCard,,1)=Table1[[#This Row],[SAP No]]) * (INDEX(ReferenceCard,,2)=Table1[[#This Row],[Mould No]]), 0), 9),)</f>
        <v>55</v>
      </c>
      <c r="AD388" s="5">
        <v>0</v>
      </c>
      <c r="AE388" s="5">
        <v>0</v>
      </c>
      <c r="AF388" s="5">
        <v>0</v>
      </c>
      <c r="AG388" s="5">
        <v>0</v>
      </c>
      <c r="AH388" s="5">
        <v>1.2</v>
      </c>
      <c r="AI388" s="5">
        <v>0</v>
      </c>
      <c r="AJ388" s="5">
        <v>0</v>
      </c>
      <c r="AL388" s="2"/>
      <c r="AM388" s="2"/>
      <c r="AN388" s="3">
        <v>0</v>
      </c>
      <c r="AO388" s="3">
        <v>0</v>
      </c>
      <c r="AP38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89" spans="1:42" x14ac:dyDescent="0.35">
      <c r="A389" s="1">
        <v>46011</v>
      </c>
      <c r="B389">
        <v>1</v>
      </c>
      <c r="C389" t="s">
        <v>31</v>
      </c>
      <c r="D389" t="str" cm="1">
        <f t="array" ref="D389">IFERROR(INDEX(ReferenceCard, MATCH(1, (INDEX(ReferenceCard,,1)=Table1[[#This Row],[SAP No]]) * (INDEX(ReferenceCard,,2)=Table1[[#This Row],[Mould No]]), 0), 6),)</f>
        <v>PPSB520Y</v>
      </c>
      <c r="E389">
        <v>586276</v>
      </c>
      <c r="F389">
        <v>4</v>
      </c>
      <c r="G389" t="str" cm="1">
        <f t="array" ref="G389">IFERROR(INDEX(ReferenceCard, MATCH(1, (INDEX(ReferenceCard,,1)=Table1[[#This Row],[SAP No]]) * (INDEX(ReferenceCard,,2)=Table1[[#This Row],[Mould No]]), 0), 3),)</f>
        <v>BC28-0056-D-APH-LEB-604001-MOLD4</v>
      </c>
      <c r="H389">
        <v>0</v>
      </c>
      <c r="I389" cm="1">
        <f t="array" ref="I389">IFERROR(INDEX(ReferenceCard, MATCH(1, (INDEX(ReferenceCard,,1)=Table1[[#This Row],[SAP No]]) * (INDEX(ReferenceCard,,2)=Table1[[#This Row],[Mould No]]), 0), 4),)</f>
        <v>6</v>
      </c>
      <c r="J389" s="4" cm="1">
        <f t="array" ref="J389">IFERROR(INDEX(ReferenceCard, MATCH(1, (INDEX(ReferenceCard,,1)=Table1[[#This Row],[SAP No]]) * (INDEX(ReferenceCard,,2)=Table1[[#This Row],[Mould No]]), 0), 9),)</f>
        <v>12.3</v>
      </c>
      <c r="K389" s="4" cm="1">
        <f t="array" ref="K389">IFERROR(INDEX(ReferenceCard, MATCH(1, (INDEX(ReferenceCard,,1)=Table1[[#This Row],[SAP No]]) * (INDEX(ReferenceCard,,2)=Table1[[#This Row],[Mould No]]), 0), 7),)</f>
        <v>12.3</v>
      </c>
      <c r="L389">
        <v>1652</v>
      </c>
      <c r="M389">
        <v>0</v>
      </c>
      <c r="N389">
        <v>0</v>
      </c>
      <c r="O389">
        <v>0</v>
      </c>
      <c r="P389">
        <f>Table1[[#This Row],[Shot]]*Table1[[#This Row],[Cav]]</f>
        <v>9912</v>
      </c>
      <c r="Q389">
        <v>0</v>
      </c>
      <c r="R389">
        <f>(Table1[[#This Row],[Part Weight (gm)]]*Table1[[#This Row],[Finish Good]])/1000</f>
        <v>0</v>
      </c>
      <c r="S389">
        <v>0</v>
      </c>
      <c r="T389">
        <f>IF(Table1[[#This Row],[Qty Order]]="Sample","-",IF(Table1[[#This Row],[Qty Order]]="RTFN","-",Table1[[#This Row],[Qty Order]]-Table1[[#This Row],[Qty Accumulate]]))</f>
        <v>0</v>
      </c>
      <c r="U389">
        <f>((Table1[[#This Row],[Shift Output]]*Table1[[#This Row],[Part Weight (gm)]])/1000)+Table1[[#This Row],[Reject Startup (kg)]]+Table1[[#This Row],[Reject Purging (kg)]]+Table1[[#This Row],[Reject Preform (kg)]]</f>
        <v>121.91760000000001</v>
      </c>
      <c r="V389" s="37">
        <f>(Table1[[#This Row],[Gross Weight (gm)]]-Table1[[#This Row],[Part Weight (gm)]])*Table1[[#This Row],[Shift Output]]/1000</f>
        <v>0</v>
      </c>
      <c r="W389" s="3">
        <v>0</v>
      </c>
      <c r="X389" s="36">
        <f>Table1[[#This Row],[Reject Startup (kg)]]/Table1[[#This Row],[Material Used]]</f>
        <v>0</v>
      </c>
      <c r="Y389" s="3">
        <v>0</v>
      </c>
      <c r="Z389" s="36">
        <f>Table1[[#This Row],[Reject Prod (kg)]]/Table1[[#This Row],[Material Used]]</f>
        <v>0</v>
      </c>
      <c r="AA389" s="4">
        <v>26.138870239257798</v>
      </c>
      <c r="AB389" s="5">
        <v>12</v>
      </c>
      <c r="AC389" s="4" cm="1">
        <f t="array" ref="AC389">IFERROR(INDEX(ReferenceCard, MATCH(1, (INDEX(ReferenceCard,,1)=Table1[[#This Row],[SAP No]]) * (INDEX(ReferenceCard,,2)=Table1[[#This Row],[Mould No]]), 0), 9),)</f>
        <v>12.3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L389" s="2"/>
      <c r="AM389" s="2"/>
      <c r="AN389" s="3">
        <v>0</v>
      </c>
      <c r="AO389" s="3">
        <v>0</v>
      </c>
      <c r="AP38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0" spans="1:42" x14ac:dyDescent="0.35">
      <c r="A390" s="1">
        <v>46011</v>
      </c>
      <c r="B390">
        <v>1</v>
      </c>
      <c r="C390" t="s">
        <v>33</v>
      </c>
      <c r="D390" t="str" cm="1">
        <f t="array" ref="D390">IFERROR(INDEX(ReferenceCard, MATCH(1, (INDEX(ReferenceCard,,1)=Table1[[#This Row],[SAP No]]) * (INDEX(ReferenceCard,,2)=Table1[[#This Row],[Mould No]]), 0), 6),)</f>
        <v>PET</v>
      </c>
      <c r="E390">
        <v>541381</v>
      </c>
      <c r="F390">
        <v>0</v>
      </c>
      <c r="G390" t="str" cm="1">
        <f t="array" ref="G390">IFERROR(INDEX(ReferenceCard, MATCH(1, (INDEX(ReferenceCard,,1)=Table1[[#This Row],[SAP No]]) * (INDEX(ReferenceCard,,2)=Table1[[#This Row],[Mould No]]), 0), 3),)</f>
        <v>BC28-1200-K-R-CL</v>
      </c>
      <c r="H390">
        <v>0</v>
      </c>
      <c r="I390" cm="1">
        <f t="array" ref="I390">IFERROR(INDEX(ReferenceCard, MATCH(1, (INDEX(ReferenceCard,,1)=Table1[[#This Row],[SAP No]]) * (INDEX(ReferenceCard,,2)=Table1[[#This Row],[Mould No]]), 0), 4),)</f>
        <v>4</v>
      </c>
      <c r="J390" s="4" cm="1">
        <f t="array" ref="J390">IFERROR(INDEX(ReferenceCard, MATCH(1, (INDEX(ReferenceCard,,1)=Table1[[#This Row],[SAP No]]) * (INDEX(ReferenceCard,,2)=Table1[[#This Row],[Mould No]]), 0), 9),)</f>
        <v>55</v>
      </c>
      <c r="K390" s="4" cm="1">
        <f t="array" ref="K390">IFERROR(INDEX(ReferenceCard, MATCH(1, (INDEX(ReferenceCard,,1)=Table1[[#This Row],[SAP No]]) * (INDEX(ReferenceCard,,2)=Table1[[#This Row],[Mould No]]), 0), 7),)</f>
        <v>55</v>
      </c>
      <c r="L390">
        <v>1088</v>
      </c>
      <c r="M390">
        <v>0</v>
      </c>
      <c r="N390">
        <v>0</v>
      </c>
      <c r="O390">
        <v>0</v>
      </c>
      <c r="P390">
        <f>Table1[[#This Row],[Shot]]*Table1[[#This Row],[Cav]]</f>
        <v>4352</v>
      </c>
      <c r="Q390">
        <v>0</v>
      </c>
      <c r="R390">
        <f>(Table1[[#This Row],[Part Weight (gm)]]*Table1[[#This Row],[Finish Good]])/1000</f>
        <v>0</v>
      </c>
      <c r="S390">
        <v>0</v>
      </c>
      <c r="T390">
        <f>IF(Table1[[#This Row],[Qty Order]]="Sample","-",IF(Table1[[#This Row],[Qty Order]]="RTFN","-",Table1[[#This Row],[Qty Order]]-Table1[[#This Row],[Qty Accumulate]]))</f>
        <v>0</v>
      </c>
      <c r="U390">
        <f>((Table1[[#This Row],[Shift Output]]*Table1[[#This Row],[Part Weight (gm)]])/1000)+Table1[[#This Row],[Reject Startup (kg)]]+Table1[[#This Row],[Reject Purging (kg)]]+Table1[[#This Row],[Reject Preform (kg)]]</f>
        <v>239.36</v>
      </c>
      <c r="V390" s="37">
        <f>(Table1[[#This Row],[Gross Weight (gm)]]-Table1[[#This Row],[Part Weight (gm)]])*Table1[[#This Row],[Shift Output]]/1000</f>
        <v>0</v>
      </c>
      <c r="W390" s="3">
        <v>0</v>
      </c>
      <c r="X390" s="36">
        <f>Table1[[#This Row],[Reject Startup (kg)]]/Table1[[#This Row],[Material Used]]</f>
        <v>0</v>
      </c>
      <c r="Y390" s="3">
        <v>0</v>
      </c>
      <c r="Z390" s="36">
        <f>Table1[[#This Row],[Reject Prod (kg)]]/Table1[[#This Row],[Material Used]]</f>
        <v>0</v>
      </c>
      <c r="AA390" s="4">
        <v>42.863853454589801</v>
      </c>
      <c r="AB390" s="5">
        <v>9.2100000000000009</v>
      </c>
      <c r="AC390" s="4" cm="1">
        <f t="array" ref="AC390">IFERROR(INDEX(ReferenceCard, MATCH(1, (INDEX(ReferenceCard,,1)=Table1[[#This Row],[SAP No]]) * (INDEX(ReferenceCard,,2)=Table1[[#This Row],[Mould No]]), 0), 9),)</f>
        <v>55</v>
      </c>
      <c r="AD390" s="5">
        <v>0</v>
      </c>
      <c r="AE390" s="5">
        <v>0</v>
      </c>
      <c r="AF390" s="5">
        <v>0</v>
      </c>
      <c r="AG390" s="5">
        <v>0</v>
      </c>
      <c r="AH390" s="5">
        <v>2.79</v>
      </c>
      <c r="AI390" s="5">
        <v>0</v>
      </c>
      <c r="AJ390" s="5">
        <v>0</v>
      </c>
      <c r="AL390" s="2"/>
      <c r="AM390" s="2"/>
      <c r="AN390" s="3">
        <v>0</v>
      </c>
      <c r="AO390" s="3">
        <v>0</v>
      </c>
      <c r="AP39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1" spans="1:42" x14ac:dyDescent="0.35">
      <c r="A391" s="1">
        <v>46011</v>
      </c>
      <c r="B391">
        <v>1</v>
      </c>
      <c r="C391" t="s">
        <v>35</v>
      </c>
      <c r="D391" t="str" cm="1">
        <f t="array" ref="D391">IFERROR(INDEX(ReferenceCard, MATCH(1, (INDEX(ReferenceCard,,1)=Table1[[#This Row],[SAP No]]) * (INDEX(ReferenceCard,,2)=Table1[[#This Row],[Mould No]]), 0), 6),)</f>
        <v>PPSB520Y</v>
      </c>
      <c r="E391">
        <v>552181</v>
      </c>
      <c r="F391">
        <v>1</v>
      </c>
      <c r="G391" t="str" cm="1">
        <f t="array" ref="G391">IFERROR(INDEX(ReferenceCard, MATCH(1, (INDEX(ReferenceCard,,1)=Table1[[#This Row],[SAP No]]) * (INDEX(ReferenceCard,,2)=Table1[[#This Row],[Mould No]]), 0), 3),)</f>
        <v>BC28-0090-D-APH-5180-3538-PP-6 NOTCHES-MOLD1</v>
      </c>
      <c r="H391">
        <v>0</v>
      </c>
      <c r="I391" cm="1">
        <f t="array" ref="I391">IFERROR(INDEX(ReferenceCard, MATCH(1, (INDEX(ReferenceCard,,1)=Table1[[#This Row],[SAP No]]) * (INDEX(ReferenceCard,,2)=Table1[[#This Row],[Mould No]]), 0), 4),)</f>
        <v>6</v>
      </c>
      <c r="J391" s="4" cm="1">
        <f t="array" ref="J391">IFERROR(INDEX(ReferenceCard, MATCH(1, (INDEX(ReferenceCard,,1)=Table1[[#This Row],[SAP No]]) * (INDEX(ReferenceCard,,2)=Table1[[#This Row],[Mould No]]), 0), 9),)</f>
        <v>18.8</v>
      </c>
      <c r="K391" s="4" cm="1">
        <f t="array" ref="K391">IFERROR(INDEX(ReferenceCard, MATCH(1, (INDEX(ReferenceCard,,1)=Table1[[#This Row],[SAP No]]) * (INDEX(ReferenceCard,,2)=Table1[[#This Row],[Mould No]]), 0), 7),)</f>
        <v>18.8</v>
      </c>
      <c r="L391">
        <v>1388</v>
      </c>
      <c r="M391">
        <v>0</v>
      </c>
      <c r="N391">
        <v>0</v>
      </c>
      <c r="O391">
        <v>0</v>
      </c>
      <c r="P391">
        <f>Table1[[#This Row],[Shot]]*Table1[[#This Row],[Cav]]</f>
        <v>8328</v>
      </c>
      <c r="Q391">
        <v>0</v>
      </c>
      <c r="R391">
        <f>(Table1[[#This Row],[Part Weight (gm)]]*Table1[[#This Row],[Finish Good]])/1000</f>
        <v>0</v>
      </c>
      <c r="S391">
        <v>0</v>
      </c>
      <c r="T391">
        <f>IF(Table1[[#This Row],[Qty Order]]="Sample","-",IF(Table1[[#This Row],[Qty Order]]="RTFN","-",Table1[[#This Row],[Qty Order]]-Table1[[#This Row],[Qty Accumulate]]))</f>
        <v>0</v>
      </c>
      <c r="U391">
        <f>((Table1[[#This Row],[Shift Output]]*Table1[[#This Row],[Part Weight (gm)]])/1000)+Table1[[#This Row],[Reject Startup (kg)]]+Table1[[#This Row],[Reject Purging (kg)]]+Table1[[#This Row],[Reject Preform (kg)]]</f>
        <v>156.56639999999999</v>
      </c>
      <c r="V391" s="37">
        <f>(Table1[[#This Row],[Gross Weight (gm)]]-Table1[[#This Row],[Part Weight (gm)]])*Table1[[#This Row],[Shift Output]]/1000</f>
        <v>0</v>
      </c>
      <c r="W391" s="3">
        <v>0</v>
      </c>
      <c r="X391" s="36">
        <f>Table1[[#This Row],[Reject Startup (kg)]]/Table1[[#This Row],[Material Used]]</f>
        <v>0</v>
      </c>
      <c r="Y391" s="3">
        <v>0</v>
      </c>
      <c r="Z391" s="36">
        <f>Table1[[#This Row],[Reject Prod (kg)]]/Table1[[#This Row],[Material Used]]</f>
        <v>0</v>
      </c>
      <c r="AA391" s="4">
        <v>31.103899002075099</v>
      </c>
      <c r="AB391" s="5">
        <v>12</v>
      </c>
      <c r="AC391" s="4" cm="1">
        <f t="array" ref="AC391">IFERROR(INDEX(ReferenceCard, MATCH(1, (INDEX(ReferenceCard,,1)=Table1[[#This Row],[SAP No]]) * (INDEX(ReferenceCard,,2)=Table1[[#This Row],[Mould No]]), 0), 9),)</f>
        <v>18.8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L391" s="2"/>
      <c r="AM391" s="2"/>
      <c r="AN391" s="3">
        <v>0</v>
      </c>
      <c r="AO391" s="3">
        <v>0</v>
      </c>
      <c r="AP39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2" spans="1:42" x14ac:dyDescent="0.35">
      <c r="A392" s="1">
        <v>46011</v>
      </c>
      <c r="B392">
        <v>1</v>
      </c>
      <c r="C392" t="s">
        <v>18</v>
      </c>
      <c r="D392" t="str" cm="1">
        <f t="array" ref="D392">IFERROR(INDEX(ReferenceCard, MATCH(1, (INDEX(ReferenceCard,,1)=Table1[[#This Row],[SAP No]]) * (INDEX(ReferenceCard,,2)=Table1[[#This Row],[Mould No]]), 0), 6),)</f>
        <v>PPSB520Y</v>
      </c>
      <c r="E392">
        <v>555979</v>
      </c>
      <c r="F392">
        <v>4</v>
      </c>
      <c r="G392" t="str" cm="1">
        <f t="array" ref="G392">IFERROR(INDEX(ReferenceCard, MATCH(1, (INDEX(ReferenceCard,,1)=Table1[[#This Row],[SAP No]]) * (INDEX(ReferenceCard,,2)=Table1[[#This Row],[Mould No]]), 0), 3),)</f>
        <v>BC28-0170-D-APH-5180-3539-PP-6 NOTCHES-MOLD4</v>
      </c>
      <c r="H392">
        <v>0</v>
      </c>
      <c r="I392" cm="1">
        <f t="array" ref="I392">IFERROR(INDEX(ReferenceCard, MATCH(1, (INDEX(ReferenceCard,,1)=Table1[[#This Row],[SAP No]]) * (INDEX(ReferenceCard,,2)=Table1[[#This Row],[Mould No]]), 0), 4),)</f>
        <v>6</v>
      </c>
      <c r="J392" s="4" cm="1">
        <f t="array" ref="J392">IFERROR(INDEX(ReferenceCard, MATCH(1, (INDEX(ReferenceCard,,1)=Table1[[#This Row],[SAP No]]) * (INDEX(ReferenceCard,,2)=Table1[[#This Row],[Mould No]]), 0), 9),)</f>
        <v>28</v>
      </c>
      <c r="K392" s="4" cm="1">
        <f t="array" ref="K392">IFERROR(INDEX(ReferenceCard, MATCH(1, (INDEX(ReferenceCard,,1)=Table1[[#This Row],[SAP No]]) * (INDEX(ReferenceCard,,2)=Table1[[#This Row],[Mould No]]), 0), 7),)</f>
        <v>28</v>
      </c>
      <c r="L392">
        <v>988</v>
      </c>
      <c r="M392">
        <v>0</v>
      </c>
      <c r="N392">
        <v>0</v>
      </c>
      <c r="O392">
        <v>0</v>
      </c>
      <c r="P392">
        <f>Table1[[#This Row],[Shot]]*Table1[[#This Row],[Cav]]</f>
        <v>5928</v>
      </c>
      <c r="Q392">
        <v>0</v>
      </c>
      <c r="R392">
        <f>(Table1[[#This Row],[Part Weight (gm)]]*Table1[[#This Row],[Finish Good]])/1000</f>
        <v>0</v>
      </c>
      <c r="S392">
        <v>0</v>
      </c>
      <c r="T392">
        <f>IF(Table1[[#This Row],[Qty Order]]="Sample","-",IF(Table1[[#This Row],[Qty Order]]="RTFN","-",Table1[[#This Row],[Qty Order]]-Table1[[#This Row],[Qty Accumulate]]))</f>
        <v>0</v>
      </c>
      <c r="U392">
        <f>((Table1[[#This Row],[Shift Output]]*Table1[[#This Row],[Part Weight (gm)]])/1000)+Table1[[#This Row],[Reject Startup (kg)]]+Table1[[#This Row],[Reject Purging (kg)]]+Table1[[#This Row],[Reject Preform (kg)]]</f>
        <v>165.98400000000001</v>
      </c>
      <c r="V392" s="37">
        <f>(Table1[[#This Row],[Gross Weight (gm)]]-Table1[[#This Row],[Part Weight (gm)]])*Table1[[#This Row],[Shift Output]]/1000</f>
        <v>0</v>
      </c>
      <c r="W392" s="3">
        <v>0</v>
      </c>
      <c r="X392" s="36">
        <f>Table1[[#This Row],[Reject Startup (kg)]]/Table1[[#This Row],[Material Used]]</f>
        <v>0</v>
      </c>
      <c r="Y392" s="3">
        <v>0</v>
      </c>
      <c r="Z392" s="36">
        <f>Table1[[#This Row],[Reject Prod (kg)]]/Table1[[#This Row],[Material Used]]</f>
        <v>0</v>
      </c>
      <c r="AA392" s="4">
        <v>43.5</v>
      </c>
      <c r="AB392" s="5">
        <v>12</v>
      </c>
      <c r="AC392" s="4" cm="1">
        <f t="array" ref="AC392">IFERROR(INDEX(ReferenceCard, MATCH(1, (INDEX(ReferenceCard,,1)=Table1[[#This Row],[SAP No]]) * (INDEX(ReferenceCard,,2)=Table1[[#This Row],[Mould No]]), 0), 9),)</f>
        <v>28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L392" s="2"/>
      <c r="AM392" s="2"/>
      <c r="AN392" s="3">
        <v>0</v>
      </c>
      <c r="AO392" s="3">
        <v>0</v>
      </c>
      <c r="AP39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3" spans="1:42" x14ac:dyDescent="0.35">
      <c r="A393" s="1">
        <v>46010</v>
      </c>
      <c r="B393">
        <v>2</v>
      </c>
      <c r="C393" t="s">
        <v>0</v>
      </c>
      <c r="D393" t="str" cm="1">
        <f t="array" ref="D393">IFERROR(INDEX(ReferenceCard, MATCH(1, (INDEX(ReferenceCard,,1)=Table1[[#This Row],[SAP No]]) * (INDEX(ReferenceCard,,2)=Table1[[#This Row],[Mould No]]), 0), 6),)</f>
        <v>PET</v>
      </c>
      <c r="E393">
        <v>347623</v>
      </c>
      <c r="F393">
        <v>0</v>
      </c>
      <c r="G393" t="str" cm="1">
        <f t="array" ref="G393">IFERROR(INDEX(ReferenceCard, MATCH(1, (INDEX(ReferenceCard,,1)=Table1[[#This Row],[SAP No]]) * (INDEX(ReferenceCard,,2)=Table1[[#This Row],[Mould No]]), 0), 3),)</f>
        <v>BC28-0375-K-R-CL</v>
      </c>
      <c r="H393">
        <v>0</v>
      </c>
      <c r="I393" cm="1">
        <f t="array" ref="I393">IFERROR(INDEX(ReferenceCard, MATCH(1, (INDEX(ReferenceCard,,1)=Table1[[#This Row],[SAP No]]) * (INDEX(ReferenceCard,,2)=Table1[[#This Row],[Mould No]]), 0), 4),)</f>
        <v>4</v>
      </c>
      <c r="J393" s="4" cm="1">
        <f t="array" ref="J393">IFERROR(INDEX(ReferenceCard, MATCH(1, (INDEX(ReferenceCard,,1)=Table1[[#This Row],[SAP No]]) * (INDEX(ReferenceCard,,2)=Table1[[#This Row],[Mould No]]), 0), 9),)</f>
        <v>35.6</v>
      </c>
      <c r="K393" s="4" cm="1">
        <f t="array" ref="K393">IFERROR(INDEX(ReferenceCard, MATCH(1, (INDEX(ReferenceCard,,1)=Table1[[#This Row],[SAP No]]) * (INDEX(ReferenceCard,,2)=Table1[[#This Row],[Mould No]]), 0), 7),)</f>
        <v>35.6</v>
      </c>
      <c r="L393">
        <v>1619</v>
      </c>
      <c r="M393">
        <v>0</v>
      </c>
      <c r="N393">
        <v>0</v>
      </c>
      <c r="O393">
        <v>0</v>
      </c>
      <c r="P393">
        <f>Table1[[#This Row],[Shot]]*Table1[[#This Row],[Cav]]</f>
        <v>6476</v>
      </c>
      <c r="Q393">
        <v>0</v>
      </c>
      <c r="R393">
        <f>(Table1[[#This Row],[Part Weight (gm)]]*Table1[[#This Row],[Finish Good]])/1000</f>
        <v>0</v>
      </c>
      <c r="S393">
        <v>0</v>
      </c>
      <c r="T393">
        <f>IF(Table1[[#This Row],[Qty Order]]="Sample","-",IF(Table1[[#This Row],[Qty Order]]="RTFN","-",Table1[[#This Row],[Qty Order]]-Table1[[#This Row],[Qty Accumulate]]))</f>
        <v>0</v>
      </c>
      <c r="U393">
        <f>((Table1[[#This Row],[Shift Output]]*Table1[[#This Row],[Part Weight (gm)]])/1000)+Table1[[#This Row],[Reject Startup (kg)]]+Table1[[#This Row],[Reject Purging (kg)]]+Table1[[#This Row],[Reject Preform (kg)]]</f>
        <v>230.54560000000001</v>
      </c>
      <c r="V393" s="37">
        <f>(Table1[[#This Row],[Gross Weight (gm)]]-Table1[[#This Row],[Part Weight (gm)]])*Table1[[#This Row],[Shift Output]]/1000</f>
        <v>0</v>
      </c>
      <c r="W393" s="3">
        <v>0</v>
      </c>
      <c r="X393" s="36">
        <f>Table1[[#This Row],[Reject Startup (kg)]]/Table1[[#This Row],[Material Used]]</f>
        <v>0</v>
      </c>
      <c r="Y393" s="3">
        <v>0</v>
      </c>
      <c r="Z393" s="36">
        <f>Table1[[#This Row],[Reject Prod (kg)]]/Table1[[#This Row],[Material Used]]</f>
        <v>0</v>
      </c>
      <c r="AA393" s="4">
        <v>26.6699504852294</v>
      </c>
      <c r="AB393" s="5">
        <v>12</v>
      </c>
      <c r="AC393" s="4" cm="1">
        <f t="array" ref="AC393">IFERROR(INDEX(ReferenceCard, MATCH(1, (INDEX(ReferenceCard,,1)=Table1[[#This Row],[SAP No]]) * (INDEX(ReferenceCard,,2)=Table1[[#This Row],[Mould No]]), 0), 9),)</f>
        <v>35.6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L393" s="2"/>
      <c r="AM393" s="2"/>
      <c r="AN393" s="3">
        <v>0</v>
      </c>
      <c r="AO393" s="3">
        <v>0</v>
      </c>
      <c r="AP39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4" spans="1:42" x14ac:dyDescent="0.35">
      <c r="A394" s="1">
        <v>46010</v>
      </c>
      <c r="B394">
        <v>2</v>
      </c>
      <c r="C394" t="s">
        <v>3</v>
      </c>
      <c r="D394" t="str" cm="1">
        <f t="array" ref="D394">IFERROR(INDEX(ReferenceCard, MATCH(1, (INDEX(ReferenceCard,,1)=Table1[[#This Row],[SAP No]]) * (INDEX(ReferenceCard,,2)=Table1[[#This Row],[Mould No]]), 0), 6),)</f>
        <v>PET</v>
      </c>
      <c r="E394">
        <v>423215</v>
      </c>
      <c r="F394">
        <v>0</v>
      </c>
      <c r="G394" t="str" cm="1">
        <f t="array" ref="G394">IFERROR(INDEX(ReferenceCard, MATCH(1, (INDEX(ReferenceCard,,1)=Table1[[#This Row],[SAP No]]) * (INDEX(ReferenceCard,,2)=Table1[[#This Row],[Mould No]]), 0), 3),)</f>
        <v>BC28-0355-SCC-A-Q-CL</v>
      </c>
      <c r="H394">
        <v>0</v>
      </c>
      <c r="I394" cm="1">
        <f t="array" ref="I394">IFERROR(INDEX(ReferenceCard, MATCH(1, (INDEX(ReferenceCard,,1)=Table1[[#This Row],[SAP No]]) * (INDEX(ReferenceCard,,2)=Table1[[#This Row],[Mould No]]), 0), 4),)</f>
        <v>4</v>
      </c>
      <c r="J394" s="4" cm="1">
        <f t="array" ref="J394">IFERROR(INDEX(ReferenceCard, MATCH(1, (INDEX(ReferenceCard,,1)=Table1[[#This Row],[SAP No]]) * (INDEX(ReferenceCard,,2)=Table1[[#This Row],[Mould No]]), 0), 9),)</f>
        <v>24</v>
      </c>
      <c r="K394" s="4" cm="1">
        <f t="array" ref="K394">IFERROR(INDEX(ReferenceCard, MATCH(1, (INDEX(ReferenceCard,,1)=Table1[[#This Row],[SAP No]]) * (INDEX(ReferenceCard,,2)=Table1[[#This Row],[Mould No]]), 0), 7),)</f>
        <v>24</v>
      </c>
      <c r="L394">
        <v>751</v>
      </c>
      <c r="M394">
        <v>0</v>
      </c>
      <c r="N394">
        <v>0</v>
      </c>
      <c r="O394">
        <v>0</v>
      </c>
      <c r="P394">
        <f>Table1[[#This Row],[Shot]]*Table1[[#This Row],[Cav]]</f>
        <v>3004</v>
      </c>
      <c r="Q394">
        <v>0</v>
      </c>
      <c r="R394">
        <f>(Table1[[#This Row],[Part Weight (gm)]]*Table1[[#This Row],[Finish Good]])/1000</f>
        <v>0</v>
      </c>
      <c r="S394">
        <v>0</v>
      </c>
      <c r="T394">
        <f>IF(Table1[[#This Row],[Qty Order]]="Sample","-",IF(Table1[[#This Row],[Qty Order]]="RTFN","-",Table1[[#This Row],[Qty Order]]-Table1[[#This Row],[Qty Accumulate]]))</f>
        <v>0</v>
      </c>
      <c r="U394">
        <f>((Table1[[#This Row],[Shift Output]]*Table1[[#This Row],[Part Weight (gm)]])/1000)+Table1[[#This Row],[Reject Startup (kg)]]+Table1[[#This Row],[Reject Purging (kg)]]+Table1[[#This Row],[Reject Preform (kg)]]</f>
        <v>72.096000000000004</v>
      </c>
      <c r="V394" s="37">
        <f>(Table1[[#This Row],[Gross Weight (gm)]]-Table1[[#This Row],[Part Weight (gm)]])*Table1[[#This Row],[Shift Output]]/1000</f>
        <v>0</v>
      </c>
      <c r="W394" s="3">
        <v>0</v>
      </c>
      <c r="X394" s="36">
        <f>Table1[[#This Row],[Reject Startup (kg)]]/Table1[[#This Row],[Material Used]]</f>
        <v>0</v>
      </c>
      <c r="Y394" s="3">
        <v>0</v>
      </c>
      <c r="Z394" s="36">
        <f>Table1[[#This Row],[Reject Prod (kg)]]/Table1[[#This Row],[Material Used]]</f>
        <v>0</v>
      </c>
      <c r="AA394" s="4">
        <v>36.756206512451101</v>
      </c>
      <c r="AB394" s="5">
        <v>4.3399999999999901</v>
      </c>
      <c r="AC394" s="4" cm="1">
        <f t="array" ref="AC394">IFERROR(INDEX(ReferenceCard, MATCH(1, (INDEX(ReferenceCard,,1)=Table1[[#This Row],[SAP No]]) * (INDEX(ReferenceCard,,2)=Table1[[#This Row],[Mould No]]), 0), 9),)</f>
        <v>24</v>
      </c>
      <c r="AD394" s="5">
        <v>0</v>
      </c>
      <c r="AE394" s="5">
        <v>0</v>
      </c>
      <c r="AF394" s="5">
        <v>0</v>
      </c>
      <c r="AG394" s="5">
        <v>5.95</v>
      </c>
      <c r="AH394" s="5">
        <v>1.71</v>
      </c>
      <c r="AI394" s="5">
        <v>0</v>
      </c>
      <c r="AJ394" s="5">
        <v>0</v>
      </c>
      <c r="AK394" t="s">
        <v>87</v>
      </c>
      <c r="AL394" s="2"/>
      <c r="AM394" s="2"/>
      <c r="AN394" s="3">
        <v>0</v>
      </c>
      <c r="AO394" s="3">
        <v>0</v>
      </c>
      <c r="AP39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5" spans="1:42" x14ac:dyDescent="0.35">
      <c r="A395" s="1">
        <v>46010</v>
      </c>
      <c r="B395">
        <v>2</v>
      </c>
      <c r="C395" t="s">
        <v>5</v>
      </c>
      <c r="D395" t="str" cm="1">
        <f t="array" ref="D395">IFERROR(INDEX(ReferenceCard, MATCH(1, (INDEX(ReferenceCard,,1)=Table1[[#This Row],[SAP No]]) * (INDEX(ReferenceCard,,2)=Table1[[#This Row],[Mould No]]), 0), 6),)</f>
        <v>PET</v>
      </c>
      <c r="E395">
        <v>543590</v>
      </c>
      <c r="F395">
        <v>0</v>
      </c>
      <c r="G395" t="str" cm="1">
        <f t="array" ref="G395">IFERROR(INDEX(ReferenceCard, MATCH(1, (INDEX(ReferenceCard,,1)=Table1[[#This Row],[SAP No]]) * (INDEX(ReferenceCard,,2)=Table1[[#This Row],[Mould No]]), 0), 3),)</f>
        <v>BC28-0130-R-R-AM</v>
      </c>
      <c r="H395">
        <v>0</v>
      </c>
      <c r="I395" cm="1">
        <f t="array" ref="I395">IFERROR(INDEX(ReferenceCard, MATCH(1, (INDEX(ReferenceCard,,1)=Table1[[#This Row],[SAP No]]) * (INDEX(ReferenceCard,,2)=Table1[[#This Row],[Mould No]]), 0), 4),)</f>
        <v>4</v>
      </c>
      <c r="J395" s="4" cm="1">
        <f t="array" ref="J395">IFERROR(INDEX(ReferenceCard, MATCH(1, (INDEX(ReferenceCard,,1)=Table1[[#This Row],[SAP No]]) * (INDEX(ReferenceCard,,2)=Table1[[#This Row],[Mould No]]), 0), 9),)</f>
        <v>19</v>
      </c>
      <c r="K395" s="4" cm="1">
        <f t="array" ref="K395">IFERROR(INDEX(ReferenceCard, MATCH(1, (INDEX(ReferenceCard,,1)=Table1[[#This Row],[SAP No]]) * (INDEX(ReferenceCard,,2)=Table1[[#This Row],[Mould No]]), 0), 7),)</f>
        <v>19</v>
      </c>
      <c r="L395">
        <v>102</v>
      </c>
      <c r="M395">
        <v>0</v>
      </c>
      <c r="N395">
        <v>0</v>
      </c>
      <c r="O395">
        <v>0</v>
      </c>
      <c r="P395">
        <f>Table1[[#This Row],[Shot]]*Table1[[#This Row],[Cav]]</f>
        <v>408</v>
      </c>
      <c r="Q395">
        <v>0</v>
      </c>
      <c r="R395">
        <f>(Table1[[#This Row],[Part Weight (gm)]]*Table1[[#This Row],[Finish Good]])/1000</f>
        <v>0</v>
      </c>
      <c r="S395">
        <v>0</v>
      </c>
      <c r="T395">
        <f>IF(Table1[[#This Row],[Qty Order]]="Sample","-",IF(Table1[[#This Row],[Qty Order]]="RTFN","-",Table1[[#This Row],[Qty Order]]-Table1[[#This Row],[Qty Accumulate]]))</f>
        <v>0</v>
      </c>
      <c r="U395">
        <f>((Table1[[#This Row],[Shift Output]]*Table1[[#This Row],[Part Weight (gm)]])/1000)+Table1[[#This Row],[Reject Startup (kg)]]+Table1[[#This Row],[Reject Purging (kg)]]+Table1[[#This Row],[Reject Preform (kg)]]</f>
        <v>7.7519999999999998</v>
      </c>
      <c r="V395" s="37">
        <f>(Table1[[#This Row],[Gross Weight (gm)]]-Table1[[#This Row],[Part Weight (gm)]])*Table1[[#This Row],[Shift Output]]/1000</f>
        <v>0</v>
      </c>
      <c r="W395" s="3">
        <v>0</v>
      </c>
      <c r="X395" s="36">
        <f>Table1[[#This Row],[Reject Startup (kg)]]/Table1[[#This Row],[Material Used]]</f>
        <v>0</v>
      </c>
      <c r="Y395" s="3">
        <v>0</v>
      </c>
      <c r="Z395" s="36">
        <f>Table1[[#This Row],[Reject Prod (kg)]]/Table1[[#This Row],[Material Used]]</f>
        <v>0</v>
      </c>
      <c r="AA395" s="4">
        <v>0</v>
      </c>
      <c r="AB395" s="5">
        <v>0</v>
      </c>
      <c r="AC395" s="4" cm="1">
        <f t="array" ref="AC395">IFERROR(INDEX(ReferenceCard, MATCH(1, (INDEX(ReferenceCard,,1)=Table1[[#This Row],[SAP No]]) * (INDEX(ReferenceCard,,2)=Table1[[#This Row],[Mould No]]), 0), 9),)</f>
        <v>19</v>
      </c>
      <c r="AD395" s="5">
        <v>0</v>
      </c>
      <c r="AE395" s="5">
        <v>0</v>
      </c>
      <c r="AF395" s="5">
        <v>0</v>
      </c>
      <c r="AG395" s="5">
        <v>11.64</v>
      </c>
      <c r="AH395" s="5">
        <v>0</v>
      </c>
      <c r="AI395" s="5">
        <v>0.35999999999999899</v>
      </c>
      <c r="AJ395" s="5">
        <v>0</v>
      </c>
      <c r="AK395" t="s">
        <v>88</v>
      </c>
      <c r="AL395" s="2" t="s">
        <v>89</v>
      </c>
      <c r="AM395" s="2"/>
      <c r="AN395" s="3"/>
      <c r="AO395" s="3">
        <v>0</v>
      </c>
      <c r="AP39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6" spans="1:42" x14ac:dyDescent="0.35">
      <c r="A396" s="1">
        <v>46010</v>
      </c>
      <c r="B396">
        <v>2</v>
      </c>
      <c r="C396" t="s">
        <v>7</v>
      </c>
      <c r="D396" t="str" cm="1">
        <f t="array" ref="D396">IFERROR(INDEX(ReferenceCard, MATCH(1, (INDEX(ReferenceCard,,1)=Table1[[#This Row],[SAP No]]) * (INDEX(ReferenceCard,,2)=Table1[[#This Row],[Mould No]]), 0), 6),)</f>
        <v>PET</v>
      </c>
      <c r="E396">
        <v>451191</v>
      </c>
      <c r="F396">
        <v>0</v>
      </c>
      <c r="G396" t="str" cm="1">
        <f t="array" ref="G396">IFERROR(INDEX(ReferenceCard, MATCH(1, (INDEX(ReferenceCard,,1)=Table1[[#This Row],[SAP No]]) * (INDEX(ReferenceCard,,2)=Table1[[#This Row],[Mould No]]), 0), 3),)</f>
        <v>BX38-0350-Z-C-CL</v>
      </c>
      <c r="H396">
        <v>0</v>
      </c>
      <c r="I396" cm="1">
        <f t="array" ref="I396">IFERROR(INDEX(ReferenceCard, MATCH(1, (INDEX(ReferenceCard,,1)=Table1[[#This Row],[SAP No]]) * (INDEX(ReferenceCard,,2)=Table1[[#This Row],[Mould No]]), 0), 4),)</f>
        <v>4</v>
      </c>
      <c r="J396" s="4" cm="1">
        <f t="array" ref="J396">IFERROR(INDEX(ReferenceCard, MATCH(1, (INDEX(ReferenceCard,,1)=Table1[[#This Row],[SAP No]]) * (INDEX(ReferenceCard,,2)=Table1[[#This Row],[Mould No]]), 0), 9),)</f>
        <v>29</v>
      </c>
      <c r="K396" s="4" cm="1">
        <f t="array" ref="K396">IFERROR(INDEX(ReferenceCard, MATCH(1, (INDEX(ReferenceCard,,1)=Table1[[#This Row],[SAP No]]) * (INDEX(ReferenceCard,,2)=Table1[[#This Row],[Mould No]]), 0), 7),)</f>
        <v>29</v>
      </c>
      <c r="L396">
        <v>1685</v>
      </c>
      <c r="M396">
        <v>0</v>
      </c>
      <c r="N396">
        <v>0</v>
      </c>
      <c r="O396">
        <v>0</v>
      </c>
      <c r="P396">
        <f>Table1[[#This Row],[Shot]]*Table1[[#This Row],[Cav]]</f>
        <v>6740</v>
      </c>
      <c r="Q396">
        <v>0</v>
      </c>
      <c r="R396">
        <f>(Table1[[#This Row],[Part Weight (gm)]]*Table1[[#This Row],[Finish Good]])/1000</f>
        <v>0</v>
      </c>
      <c r="S396">
        <v>0</v>
      </c>
      <c r="T396">
        <f>IF(Table1[[#This Row],[Qty Order]]="Sample","-",IF(Table1[[#This Row],[Qty Order]]="RTFN","-",Table1[[#This Row],[Qty Order]]-Table1[[#This Row],[Qty Accumulate]]))</f>
        <v>0</v>
      </c>
      <c r="U396">
        <f>((Table1[[#This Row],[Shift Output]]*Table1[[#This Row],[Part Weight (gm)]])/1000)+Table1[[#This Row],[Reject Startup (kg)]]+Table1[[#This Row],[Reject Purging (kg)]]+Table1[[#This Row],[Reject Preform (kg)]]</f>
        <v>195.46</v>
      </c>
      <c r="V396" s="37">
        <f>(Table1[[#This Row],[Gross Weight (gm)]]-Table1[[#This Row],[Part Weight (gm)]])*Table1[[#This Row],[Shift Output]]/1000</f>
        <v>0</v>
      </c>
      <c r="W396" s="3">
        <v>0</v>
      </c>
      <c r="X396" s="36">
        <f>Table1[[#This Row],[Reject Startup (kg)]]/Table1[[#This Row],[Material Used]]</f>
        <v>0</v>
      </c>
      <c r="Y396" s="3">
        <v>0</v>
      </c>
      <c r="Z396" s="36">
        <f>Table1[[#This Row],[Reject Prod (kg)]]/Table1[[#This Row],[Material Used]]</f>
        <v>0</v>
      </c>
      <c r="AA396" s="4">
        <v>25.634473800659102</v>
      </c>
      <c r="AB396" s="5">
        <v>12</v>
      </c>
      <c r="AC396" s="4" cm="1">
        <f t="array" ref="AC396">IFERROR(INDEX(ReferenceCard, MATCH(1, (INDEX(ReferenceCard,,1)=Table1[[#This Row],[SAP No]]) * (INDEX(ReferenceCard,,2)=Table1[[#This Row],[Mould No]]), 0), 9),)</f>
        <v>29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L396" s="2"/>
      <c r="AM396" s="2"/>
      <c r="AN396" s="3">
        <v>0</v>
      </c>
      <c r="AO396" s="3">
        <v>0</v>
      </c>
      <c r="AP39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7" spans="1:42" x14ac:dyDescent="0.35">
      <c r="A397" s="1">
        <v>46010</v>
      </c>
      <c r="B397">
        <v>2</v>
      </c>
      <c r="C397" t="s">
        <v>9</v>
      </c>
      <c r="D397" t="str" cm="1">
        <f t="array" ref="D397">IFERROR(INDEX(ReferenceCard, MATCH(1, (INDEX(ReferenceCard,,1)=Table1[[#This Row],[SAP No]]) * (INDEX(ReferenceCard,,2)=Table1[[#This Row],[Mould No]]), 0), 6),)</f>
        <v>PET</v>
      </c>
      <c r="E397">
        <v>322451</v>
      </c>
      <c r="F397">
        <v>0</v>
      </c>
      <c r="G397" t="str" cm="1">
        <f t="array" ref="G397">IFERROR(INDEX(ReferenceCard, MATCH(1, (INDEX(ReferenceCard,,1)=Table1[[#This Row],[SAP No]]) * (INDEX(ReferenceCard,,2)=Table1[[#This Row],[Mould No]]), 0), 3),)</f>
        <v>BC28-0500-WNHP-R-BR</v>
      </c>
      <c r="H397">
        <v>0</v>
      </c>
      <c r="I397" cm="1">
        <f t="array" ref="I397">IFERROR(INDEX(ReferenceCard, MATCH(1, (INDEX(ReferenceCard,,1)=Table1[[#This Row],[SAP No]]) * (INDEX(ReferenceCard,,2)=Table1[[#This Row],[Mould No]]), 0), 4),)</f>
        <v>4</v>
      </c>
      <c r="J397" s="4" cm="1">
        <f t="array" ref="J397">IFERROR(INDEX(ReferenceCard, MATCH(1, (INDEX(ReferenceCard,,1)=Table1[[#This Row],[SAP No]]) * (INDEX(ReferenceCard,,2)=Table1[[#This Row],[Mould No]]), 0), 9),)</f>
        <v>45.6</v>
      </c>
      <c r="K397" s="4" cm="1">
        <f t="array" ref="K397">IFERROR(INDEX(ReferenceCard, MATCH(1, (INDEX(ReferenceCard,,1)=Table1[[#This Row],[SAP No]]) * (INDEX(ReferenceCard,,2)=Table1[[#This Row],[Mould No]]), 0), 7),)</f>
        <v>45.6</v>
      </c>
      <c r="L397">
        <v>1278</v>
      </c>
      <c r="M397">
        <v>0</v>
      </c>
      <c r="N397">
        <v>0</v>
      </c>
      <c r="O397">
        <v>0</v>
      </c>
      <c r="P397">
        <f>Table1[[#This Row],[Shot]]*Table1[[#This Row],[Cav]]</f>
        <v>5112</v>
      </c>
      <c r="Q397">
        <v>0</v>
      </c>
      <c r="R397">
        <f>(Table1[[#This Row],[Part Weight (gm)]]*Table1[[#This Row],[Finish Good]])/1000</f>
        <v>0</v>
      </c>
      <c r="S397">
        <v>0</v>
      </c>
      <c r="T397">
        <f>IF(Table1[[#This Row],[Qty Order]]="Sample","-",IF(Table1[[#This Row],[Qty Order]]="RTFN","-",Table1[[#This Row],[Qty Order]]-Table1[[#This Row],[Qty Accumulate]]))</f>
        <v>0</v>
      </c>
      <c r="U397">
        <f>((Table1[[#This Row],[Shift Output]]*Table1[[#This Row],[Part Weight (gm)]])/1000)+Table1[[#This Row],[Reject Startup (kg)]]+Table1[[#This Row],[Reject Purging (kg)]]+Table1[[#This Row],[Reject Preform (kg)]]</f>
        <v>233.10720000000001</v>
      </c>
      <c r="V397" s="37">
        <f>(Table1[[#This Row],[Gross Weight (gm)]]-Table1[[#This Row],[Part Weight (gm)]])*Table1[[#This Row],[Shift Output]]/1000</f>
        <v>0</v>
      </c>
      <c r="W397" s="3">
        <v>0</v>
      </c>
      <c r="X397" s="36">
        <f>Table1[[#This Row],[Reject Startup (kg)]]/Table1[[#This Row],[Material Used]]</f>
        <v>0</v>
      </c>
      <c r="Y397" s="3">
        <v>0</v>
      </c>
      <c r="Z397" s="36">
        <f>Table1[[#This Row],[Reject Prod (kg)]]/Table1[[#This Row],[Material Used]]</f>
        <v>0</v>
      </c>
      <c r="AA397" s="4">
        <v>33.791206359863203</v>
      </c>
      <c r="AB397" s="5">
        <v>12</v>
      </c>
      <c r="AC397" s="4" cm="1">
        <f t="array" ref="AC397">IFERROR(INDEX(ReferenceCard, MATCH(1, (INDEX(ReferenceCard,,1)=Table1[[#This Row],[SAP No]]) * (INDEX(ReferenceCard,,2)=Table1[[#This Row],[Mould No]]), 0), 9),)</f>
        <v>45.6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L397" s="2"/>
      <c r="AM397" s="2"/>
      <c r="AN397" s="3">
        <v>0</v>
      </c>
      <c r="AO397" s="3">
        <v>0</v>
      </c>
      <c r="AP39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8" spans="1:42" x14ac:dyDescent="0.35">
      <c r="A398" s="1">
        <v>46010</v>
      </c>
      <c r="B398">
        <v>2</v>
      </c>
      <c r="C398" t="s">
        <v>11</v>
      </c>
      <c r="D398" t="str" cm="1">
        <f t="array" ref="D398">IFERROR(INDEX(ReferenceCard, MATCH(1, (INDEX(ReferenceCard,,1)=Table1[[#This Row],[SAP No]]) * (INDEX(ReferenceCard,,2)=Table1[[#This Row],[Mould No]]), 0), 6),)</f>
        <v>rPET</v>
      </c>
      <c r="E398">
        <v>620994</v>
      </c>
      <c r="F398">
        <v>0</v>
      </c>
      <c r="G398" t="str" cm="1">
        <f t="array" ref="G398">IFERROR(INDEX(ReferenceCard, MATCH(1, (INDEX(ReferenceCard,,1)=Table1[[#This Row],[SAP No]]) * (INDEX(ReferenceCard,,2)=Table1[[#This Row],[Mould No]]), 0), 3),)</f>
        <v>JJ63-0400-SH-S-CL-rPET</v>
      </c>
      <c r="H398">
        <v>0</v>
      </c>
      <c r="I398" cm="1">
        <f t="array" ref="I398">IFERROR(INDEX(ReferenceCard, MATCH(1, (INDEX(ReferenceCard,,1)=Table1[[#This Row],[SAP No]]) * (INDEX(ReferenceCard,,2)=Table1[[#This Row],[Mould No]]), 0), 4),)</f>
        <v>4</v>
      </c>
      <c r="J398" s="4" cm="1">
        <f t="array" ref="J398">IFERROR(INDEX(ReferenceCard, MATCH(1, (INDEX(ReferenceCard,,1)=Table1[[#This Row],[SAP No]]) * (INDEX(ReferenceCard,,2)=Table1[[#This Row],[Mould No]]), 0), 9),)</f>
        <v>32.74</v>
      </c>
      <c r="K398" s="4" cm="1">
        <f t="array" ref="K398">IFERROR(INDEX(ReferenceCard, MATCH(1, (INDEX(ReferenceCard,,1)=Table1[[#This Row],[SAP No]]) * (INDEX(ReferenceCard,,2)=Table1[[#This Row],[Mould No]]), 0), 7),)</f>
        <v>33</v>
      </c>
      <c r="L398">
        <v>1919</v>
      </c>
      <c r="M398">
        <v>0</v>
      </c>
      <c r="N398">
        <v>0</v>
      </c>
      <c r="O398">
        <v>0</v>
      </c>
      <c r="P398">
        <f>Table1[[#This Row],[Shot]]*Table1[[#This Row],[Cav]]</f>
        <v>7676</v>
      </c>
      <c r="Q398">
        <v>0</v>
      </c>
      <c r="R398">
        <f>(Table1[[#This Row],[Part Weight (gm)]]*Table1[[#This Row],[Finish Good]])/1000</f>
        <v>0</v>
      </c>
      <c r="S398">
        <v>0</v>
      </c>
      <c r="T398">
        <f>IF(Table1[[#This Row],[Qty Order]]="Sample","-",IF(Table1[[#This Row],[Qty Order]]="RTFN","-",Table1[[#This Row],[Qty Order]]-Table1[[#This Row],[Qty Accumulate]]))</f>
        <v>0</v>
      </c>
      <c r="U398">
        <f>((Table1[[#This Row],[Shift Output]]*Table1[[#This Row],[Part Weight (gm)]])/1000)+Table1[[#This Row],[Reject Startup (kg)]]+Table1[[#This Row],[Reject Purging (kg)]]+Table1[[#This Row],[Reject Preform (kg)]]</f>
        <v>253.30799999999999</v>
      </c>
      <c r="V398" s="37">
        <f>(Table1[[#This Row],[Gross Weight (gm)]]-Table1[[#This Row],[Part Weight (gm)]])*Table1[[#This Row],[Shift Output]]/1000</f>
        <v>-1.9957599999999847</v>
      </c>
      <c r="W398" s="3">
        <v>0</v>
      </c>
      <c r="X398" s="36">
        <f>Table1[[#This Row],[Reject Startup (kg)]]/Table1[[#This Row],[Material Used]]</f>
        <v>0</v>
      </c>
      <c r="Y398" s="3">
        <v>0</v>
      </c>
      <c r="Z398" s="36">
        <f>Table1[[#This Row],[Reject Prod (kg)]]/Table1[[#This Row],[Material Used]]</f>
        <v>0</v>
      </c>
      <c r="AA398" s="4">
        <v>22.509862899780199</v>
      </c>
      <c r="AB398" s="5">
        <v>12</v>
      </c>
      <c r="AC398" s="4" cm="1">
        <f t="array" ref="AC398">IFERROR(INDEX(ReferenceCard, MATCH(1, (INDEX(ReferenceCard,,1)=Table1[[#This Row],[SAP No]]) * (INDEX(ReferenceCard,,2)=Table1[[#This Row],[Mould No]]), 0), 9),)</f>
        <v>32.74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L398" s="2"/>
      <c r="AM398" s="2"/>
      <c r="AN398" s="3">
        <v>0</v>
      </c>
      <c r="AO398" s="3">
        <v>0</v>
      </c>
      <c r="AP39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399" spans="1:42" x14ac:dyDescent="0.35">
      <c r="A399" s="1">
        <v>46010</v>
      </c>
      <c r="B399">
        <v>2</v>
      </c>
      <c r="C399" t="s">
        <v>14</v>
      </c>
      <c r="D399" t="str" cm="1">
        <f t="array" ref="D399">IFERROR(INDEX(ReferenceCard, MATCH(1, (INDEX(ReferenceCard,,1)=Table1[[#This Row],[SAP No]]) * (INDEX(ReferenceCard,,2)=Table1[[#This Row],[Mould No]]), 0), 6),)</f>
        <v>PET</v>
      </c>
      <c r="E399">
        <v>322444</v>
      </c>
      <c r="F399">
        <v>0</v>
      </c>
      <c r="G399" t="str" cm="1">
        <f t="array" ref="G399">IFERROR(INDEX(ReferenceCard, MATCH(1, (INDEX(ReferenceCard,,1)=Table1[[#This Row],[SAP No]]) * (INDEX(ReferenceCard,,2)=Table1[[#This Row],[Mould No]]), 0), 3),)</f>
        <v>JJ63-0400-RH-R-CL</v>
      </c>
      <c r="H399">
        <v>0</v>
      </c>
      <c r="I399" cm="1">
        <f t="array" ref="I399">IFERROR(INDEX(ReferenceCard, MATCH(1, (INDEX(ReferenceCard,,1)=Table1[[#This Row],[SAP No]]) * (INDEX(ReferenceCard,,2)=Table1[[#This Row],[Mould No]]), 0), 4),)</f>
        <v>4</v>
      </c>
      <c r="J399" s="4" cm="1">
        <f t="array" ref="J399">IFERROR(INDEX(ReferenceCard, MATCH(1, (INDEX(ReferenceCard,,1)=Table1[[#This Row],[SAP No]]) * (INDEX(ReferenceCard,,2)=Table1[[#This Row],[Mould No]]), 0), 9),)</f>
        <v>32.74</v>
      </c>
      <c r="K399" s="4" cm="1">
        <f t="array" ref="K399">IFERROR(INDEX(ReferenceCard, MATCH(1, (INDEX(ReferenceCard,,1)=Table1[[#This Row],[SAP No]]) * (INDEX(ReferenceCard,,2)=Table1[[#This Row],[Mould No]]), 0), 7),)</f>
        <v>34.5</v>
      </c>
      <c r="L399">
        <v>1959</v>
      </c>
      <c r="M399">
        <v>0</v>
      </c>
      <c r="N399">
        <v>0</v>
      </c>
      <c r="O399">
        <v>0</v>
      </c>
      <c r="P399">
        <f>Table1[[#This Row],[Shot]]*Table1[[#This Row],[Cav]]</f>
        <v>7836</v>
      </c>
      <c r="Q399">
        <v>0</v>
      </c>
      <c r="R399">
        <f>(Table1[[#This Row],[Part Weight (gm)]]*Table1[[#This Row],[Finish Good]])/1000</f>
        <v>0</v>
      </c>
      <c r="S399">
        <v>0</v>
      </c>
      <c r="T399">
        <f>IF(Table1[[#This Row],[Qty Order]]="Sample","-",IF(Table1[[#This Row],[Qty Order]]="RTFN","-",Table1[[#This Row],[Qty Order]]-Table1[[#This Row],[Qty Accumulate]]))</f>
        <v>0</v>
      </c>
      <c r="U399">
        <f>((Table1[[#This Row],[Shift Output]]*Table1[[#This Row],[Part Weight (gm)]])/1000)+Table1[[#This Row],[Reject Startup (kg)]]+Table1[[#This Row],[Reject Purging (kg)]]+Table1[[#This Row],[Reject Preform (kg)]]</f>
        <v>270.34199999999998</v>
      </c>
      <c r="V399" s="37">
        <f>(Table1[[#This Row],[Gross Weight (gm)]]-Table1[[#This Row],[Part Weight (gm)]])*Table1[[#This Row],[Shift Output]]/1000</f>
        <v>-13.791359999999985</v>
      </c>
      <c r="W399" s="3">
        <v>0</v>
      </c>
      <c r="X399" s="36">
        <f>Table1[[#This Row],[Reject Startup (kg)]]/Table1[[#This Row],[Material Used]]</f>
        <v>0</v>
      </c>
      <c r="Y399" s="3">
        <v>0</v>
      </c>
      <c r="Z399" s="36">
        <f>Table1[[#This Row],[Reject Prod (kg)]]/Table1[[#This Row],[Material Used]]</f>
        <v>0</v>
      </c>
      <c r="AA399" s="4">
        <v>22.049125671386701</v>
      </c>
      <c r="AB399" s="5">
        <v>12</v>
      </c>
      <c r="AC399" s="4" cm="1">
        <f t="array" ref="AC399">IFERROR(INDEX(ReferenceCard, MATCH(1, (INDEX(ReferenceCard,,1)=Table1[[#This Row],[SAP No]]) * (INDEX(ReferenceCard,,2)=Table1[[#This Row],[Mould No]]), 0), 9),)</f>
        <v>32.74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L399" s="2"/>
      <c r="AM399" s="2"/>
      <c r="AN399" s="3">
        <v>0</v>
      </c>
      <c r="AO399" s="3">
        <v>0</v>
      </c>
      <c r="AP39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0" spans="1:42" x14ac:dyDescent="0.35">
      <c r="A400" s="1">
        <v>46010</v>
      </c>
      <c r="B400">
        <v>2</v>
      </c>
      <c r="C400" t="s">
        <v>16</v>
      </c>
      <c r="D400" t="str" cm="1">
        <f t="array" ref="D400">IFERROR(INDEX(ReferenceCard, MATCH(1, (INDEX(ReferenceCard,,1)=Table1[[#This Row],[SAP No]]) * (INDEX(ReferenceCard,,2)=Table1[[#This Row],[Mould No]]), 0), 6),)</f>
        <v>PET</v>
      </c>
      <c r="E400">
        <v>324206</v>
      </c>
      <c r="F400">
        <v>0</v>
      </c>
      <c r="G400" t="str" cm="1">
        <f t="array" ref="G400">IFERROR(INDEX(ReferenceCard, MATCH(1, (INDEX(ReferenceCard,,1)=Table1[[#This Row],[SAP No]]) * (INDEX(ReferenceCard,,2)=Table1[[#This Row],[Mould No]]), 0), 3),)</f>
        <v>BX38-1000-HC-S-CL</v>
      </c>
      <c r="H400">
        <v>0</v>
      </c>
      <c r="I400" cm="1">
        <f t="array" ref="I400">IFERROR(INDEX(ReferenceCard, MATCH(1, (INDEX(ReferenceCard,,1)=Table1[[#This Row],[SAP No]]) * (INDEX(ReferenceCard,,2)=Table1[[#This Row],[Mould No]]), 0), 4),)</f>
        <v>4</v>
      </c>
      <c r="J400" s="4" cm="1">
        <f t="array" ref="J400">IFERROR(INDEX(ReferenceCard, MATCH(1, (INDEX(ReferenceCard,,1)=Table1[[#This Row],[SAP No]]) * (INDEX(ReferenceCard,,2)=Table1[[#This Row],[Mould No]]), 0), 9),)</f>
        <v>49</v>
      </c>
      <c r="K400" s="4" cm="1">
        <f t="array" ref="K400">IFERROR(INDEX(ReferenceCard, MATCH(1, (INDEX(ReferenceCard,,1)=Table1[[#This Row],[SAP No]]) * (INDEX(ReferenceCard,,2)=Table1[[#This Row],[Mould No]]), 0), 7),)</f>
        <v>48</v>
      </c>
      <c r="L400">
        <v>0</v>
      </c>
      <c r="M400">
        <v>0</v>
      </c>
      <c r="N400">
        <v>0</v>
      </c>
      <c r="O400">
        <v>0</v>
      </c>
      <c r="P400">
        <f>Table1[[#This Row],[Shot]]*Table1[[#This Row],[Cav]]</f>
        <v>0</v>
      </c>
      <c r="Q400">
        <v>0</v>
      </c>
      <c r="R400">
        <f>(Table1[[#This Row],[Part Weight (gm)]]*Table1[[#This Row],[Finish Good]])/1000</f>
        <v>0</v>
      </c>
      <c r="S400">
        <v>0</v>
      </c>
      <c r="T400">
        <f>IF(Table1[[#This Row],[Qty Order]]="Sample","-",IF(Table1[[#This Row],[Qty Order]]="RTFN","-",Table1[[#This Row],[Qty Order]]-Table1[[#This Row],[Qty Accumulate]]))</f>
        <v>0</v>
      </c>
      <c r="U400">
        <f>((Table1[[#This Row],[Shift Output]]*Table1[[#This Row],[Part Weight (gm)]])/1000)+Table1[[#This Row],[Reject Startup (kg)]]+Table1[[#This Row],[Reject Purging (kg)]]+Table1[[#This Row],[Reject Preform (kg)]]</f>
        <v>0</v>
      </c>
      <c r="V400" s="37">
        <f>(Table1[[#This Row],[Gross Weight (gm)]]-Table1[[#This Row],[Part Weight (gm)]])*Table1[[#This Row],[Shift Output]]/1000</f>
        <v>0</v>
      </c>
      <c r="W400" s="3">
        <v>0</v>
      </c>
      <c r="X400" s="36" t="e">
        <f>Table1[[#This Row],[Reject Startup (kg)]]/Table1[[#This Row],[Material Used]]</f>
        <v>#DIV/0!</v>
      </c>
      <c r="Y400" s="3">
        <v>0</v>
      </c>
      <c r="Z400" s="36" t="e">
        <f>Table1[[#This Row],[Reject Prod (kg)]]/Table1[[#This Row],[Material Used]]</f>
        <v>#DIV/0!</v>
      </c>
      <c r="AA400" s="4">
        <v>0</v>
      </c>
      <c r="AB400" s="5">
        <v>0</v>
      </c>
      <c r="AC400" s="4" cm="1">
        <f t="array" ref="AC400">IFERROR(INDEX(ReferenceCard, MATCH(1, (INDEX(ReferenceCard,,1)=Table1[[#This Row],[SAP No]]) * (INDEX(ReferenceCard,,2)=Table1[[#This Row],[Mould No]]), 0), 9),)</f>
        <v>49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12</v>
      </c>
      <c r="AJ400" s="5">
        <v>0</v>
      </c>
      <c r="AL400" s="2"/>
      <c r="AM400" s="2"/>
      <c r="AN400" s="3">
        <v>0</v>
      </c>
      <c r="AO400" s="3">
        <v>0</v>
      </c>
      <c r="AP40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1" spans="1:42" x14ac:dyDescent="0.35">
      <c r="A401" s="1">
        <v>46010</v>
      </c>
      <c r="B401">
        <v>2</v>
      </c>
      <c r="C401" t="s">
        <v>23</v>
      </c>
      <c r="D401" t="str" cm="1">
        <f t="array" ref="D401">IFERROR(INDEX(ReferenceCard, MATCH(1, (INDEX(ReferenceCard,,1)=Table1[[#This Row],[SAP No]]) * (INDEX(ReferenceCard,,2)=Table1[[#This Row],[Mould No]]), 0), 6),)</f>
        <v>PPSB520Y</v>
      </c>
      <c r="E401">
        <v>586276</v>
      </c>
      <c r="F401">
        <v>2</v>
      </c>
      <c r="G401" t="str" cm="1">
        <f t="array" ref="G401">IFERROR(INDEX(ReferenceCard, MATCH(1, (INDEX(ReferenceCard,,1)=Table1[[#This Row],[SAP No]]) * (INDEX(ReferenceCard,,2)=Table1[[#This Row],[Mould No]]), 0), 3),)</f>
        <v>BC28-0056-D-APH-LEB-604001-MOLD2</v>
      </c>
      <c r="H401">
        <v>0</v>
      </c>
      <c r="I401" cm="1">
        <f t="array" ref="I401">IFERROR(INDEX(ReferenceCard, MATCH(1, (INDEX(ReferenceCard,,1)=Table1[[#This Row],[SAP No]]) * (INDEX(ReferenceCard,,2)=Table1[[#This Row],[Mould No]]), 0), 4),)</f>
        <v>6</v>
      </c>
      <c r="J401" s="4" cm="1">
        <f t="array" ref="J401">IFERROR(INDEX(ReferenceCard, MATCH(1, (INDEX(ReferenceCard,,1)=Table1[[#This Row],[SAP No]]) * (INDEX(ReferenceCard,,2)=Table1[[#This Row],[Mould No]]), 0), 9),)</f>
        <v>12.3</v>
      </c>
      <c r="K401" s="4" cm="1">
        <f t="array" ref="K401">IFERROR(INDEX(ReferenceCard, MATCH(1, (INDEX(ReferenceCard,,1)=Table1[[#This Row],[SAP No]]) * (INDEX(ReferenceCard,,2)=Table1[[#This Row],[Mould No]]), 0), 7),)</f>
        <v>12.3</v>
      </c>
      <c r="L401">
        <v>4281</v>
      </c>
      <c r="M401">
        <v>0</v>
      </c>
      <c r="N401">
        <v>0</v>
      </c>
      <c r="O401">
        <v>0</v>
      </c>
      <c r="P401">
        <f>Table1[[#This Row],[Shot]]*Table1[[#This Row],[Cav]]</f>
        <v>25686</v>
      </c>
      <c r="Q401">
        <v>0</v>
      </c>
      <c r="R401">
        <f>(Table1[[#This Row],[Part Weight (gm)]]*Table1[[#This Row],[Finish Good]])/1000</f>
        <v>0</v>
      </c>
      <c r="S401">
        <v>0</v>
      </c>
      <c r="T401">
        <f>IF(Table1[[#This Row],[Qty Order]]="Sample","-",IF(Table1[[#This Row],[Qty Order]]="RTFN","-",Table1[[#This Row],[Qty Order]]-Table1[[#This Row],[Qty Accumulate]]))</f>
        <v>0</v>
      </c>
      <c r="U401">
        <f>((Table1[[#This Row],[Shift Output]]*Table1[[#This Row],[Part Weight (gm)]])/1000)+Table1[[#This Row],[Reject Startup (kg)]]+Table1[[#This Row],[Reject Purging (kg)]]+Table1[[#This Row],[Reject Preform (kg)]]</f>
        <v>315.93780000000004</v>
      </c>
      <c r="V401" s="37">
        <f>(Table1[[#This Row],[Gross Weight (gm)]]-Table1[[#This Row],[Part Weight (gm)]])*Table1[[#This Row],[Shift Output]]/1000</f>
        <v>0</v>
      </c>
      <c r="W401" s="3">
        <v>0</v>
      </c>
      <c r="X401" s="36">
        <f>Table1[[#This Row],[Reject Startup (kg)]]/Table1[[#This Row],[Material Used]]</f>
        <v>0</v>
      </c>
      <c r="Y401" s="3">
        <v>0</v>
      </c>
      <c r="Z401" s="36">
        <f>Table1[[#This Row],[Reject Prod (kg)]]/Table1[[#This Row],[Material Used]]</f>
        <v>0</v>
      </c>
      <c r="AA401" s="4">
        <v>26.29439163208</v>
      </c>
      <c r="AB401" s="5">
        <v>12</v>
      </c>
      <c r="AC401" s="4" cm="1">
        <f t="array" ref="AC401">IFERROR(INDEX(ReferenceCard, MATCH(1, (INDEX(ReferenceCard,,1)=Table1[[#This Row],[SAP No]]) * (INDEX(ReferenceCard,,2)=Table1[[#This Row],[Mould No]]), 0), 9),)</f>
        <v>12.3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L401" s="2"/>
      <c r="AM401" s="2"/>
      <c r="AN401" s="3">
        <v>0</v>
      </c>
      <c r="AO401" s="3">
        <v>0</v>
      </c>
      <c r="AP40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2" spans="1:42" x14ac:dyDescent="0.35">
      <c r="A402" s="1">
        <v>46010</v>
      </c>
      <c r="B402">
        <v>2</v>
      </c>
      <c r="C402" t="s">
        <v>25</v>
      </c>
      <c r="D402" t="str" cm="1">
        <f t="array" ref="D402">IFERROR(INDEX(ReferenceCard, MATCH(1, (INDEX(ReferenceCard,,1)=Table1[[#This Row],[SAP No]]) * (INDEX(ReferenceCard,,2)=Table1[[#This Row],[Mould No]]), 0), 6),)</f>
        <v>PET</v>
      </c>
      <c r="E402">
        <v>323133</v>
      </c>
      <c r="F402">
        <v>0</v>
      </c>
      <c r="G402" t="str" cm="1">
        <f t="array" ref="G402">IFERROR(INDEX(ReferenceCard, MATCH(1, (INDEX(ReferenceCard,,1)=Table1[[#This Row],[SAP No]]) * (INDEX(ReferenceCard,,2)=Table1[[#This Row],[Mould No]]), 0), 3),)</f>
        <v>BX38-2000-RH-R-CL(GREEN) (ASEM)</v>
      </c>
      <c r="H402">
        <v>0</v>
      </c>
      <c r="I402" cm="1">
        <f t="array" ref="I402">IFERROR(INDEX(ReferenceCard, MATCH(1, (INDEX(ReferenceCard,,1)=Table1[[#This Row],[SAP No]]) * (INDEX(ReferenceCard,,2)=Table1[[#This Row],[Mould No]]), 0), 4),)</f>
        <v>4</v>
      </c>
      <c r="J402" s="4" cm="1">
        <f t="array" ref="J402">IFERROR(INDEX(ReferenceCard, MATCH(1, (INDEX(ReferenceCard,,1)=Table1[[#This Row],[SAP No]]) * (INDEX(ReferenceCard,,2)=Table1[[#This Row],[Mould No]]), 0), 9),)</f>
        <v>77</v>
      </c>
      <c r="K402" s="4" cm="1">
        <f t="array" ref="K402">IFERROR(INDEX(ReferenceCard, MATCH(1, (INDEX(ReferenceCard,,1)=Table1[[#This Row],[SAP No]]) * (INDEX(ReferenceCard,,2)=Table1[[#This Row],[Mould No]]), 0), 7),)</f>
        <v>77</v>
      </c>
      <c r="L402">
        <v>0</v>
      </c>
      <c r="M402">
        <v>0</v>
      </c>
      <c r="N402">
        <v>0</v>
      </c>
      <c r="O402">
        <v>0</v>
      </c>
      <c r="P402">
        <f>Table1[[#This Row],[Shot]]*Table1[[#This Row],[Cav]]</f>
        <v>0</v>
      </c>
      <c r="Q402">
        <v>0</v>
      </c>
      <c r="R402">
        <f>(Table1[[#This Row],[Part Weight (gm)]]*Table1[[#This Row],[Finish Good]])/1000</f>
        <v>0</v>
      </c>
      <c r="S402">
        <v>0</v>
      </c>
      <c r="T402">
        <f>IF(Table1[[#This Row],[Qty Order]]="Sample","-",IF(Table1[[#This Row],[Qty Order]]="RTFN","-",Table1[[#This Row],[Qty Order]]-Table1[[#This Row],[Qty Accumulate]]))</f>
        <v>0</v>
      </c>
      <c r="U402">
        <f>((Table1[[#This Row],[Shift Output]]*Table1[[#This Row],[Part Weight (gm)]])/1000)+Table1[[#This Row],[Reject Startup (kg)]]+Table1[[#This Row],[Reject Purging (kg)]]+Table1[[#This Row],[Reject Preform (kg)]]</f>
        <v>0</v>
      </c>
      <c r="V402" s="37">
        <f>(Table1[[#This Row],[Gross Weight (gm)]]-Table1[[#This Row],[Part Weight (gm)]])*Table1[[#This Row],[Shift Output]]/1000</f>
        <v>0</v>
      </c>
      <c r="W402" s="3">
        <v>0</v>
      </c>
      <c r="X402" s="36" t="e">
        <f>Table1[[#This Row],[Reject Startup (kg)]]/Table1[[#This Row],[Material Used]]</f>
        <v>#DIV/0!</v>
      </c>
      <c r="Y402" s="3">
        <v>0</v>
      </c>
      <c r="Z402" s="36" t="e">
        <f>Table1[[#This Row],[Reject Prod (kg)]]/Table1[[#This Row],[Material Used]]</f>
        <v>#DIV/0!</v>
      </c>
      <c r="AA402" s="4">
        <v>0</v>
      </c>
      <c r="AB402" s="5">
        <v>0</v>
      </c>
      <c r="AC402" s="4" cm="1">
        <f t="array" ref="AC402">IFERROR(INDEX(ReferenceCard, MATCH(1, (INDEX(ReferenceCard,,1)=Table1[[#This Row],[SAP No]]) * (INDEX(ReferenceCard,,2)=Table1[[#This Row],[Mould No]]), 0), 9),)</f>
        <v>77</v>
      </c>
      <c r="AD402" s="5">
        <v>0</v>
      </c>
      <c r="AE402" s="5">
        <v>0</v>
      </c>
      <c r="AF402" s="5">
        <v>0</v>
      </c>
      <c r="AG402" s="5">
        <v>12</v>
      </c>
      <c r="AH402" s="5">
        <v>0</v>
      </c>
      <c r="AI402" s="5">
        <v>0</v>
      </c>
      <c r="AJ402" s="5">
        <v>0</v>
      </c>
      <c r="AK402" t="s">
        <v>79</v>
      </c>
      <c r="AL402" s="2"/>
      <c r="AM402" s="2"/>
      <c r="AN402" s="3">
        <v>0</v>
      </c>
      <c r="AO402" s="3">
        <v>0</v>
      </c>
      <c r="AP40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3" spans="1:42" x14ac:dyDescent="0.35">
      <c r="A403" s="1">
        <v>46010</v>
      </c>
      <c r="B403">
        <v>2</v>
      </c>
      <c r="C403" t="s">
        <v>27</v>
      </c>
      <c r="D403" t="str" cm="1">
        <f t="array" ref="D403">IFERROR(INDEX(ReferenceCard, MATCH(1, (INDEX(ReferenceCard,,1)=Table1[[#This Row],[SAP No]]) * (INDEX(ReferenceCard,,2)=Table1[[#This Row],[Mould No]]), 0), 6),)</f>
        <v>PPSB520Y</v>
      </c>
      <c r="E403">
        <v>552181</v>
      </c>
      <c r="F403">
        <v>4</v>
      </c>
      <c r="G403" t="str" cm="1">
        <f t="array" ref="G403">IFERROR(INDEX(ReferenceCard, MATCH(1, (INDEX(ReferenceCard,,1)=Table1[[#This Row],[SAP No]]) * (INDEX(ReferenceCard,,2)=Table1[[#This Row],[Mould No]]), 0), 3),)</f>
        <v>BC28-0090-D-APH-5180-3538-PP-6 NOTCHES-MOLD4</v>
      </c>
      <c r="H403">
        <v>0</v>
      </c>
      <c r="I403" cm="1">
        <f t="array" ref="I403">IFERROR(INDEX(ReferenceCard, MATCH(1, (INDEX(ReferenceCard,,1)=Table1[[#This Row],[SAP No]]) * (INDEX(ReferenceCard,,2)=Table1[[#This Row],[Mould No]]), 0), 4),)</f>
        <v>6</v>
      </c>
      <c r="J403" s="4" cm="1">
        <f t="array" ref="J403">IFERROR(INDEX(ReferenceCard, MATCH(1, (INDEX(ReferenceCard,,1)=Table1[[#This Row],[SAP No]]) * (INDEX(ReferenceCard,,2)=Table1[[#This Row],[Mould No]]), 0), 9),)</f>
        <v>18.8</v>
      </c>
      <c r="K403" s="4" cm="1">
        <f t="array" ref="K403">IFERROR(INDEX(ReferenceCard, MATCH(1, (INDEX(ReferenceCard,,1)=Table1[[#This Row],[SAP No]]) * (INDEX(ReferenceCard,,2)=Table1[[#This Row],[Mould No]]), 0), 7),)</f>
        <v>18.8</v>
      </c>
      <c r="L403">
        <v>476</v>
      </c>
      <c r="M403">
        <v>0</v>
      </c>
      <c r="N403">
        <v>0</v>
      </c>
      <c r="O403">
        <v>0</v>
      </c>
      <c r="P403">
        <f>Table1[[#This Row],[Shot]]*Table1[[#This Row],[Cav]]</f>
        <v>2856</v>
      </c>
      <c r="Q403">
        <v>0</v>
      </c>
      <c r="R403">
        <f>(Table1[[#This Row],[Part Weight (gm)]]*Table1[[#This Row],[Finish Good]])/1000</f>
        <v>0</v>
      </c>
      <c r="S403">
        <v>0</v>
      </c>
      <c r="T403">
        <f>IF(Table1[[#This Row],[Qty Order]]="Sample","-",IF(Table1[[#This Row],[Qty Order]]="RTFN","-",Table1[[#This Row],[Qty Order]]-Table1[[#This Row],[Qty Accumulate]]))</f>
        <v>0</v>
      </c>
      <c r="U403">
        <f>((Table1[[#This Row],[Shift Output]]*Table1[[#This Row],[Part Weight (gm)]])/1000)+Table1[[#This Row],[Reject Startup (kg)]]+Table1[[#This Row],[Reject Purging (kg)]]+Table1[[#This Row],[Reject Preform (kg)]]</f>
        <v>53.692800000000005</v>
      </c>
      <c r="V403" s="37">
        <f>(Table1[[#This Row],[Gross Weight (gm)]]-Table1[[#This Row],[Part Weight (gm)]])*Table1[[#This Row],[Shift Output]]/1000</f>
        <v>0</v>
      </c>
      <c r="W403" s="3">
        <v>0</v>
      </c>
      <c r="X403" s="36">
        <f>Table1[[#This Row],[Reject Startup (kg)]]/Table1[[#This Row],[Material Used]]</f>
        <v>0</v>
      </c>
      <c r="Y403" s="3">
        <v>0</v>
      </c>
      <c r="Z403" s="36">
        <f>Table1[[#This Row],[Reject Prod (kg)]]/Table1[[#This Row],[Material Used]]</f>
        <v>0</v>
      </c>
      <c r="AA403" s="4">
        <v>0</v>
      </c>
      <c r="AB403" s="5">
        <v>0</v>
      </c>
      <c r="AC403" s="4" cm="1">
        <f t="array" ref="AC403">IFERROR(INDEX(ReferenceCard, MATCH(1, (INDEX(ReferenceCard,,1)=Table1[[#This Row],[SAP No]]) * (INDEX(ReferenceCard,,2)=Table1[[#This Row],[Mould No]]), 0), 9),)</f>
        <v>18.8</v>
      </c>
      <c r="AD403" s="5">
        <v>0</v>
      </c>
      <c r="AE403" s="5">
        <v>0</v>
      </c>
      <c r="AF403" s="5">
        <v>0</v>
      </c>
      <c r="AG403" s="5">
        <v>12</v>
      </c>
      <c r="AH403" s="5">
        <v>0</v>
      </c>
      <c r="AI403" s="5">
        <v>0</v>
      </c>
      <c r="AJ403" s="5">
        <v>0</v>
      </c>
      <c r="AK403" t="s">
        <v>90</v>
      </c>
      <c r="AL403" s="2"/>
      <c r="AM403" s="2"/>
      <c r="AN403" s="3">
        <v>0</v>
      </c>
      <c r="AO403" s="3">
        <v>0</v>
      </c>
      <c r="AP40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4" spans="1:42" x14ac:dyDescent="0.35">
      <c r="A404" s="1">
        <v>46010</v>
      </c>
      <c r="B404">
        <v>2</v>
      </c>
      <c r="C404" t="s">
        <v>29</v>
      </c>
      <c r="D404" t="str" cm="1">
        <f t="array" ref="D404">IFERROR(INDEX(ReferenceCard, MATCH(1, (INDEX(ReferenceCard,,1)=Table1[[#This Row],[SAP No]]) * (INDEX(ReferenceCard,,2)=Table1[[#This Row],[Mould No]]), 0), 6),)</f>
        <v>PET</v>
      </c>
      <c r="E404">
        <v>620599</v>
      </c>
      <c r="F404">
        <v>0</v>
      </c>
      <c r="G404" t="str" cm="1">
        <f t="array" ref="G404">IFERROR(INDEX(ReferenceCard, MATCH(1, (INDEX(ReferenceCard,,1)=Table1[[#This Row],[SAP No]]) * (INDEX(ReferenceCard,,2)=Table1[[#This Row],[Mould No]]), 0), 3),)</f>
        <v>BC28-0750-K4-R-CL (55g)</v>
      </c>
      <c r="H404">
        <v>0</v>
      </c>
      <c r="I404" cm="1">
        <f t="array" ref="I404">IFERROR(INDEX(ReferenceCard, MATCH(1, (INDEX(ReferenceCard,,1)=Table1[[#This Row],[SAP No]]) * (INDEX(ReferenceCard,,2)=Table1[[#This Row],[Mould No]]), 0), 4),)</f>
        <v>4</v>
      </c>
      <c r="J404" s="4" cm="1">
        <f t="array" ref="J404">IFERROR(INDEX(ReferenceCard, MATCH(1, (INDEX(ReferenceCard,,1)=Table1[[#This Row],[SAP No]]) * (INDEX(ReferenceCard,,2)=Table1[[#This Row],[Mould No]]), 0), 9),)</f>
        <v>55</v>
      </c>
      <c r="K404" s="4" cm="1">
        <f t="array" ref="K404">IFERROR(INDEX(ReferenceCard, MATCH(1, (INDEX(ReferenceCard,,1)=Table1[[#This Row],[SAP No]]) * (INDEX(ReferenceCard,,2)=Table1[[#This Row],[Mould No]]), 0), 7),)</f>
        <v>55</v>
      </c>
      <c r="L404">
        <v>1545</v>
      </c>
      <c r="M404">
        <v>0</v>
      </c>
      <c r="N404">
        <v>0</v>
      </c>
      <c r="O404">
        <v>0</v>
      </c>
      <c r="P404">
        <f>Table1[[#This Row],[Shot]]*Table1[[#This Row],[Cav]]</f>
        <v>6180</v>
      </c>
      <c r="Q404">
        <v>0</v>
      </c>
      <c r="R404">
        <f>(Table1[[#This Row],[Part Weight (gm)]]*Table1[[#This Row],[Finish Good]])/1000</f>
        <v>0</v>
      </c>
      <c r="S404">
        <v>0</v>
      </c>
      <c r="T404">
        <f>IF(Table1[[#This Row],[Qty Order]]="Sample","-",IF(Table1[[#This Row],[Qty Order]]="RTFN","-",Table1[[#This Row],[Qty Order]]-Table1[[#This Row],[Qty Accumulate]]))</f>
        <v>0</v>
      </c>
      <c r="U404">
        <f>((Table1[[#This Row],[Shift Output]]*Table1[[#This Row],[Part Weight (gm)]])/1000)+Table1[[#This Row],[Reject Startup (kg)]]+Table1[[#This Row],[Reject Purging (kg)]]+Table1[[#This Row],[Reject Preform (kg)]]</f>
        <v>339.9</v>
      </c>
      <c r="V404" s="37">
        <f>(Table1[[#This Row],[Gross Weight (gm)]]-Table1[[#This Row],[Part Weight (gm)]])*Table1[[#This Row],[Shift Output]]/1000</f>
        <v>0</v>
      </c>
      <c r="W404" s="3">
        <v>0</v>
      </c>
      <c r="X404" s="36">
        <f>Table1[[#This Row],[Reject Startup (kg)]]/Table1[[#This Row],[Material Used]]</f>
        <v>0</v>
      </c>
      <c r="Y404" s="3">
        <v>0</v>
      </c>
      <c r="Z404" s="36">
        <f>Table1[[#This Row],[Reject Prod (kg)]]/Table1[[#This Row],[Material Used]]</f>
        <v>0</v>
      </c>
      <c r="AA404" s="4">
        <v>27.939964294433501</v>
      </c>
      <c r="AB404" s="5">
        <v>12</v>
      </c>
      <c r="AC404" s="4" cm="1">
        <f t="array" ref="AC404">IFERROR(INDEX(ReferenceCard, MATCH(1, (INDEX(ReferenceCard,,1)=Table1[[#This Row],[SAP No]]) * (INDEX(ReferenceCard,,2)=Table1[[#This Row],[Mould No]]), 0), 9),)</f>
        <v>55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L404" s="2"/>
      <c r="AM404" s="2"/>
      <c r="AN404" s="3">
        <v>0</v>
      </c>
      <c r="AO404" s="3">
        <v>0</v>
      </c>
      <c r="AP40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5" spans="1:42" x14ac:dyDescent="0.35">
      <c r="A405" s="1">
        <v>46010</v>
      </c>
      <c r="B405">
        <v>2</v>
      </c>
      <c r="C405" t="s">
        <v>31</v>
      </c>
      <c r="D405" t="str" cm="1">
        <f t="array" ref="D405">IFERROR(INDEX(ReferenceCard, MATCH(1, (INDEX(ReferenceCard,,1)=Table1[[#This Row],[SAP No]]) * (INDEX(ReferenceCard,,2)=Table1[[#This Row],[Mould No]]), 0), 6),)</f>
        <v>PPSB520Y</v>
      </c>
      <c r="E405">
        <v>586276</v>
      </c>
      <c r="F405">
        <v>4</v>
      </c>
      <c r="G405" t="str" cm="1">
        <f t="array" ref="G405">IFERROR(INDEX(ReferenceCard, MATCH(1, (INDEX(ReferenceCard,,1)=Table1[[#This Row],[SAP No]]) * (INDEX(ReferenceCard,,2)=Table1[[#This Row],[Mould No]]), 0), 3),)</f>
        <v>BC28-0056-D-APH-LEB-604001-MOLD4</v>
      </c>
      <c r="H405">
        <v>0</v>
      </c>
      <c r="I405" cm="1">
        <f t="array" ref="I405">IFERROR(INDEX(ReferenceCard, MATCH(1, (INDEX(ReferenceCard,,1)=Table1[[#This Row],[SAP No]]) * (INDEX(ReferenceCard,,2)=Table1[[#This Row],[Mould No]]), 0), 4),)</f>
        <v>6</v>
      </c>
      <c r="J405" s="4" cm="1">
        <f t="array" ref="J405">IFERROR(INDEX(ReferenceCard, MATCH(1, (INDEX(ReferenceCard,,1)=Table1[[#This Row],[SAP No]]) * (INDEX(ReferenceCard,,2)=Table1[[#This Row],[Mould No]]), 0), 9),)</f>
        <v>12.3</v>
      </c>
      <c r="K405" s="4" cm="1">
        <f t="array" ref="K405">IFERROR(INDEX(ReferenceCard, MATCH(1, (INDEX(ReferenceCard,,1)=Table1[[#This Row],[SAP No]]) * (INDEX(ReferenceCard,,2)=Table1[[#This Row],[Mould No]]), 0), 7),)</f>
        <v>12.3</v>
      </c>
      <c r="L405">
        <v>1652</v>
      </c>
      <c r="M405">
        <v>0</v>
      </c>
      <c r="N405">
        <v>0</v>
      </c>
      <c r="O405">
        <v>0</v>
      </c>
      <c r="P405">
        <f>Table1[[#This Row],[Shot]]*Table1[[#This Row],[Cav]]</f>
        <v>9912</v>
      </c>
      <c r="Q405">
        <v>0</v>
      </c>
      <c r="R405">
        <f>(Table1[[#This Row],[Part Weight (gm)]]*Table1[[#This Row],[Finish Good]])/1000</f>
        <v>0</v>
      </c>
      <c r="S405">
        <v>0</v>
      </c>
      <c r="T405">
        <f>IF(Table1[[#This Row],[Qty Order]]="Sample","-",IF(Table1[[#This Row],[Qty Order]]="RTFN","-",Table1[[#This Row],[Qty Order]]-Table1[[#This Row],[Qty Accumulate]]))</f>
        <v>0</v>
      </c>
      <c r="U405">
        <f>((Table1[[#This Row],[Shift Output]]*Table1[[#This Row],[Part Weight (gm)]])/1000)+Table1[[#This Row],[Reject Startup (kg)]]+Table1[[#This Row],[Reject Purging (kg)]]+Table1[[#This Row],[Reject Preform (kg)]]</f>
        <v>121.91760000000001</v>
      </c>
      <c r="V405" s="37">
        <f>(Table1[[#This Row],[Gross Weight (gm)]]-Table1[[#This Row],[Part Weight (gm)]])*Table1[[#This Row],[Shift Output]]/1000</f>
        <v>0</v>
      </c>
      <c r="W405" s="3">
        <v>0</v>
      </c>
      <c r="X405" s="36">
        <f>Table1[[#This Row],[Reject Startup (kg)]]/Table1[[#This Row],[Material Used]]</f>
        <v>0</v>
      </c>
      <c r="Y405" s="3">
        <v>0</v>
      </c>
      <c r="Z405" s="36">
        <f>Table1[[#This Row],[Reject Prod (kg)]]/Table1[[#This Row],[Material Used]]</f>
        <v>0</v>
      </c>
      <c r="AA405" s="4">
        <v>26.142950057983299</v>
      </c>
      <c r="AB405" s="5">
        <v>12</v>
      </c>
      <c r="AC405" s="4" cm="1">
        <f t="array" ref="AC405">IFERROR(INDEX(ReferenceCard, MATCH(1, (INDEX(ReferenceCard,,1)=Table1[[#This Row],[SAP No]]) * (INDEX(ReferenceCard,,2)=Table1[[#This Row],[Mould No]]), 0), 9),)</f>
        <v>12.3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L405" s="2"/>
      <c r="AM405" s="2"/>
      <c r="AN405" s="3">
        <v>0</v>
      </c>
      <c r="AO405" s="3">
        <v>0</v>
      </c>
      <c r="AP40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6" spans="1:42" x14ac:dyDescent="0.35">
      <c r="A406" s="1">
        <v>46010</v>
      </c>
      <c r="B406">
        <v>2</v>
      </c>
      <c r="C406" t="s">
        <v>33</v>
      </c>
      <c r="D406" t="str" cm="1">
        <f t="array" ref="D406">IFERROR(INDEX(ReferenceCard, MATCH(1, (INDEX(ReferenceCard,,1)=Table1[[#This Row],[SAP No]]) * (INDEX(ReferenceCard,,2)=Table1[[#This Row],[Mould No]]), 0), 6),)</f>
        <v>PET</v>
      </c>
      <c r="E406">
        <v>541381</v>
      </c>
      <c r="F406">
        <v>0</v>
      </c>
      <c r="G406" t="str" cm="1">
        <f t="array" ref="G406">IFERROR(INDEX(ReferenceCard, MATCH(1, (INDEX(ReferenceCard,,1)=Table1[[#This Row],[SAP No]]) * (INDEX(ReferenceCard,,2)=Table1[[#This Row],[Mould No]]), 0), 3),)</f>
        <v>BC28-1200-K-R-CL</v>
      </c>
      <c r="H406">
        <v>0</v>
      </c>
      <c r="I406" cm="1">
        <f t="array" ref="I406">IFERROR(INDEX(ReferenceCard, MATCH(1, (INDEX(ReferenceCard,,1)=Table1[[#This Row],[SAP No]]) * (INDEX(ReferenceCard,,2)=Table1[[#This Row],[Mould No]]), 0), 4),)</f>
        <v>4</v>
      </c>
      <c r="J406" s="4" cm="1">
        <f t="array" ref="J406">IFERROR(INDEX(ReferenceCard, MATCH(1, (INDEX(ReferenceCard,,1)=Table1[[#This Row],[SAP No]]) * (INDEX(ReferenceCard,,2)=Table1[[#This Row],[Mould No]]), 0), 9),)</f>
        <v>55</v>
      </c>
      <c r="K406" s="4" cm="1">
        <f t="array" ref="K406">IFERROR(INDEX(ReferenceCard, MATCH(1, (INDEX(ReferenceCard,,1)=Table1[[#This Row],[SAP No]]) * (INDEX(ReferenceCard,,2)=Table1[[#This Row],[Mould No]]), 0), 7),)</f>
        <v>55</v>
      </c>
      <c r="L406">
        <v>1850</v>
      </c>
      <c r="M406">
        <v>0</v>
      </c>
      <c r="N406">
        <v>0</v>
      </c>
      <c r="O406">
        <v>0</v>
      </c>
      <c r="P406">
        <f>Table1[[#This Row],[Shot]]*Table1[[#This Row],[Cav]]</f>
        <v>7400</v>
      </c>
      <c r="Q406">
        <v>0</v>
      </c>
      <c r="R406">
        <f>(Table1[[#This Row],[Part Weight (gm)]]*Table1[[#This Row],[Finish Good]])/1000</f>
        <v>0</v>
      </c>
      <c r="S406">
        <v>0</v>
      </c>
      <c r="T406">
        <f>IF(Table1[[#This Row],[Qty Order]]="Sample","-",IF(Table1[[#This Row],[Qty Order]]="RTFN","-",Table1[[#This Row],[Qty Order]]-Table1[[#This Row],[Qty Accumulate]]))</f>
        <v>0</v>
      </c>
      <c r="U406">
        <f>((Table1[[#This Row],[Shift Output]]*Table1[[#This Row],[Part Weight (gm)]])/1000)+Table1[[#This Row],[Reject Startup (kg)]]+Table1[[#This Row],[Reject Purging (kg)]]+Table1[[#This Row],[Reject Preform (kg)]]</f>
        <v>407</v>
      </c>
      <c r="V406" s="37">
        <f>(Table1[[#This Row],[Gross Weight (gm)]]-Table1[[#This Row],[Part Weight (gm)]])*Table1[[#This Row],[Shift Output]]/1000</f>
        <v>0</v>
      </c>
      <c r="W406" s="3">
        <v>0</v>
      </c>
      <c r="X406" s="36">
        <f>Table1[[#This Row],[Reject Startup (kg)]]/Table1[[#This Row],[Material Used]]</f>
        <v>0</v>
      </c>
      <c r="Y406" s="3">
        <v>0</v>
      </c>
      <c r="Z406" s="36">
        <f>Table1[[#This Row],[Reject Prod (kg)]]/Table1[[#This Row],[Material Used]]</f>
        <v>0</v>
      </c>
      <c r="AA406" s="4">
        <v>42.730781555175703</v>
      </c>
      <c r="AB406" s="5">
        <v>10.99</v>
      </c>
      <c r="AC406" s="4" cm="1">
        <f t="array" ref="AC406">IFERROR(INDEX(ReferenceCard, MATCH(1, (INDEX(ReferenceCard,,1)=Table1[[#This Row],[SAP No]]) * (INDEX(ReferenceCard,,2)=Table1[[#This Row],[Mould No]]), 0), 9),)</f>
        <v>55</v>
      </c>
      <c r="AD406" s="5">
        <v>0</v>
      </c>
      <c r="AE406" s="5">
        <v>0</v>
      </c>
      <c r="AF406" s="5">
        <v>0</v>
      </c>
      <c r="AG406" s="5">
        <v>0</v>
      </c>
      <c r="AH406" s="5">
        <v>1.01</v>
      </c>
      <c r="AI406" s="5">
        <v>0</v>
      </c>
      <c r="AJ406" s="5">
        <v>0</v>
      </c>
      <c r="AL406" s="2"/>
      <c r="AM406" s="2"/>
      <c r="AN406" s="3">
        <v>0</v>
      </c>
      <c r="AO406" s="3">
        <v>0</v>
      </c>
      <c r="AP40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7" spans="1:42" x14ac:dyDescent="0.35">
      <c r="A407" s="1">
        <v>46010</v>
      </c>
      <c r="B407">
        <v>2</v>
      </c>
      <c r="C407" t="s">
        <v>35</v>
      </c>
      <c r="D407" t="str" cm="1">
        <f t="array" ref="D407">IFERROR(INDEX(ReferenceCard, MATCH(1, (INDEX(ReferenceCard,,1)=Table1[[#This Row],[SAP No]]) * (INDEX(ReferenceCard,,2)=Table1[[#This Row],[Mould No]]), 0), 6),)</f>
        <v>PPSB520Y</v>
      </c>
      <c r="E407">
        <v>552181</v>
      </c>
      <c r="F407">
        <v>1</v>
      </c>
      <c r="G407" t="str" cm="1">
        <f t="array" ref="G407">IFERROR(INDEX(ReferenceCard, MATCH(1, (INDEX(ReferenceCard,,1)=Table1[[#This Row],[SAP No]]) * (INDEX(ReferenceCard,,2)=Table1[[#This Row],[Mould No]]), 0), 3),)</f>
        <v>BC28-0090-D-APH-5180-3538-PP-6 NOTCHES-MOLD1</v>
      </c>
      <c r="H407">
        <v>0</v>
      </c>
      <c r="I407" cm="1">
        <f t="array" ref="I407">IFERROR(INDEX(ReferenceCard, MATCH(1, (INDEX(ReferenceCard,,1)=Table1[[#This Row],[SAP No]]) * (INDEX(ReferenceCard,,2)=Table1[[#This Row],[Mould No]]), 0), 4),)</f>
        <v>6</v>
      </c>
      <c r="J407" s="4" cm="1">
        <f t="array" ref="J407">IFERROR(INDEX(ReferenceCard, MATCH(1, (INDEX(ReferenceCard,,1)=Table1[[#This Row],[SAP No]]) * (INDEX(ReferenceCard,,2)=Table1[[#This Row],[Mould No]]), 0), 9),)</f>
        <v>18.8</v>
      </c>
      <c r="K407" s="4" cm="1">
        <f t="array" ref="K407">IFERROR(INDEX(ReferenceCard, MATCH(1, (INDEX(ReferenceCard,,1)=Table1[[#This Row],[SAP No]]) * (INDEX(ReferenceCard,,2)=Table1[[#This Row],[Mould No]]), 0), 7),)</f>
        <v>18.8</v>
      </c>
      <c r="L407">
        <v>1387</v>
      </c>
      <c r="M407">
        <v>0</v>
      </c>
      <c r="N407">
        <v>0</v>
      </c>
      <c r="O407">
        <v>0</v>
      </c>
      <c r="P407">
        <f>Table1[[#This Row],[Shot]]*Table1[[#This Row],[Cav]]</f>
        <v>8322</v>
      </c>
      <c r="Q407">
        <v>0</v>
      </c>
      <c r="R407">
        <f>(Table1[[#This Row],[Part Weight (gm)]]*Table1[[#This Row],[Finish Good]])/1000</f>
        <v>0</v>
      </c>
      <c r="S407">
        <v>0</v>
      </c>
      <c r="T407">
        <f>IF(Table1[[#This Row],[Qty Order]]="Sample","-",IF(Table1[[#This Row],[Qty Order]]="RTFN","-",Table1[[#This Row],[Qty Order]]-Table1[[#This Row],[Qty Accumulate]]))</f>
        <v>0</v>
      </c>
      <c r="U407">
        <f>((Table1[[#This Row],[Shift Output]]*Table1[[#This Row],[Part Weight (gm)]])/1000)+Table1[[#This Row],[Reject Startup (kg)]]+Table1[[#This Row],[Reject Purging (kg)]]+Table1[[#This Row],[Reject Preform (kg)]]</f>
        <v>156.45359999999999</v>
      </c>
      <c r="V407" s="37">
        <f>(Table1[[#This Row],[Gross Weight (gm)]]-Table1[[#This Row],[Part Weight (gm)]])*Table1[[#This Row],[Shift Output]]/1000</f>
        <v>0</v>
      </c>
      <c r="W407" s="3">
        <v>0</v>
      </c>
      <c r="X407" s="36">
        <f>Table1[[#This Row],[Reject Startup (kg)]]/Table1[[#This Row],[Material Used]]</f>
        <v>0</v>
      </c>
      <c r="Y407" s="3">
        <v>0</v>
      </c>
      <c r="Z407" s="36">
        <f>Table1[[#This Row],[Reject Prod (kg)]]/Table1[[#This Row],[Material Used]]</f>
        <v>0</v>
      </c>
      <c r="AA407" s="4">
        <v>31.120555877685501</v>
      </c>
      <c r="AB407" s="5">
        <v>12</v>
      </c>
      <c r="AC407" s="4" cm="1">
        <f t="array" ref="AC407">IFERROR(INDEX(ReferenceCard, MATCH(1, (INDEX(ReferenceCard,,1)=Table1[[#This Row],[SAP No]]) * (INDEX(ReferenceCard,,2)=Table1[[#This Row],[Mould No]]), 0), 9),)</f>
        <v>18.8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L407" s="2"/>
      <c r="AM407" s="2"/>
      <c r="AN407" s="3">
        <v>0</v>
      </c>
      <c r="AO407" s="3">
        <v>0</v>
      </c>
      <c r="AP40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8" spans="1:42" x14ac:dyDescent="0.35">
      <c r="A408" s="1">
        <v>46010</v>
      </c>
      <c r="B408">
        <v>2</v>
      </c>
      <c r="C408" t="s">
        <v>18</v>
      </c>
      <c r="D408" t="str" cm="1">
        <f t="array" ref="D408">IFERROR(INDEX(ReferenceCard, MATCH(1, (INDEX(ReferenceCard,,1)=Table1[[#This Row],[SAP No]]) * (INDEX(ReferenceCard,,2)=Table1[[#This Row],[Mould No]]), 0), 6),)</f>
        <v>PPSB520Y</v>
      </c>
      <c r="E408">
        <v>555979</v>
      </c>
      <c r="F408">
        <v>4</v>
      </c>
      <c r="G408" t="str" cm="1">
        <f t="array" ref="G408">IFERROR(INDEX(ReferenceCard, MATCH(1, (INDEX(ReferenceCard,,1)=Table1[[#This Row],[SAP No]]) * (INDEX(ReferenceCard,,2)=Table1[[#This Row],[Mould No]]), 0), 3),)</f>
        <v>BC28-0170-D-APH-5180-3539-PP-6 NOTCHES-MOLD4</v>
      </c>
      <c r="H408">
        <v>0</v>
      </c>
      <c r="I408" cm="1">
        <f t="array" ref="I408">IFERROR(INDEX(ReferenceCard, MATCH(1, (INDEX(ReferenceCard,,1)=Table1[[#This Row],[SAP No]]) * (INDEX(ReferenceCard,,2)=Table1[[#This Row],[Mould No]]), 0), 4),)</f>
        <v>6</v>
      </c>
      <c r="J408" s="4" cm="1">
        <f t="array" ref="J408">IFERROR(INDEX(ReferenceCard, MATCH(1, (INDEX(ReferenceCard,,1)=Table1[[#This Row],[SAP No]]) * (INDEX(ReferenceCard,,2)=Table1[[#This Row],[Mould No]]), 0), 9),)</f>
        <v>28</v>
      </c>
      <c r="K408" s="4" cm="1">
        <f t="array" ref="K408">IFERROR(INDEX(ReferenceCard, MATCH(1, (INDEX(ReferenceCard,,1)=Table1[[#This Row],[SAP No]]) * (INDEX(ReferenceCard,,2)=Table1[[#This Row],[Mould No]]), 0), 7),)</f>
        <v>28</v>
      </c>
      <c r="L408">
        <v>975</v>
      </c>
      <c r="M408">
        <v>0</v>
      </c>
      <c r="N408">
        <v>0</v>
      </c>
      <c r="O408">
        <v>0</v>
      </c>
      <c r="P408">
        <f>Table1[[#This Row],[Shot]]*Table1[[#This Row],[Cav]]</f>
        <v>5850</v>
      </c>
      <c r="Q408">
        <v>0</v>
      </c>
      <c r="R408">
        <f>(Table1[[#This Row],[Part Weight (gm)]]*Table1[[#This Row],[Finish Good]])/1000</f>
        <v>0</v>
      </c>
      <c r="S408">
        <v>0</v>
      </c>
      <c r="T408">
        <f>IF(Table1[[#This Row],[Qty Order]]="Sample","-",IF(Table1[[#This Row],[Qty Order]]="RTFN","-",Table1[[#This Row],[Qty Order]]-Table1[[#This Row],[Qty Accumulate]]))</f>
        <v>0</v>
      </c>
      <c r="U408">
        <f>((Table1[[#This Row],[Shift Output]]*Table1[[#This Row],[Part Weight (gm)]])/1000)+Table1[[#This Row],[Reject Startup (kg)]]+Table1[[#This Row],[Reject Purging (kg)]]+Table1[[#This Row],[Reject Preform (kg)]]</f>
        <v>163.80000000000001</v>
      </c>
      <c r="V408" s="37">
        <f>(Table1[[#This Row],[Gross Weight (gm)]]-Table1[[#This Row],[Part Weight (gm)]])*Table1[[#This Row],[Shift Output]]/1000</f>
        <v>0</v>
      </c>
      <c r="W408" s="3">
        <v>0</v>
      </c>
      <c r="X408" s="36">
        <f>Table1[[#This Row],[Reject Startup (kg)]]/Table1[[#This Row],[Material Used]]</f>
        <v>0</v>
      </c>
      <c r="Y408" s="3">
        <v>0</v>
      </c>
      <c r="Z408" s="36">
        <f>Table1[[#This Row],[Reject Prod (kg)]]/Table1[[#This Row],[Material Used]]</f>
        <v>0</v>
      </c>
      <c r="AA408" s="4">
        <v>43.5</v>
      </c>
      <c r="AB408" s="5">
        <v>12</v>
      </c>
      <c r="AC408" s="4" cm="1">
        <f t="array" ref="AC408">IFERROR(INDEX(ReferenceCard, MATCH(1, (INDEX(ReferenceCard,,1)=Table1[[#This Row],[SAP No]]) * (INDEX(ReferenceCard,,2)=Table1[[#This Row],[Mould No]]), 0), 9),)</f>
        <v>28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L408" s="2"/>
      <c r="AM408" s="2"/>
      <c r="AN408" s="3">
        <v>0</v>
      </c>
      <c r="AO408" s="3">
        <v>0</v>
      </c>
      <c r="AP40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09" spans="1:42" x14ac:dyDescent="0.35">
      <c r="A409" s="1">
        <v>46010</v>
      </c>
      <c r="B409">
        <v>1</v>
      </c>
      <c r="C409" t="s">
        <v>0</v>
      </c>
      <c r="D409" t="str" cm="1">
        <f t="array" ref="D409">IFERROR(INDEX(ReferenceCard, MATCH(1, (INDEX(ReferenceCard,,1)=Table1[[#This Row],[SAP No]]) * (INDEX(ReferenceCard,,2)=Table1[[#This Row],[Mould No]]), 0), 6),)</f>
        <v>PET</v>
      </c>
      <c r="E409">
        <v>347623</v>
      </c>
      <c r="F409">
        <v>0</v>
      </c>
      <c r="G409" t="str" cm="1">
        <f t="array" ref="G409">IFERROR(INDEX(ReferenceCard, MATCH(1, (INDEX(ReferenceCard,,1)=Table1[[#This Row],[SAP No]]) * (INDEX(ReferenceCard,,2)=Table1[[#This Row],[Mould No]]), 0), 3),)</f>
        <v>BC28-0375-K-R-CL</v>
      </c>
      <c r="H409">
        <v>0</v>
      </c>
      <c r="I409" cm="1">
        <f t="array" ref="I409">IFERROR(INDEX(ReferenceCard, MATCH(1, (INDEX(ReferenceCard,,1)=Table1[[#This Row],[SAP No]]) * (INDEX(ReferenceCard,,2)=Table1[[#This Row],[Mould No]]), 0), 4),)</f>
        <v>4</v>
      </c>
      <c r="J409" s="4" cm="1">
        <f t="array" ref="J409">IFERROR(INDEX(ReferenceCard, MATCH(1, (INDEX(ReferenceCard,,1)=Table1[[#This Row],[SAP No]]) * (INDEX(ReferenceCard,,2)=Table1[[#This Row],[Mould No]]), 0), 9),)</f>
        <v>35.6</v>
      </c>
      <c r="K409" s="4" cm="1">
        <f t="array" ref="K409">IFERROR(INDEX(ReferenceCard, MATCH(1, (INDEX(ReferenceCard,,1)=Table1[[#This Row],[SAP No]]) * (INDEX(ReferenceCard,,2)=Table1[[#This Row],[Mould No]]), 0), 7),)</f>
        <v>35.6</v>
      </c>
      <c r="L409">
        <v>507</v>
      </c>
      <c r="M409">
        <v>0</v>
      </c>
      <c r="N409">
        <v>0</v>
      </c>
      <c r="O409">
        <v>0</v>
      </c>
      <c r="P409">
        <f>Table1[[#This Row],[Shot]]*Table1[[#This Row],[Cav]]</f>
        <v>2028</v>
      </c>
      <c r="Q409">
        <v>0</v>
      </c>
      <c r="R409">
        <f>(Table1[[#This Row],[Part Weight (gm)]]*Table1[[#This Row],[Finish Good]])/1000</f>
        <v>0</v>
      </c>
      <c r="S409">
        <v>0</v>
      </c>
      <c r="T409">
        <f>IF(Table1[[#This Row],[Qty Order]]="Sample","-",IF(Table1[[#This Row],[Qty Order]]="RTFN","-",Table1[[#This Row],[Qty Order]]-Table1[[#This Row],[Qty Accumulate]]))</f>
        <v>0</v>
      </c>
      <c r="U409">
        <f>((Table1[[#This Row],[Shift Output]]*Table1[[#This Row],[Part Weight (gm)]])/1000)+Table1[[#This Row],[Reject Startup (kg)]]+Table1[[#This Row],[Reject Purging (kg)]]+Table1[[#This Row],[Reject Preform (kg)]]</f>
        <v>72.196799999999996</v>
      </c>
      <c r="V409" s="37">
        <f>(Table1[[#This Row],[Gross Weight (gm)]]-Table1[[#This Row],[Part Weight (gm)]])*Table1[[#This Row],[Shift Output]]/1000</f>
        <v>0</v>
      </c>
      <c r="W409" s="3">
        <v>0</v>
      </c>
      <c r="X409" s="36">
        <f>Table1[[#This Row],[Reject Startup (kg)]]/Table1[[#This Row],[Material Used]]</f>
        <v>0</v>
      </c>
      <c r="Y409" s="3">
        <v>0</v>
      </c>
      <c r="Z409" s="36">
        <f>Table1[[#This Row],[Reject Prod (kg)]]/Table1[[#This Row],[Material Used]]</f>
        <v>0</v>
      </c>
      <c r="AA409" s="4">
        <v>26.761276245117099</v>
      </c>
      <c r="AB409" s="5">
        <v>3.3599999999999901</v>
      </c>
      <c r="AC409" s="4" cm="1">
        <f t="array" ref="AC409">IFERROR(INDEX(ReferenceCard, MATCH(1, (INDEX(ReferenceCard,,1)=Table1[[#This Row],[SAP No]]) * (INDEX(ReferenceCard,,2)=Table1[[#This Row],[Mould No]]), 0), 9),)</f>
        <v>35.6</v>
      </c>
      <c r="AD409" s="5">
        <v>0</v>
      </c>
      <c r="AE409" s="5">
        <v>0</v>
      </c>
      <c r="AF409" s="5">
        <v>0</v>
      </c>
      <c r="AG409" s="5">
        <v>5.03</v>
      </c>
      <c r="AH409" s="5">
        <v>3.62</v>
      </c>
      <c r="AI409" s="5">
        <v>0</v>
      </c>
      <c r="AJ409" s="5">
        <v>0</v>
      </c>
      <c r="AK409" t="s">
        <v>91</v>
      </c>
      <c r="AL409" s="2"/>
      <c r="AM409" s="2"/>
      <c r="AN409" s="3">
        <v>0</v>
      </c>
      <c r="AO409" s="3">
        <v>0</v>
      </c>
      <c r="AP40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0" spans="1:42" x14ac:dyDescent="0.35">
      <c r="A410" s="1">
        <v>46010</v>
      </c>
      <c r="B410">
        <v>1</v>
      </c>
      <c r="C410" t="s">
        <v>3</v>
      </c>
      <c r="D410" t="str" cm="1">
        <f t="array" ref="D410">IFERROR(INDEX(ReferenceCard, MATCH(1, (INDEX(ReferenceCard,,1)=Table1[[#This Row],[SAP No]]) * (INDEX(ReferenceCard,,2)=Table1[[#This Row],[Mould No]]), 0), 6),)</f>
        <v>PET</v>
      </c>
      <c r="E410">
        <v>423215</v>
      </c>
      <c r="F410">
        <v>0</v>
      </c>
      <c r="G410" t="str" cm="1">
        <f t="array" ref="G410">IFERROR(INDEX(ReferenceCard, MATCH(1, (INDEX(ReferenceCard,,1)=Table1[[#This Row],[SAP No]]) * (INDEX(ReferenceCard,,2)=Table1[[#This Row],[Mould No]]), 0), 3),)</f>
        <v>BC28-0355-SCC-A-Q-CL</v>
      </c>
      <c r="H410">
        <v>0</v>
      </c>
      <c r="I410" cm="1">
        <f t="array" ref="I410">IFERROR(INDEX(ReferenceCard, MATCH(1, (INDEX(ReferenceCard,,1)=Table1[[#This Row],[SAP No]]) * (INDEX(ReferenceCard,,2)=Table1[[#This Row],[Mould No]]), 0), 4),)</f>
        <v>4</v>
      </c>
      <c r="J410" s="4" cm="1">
        <f t="array" ref="J410">IFERROR(INDEX(ReferenceCard, MATCH(1, (INDEX(ReferenceCard,,1)=Table1[[#This Row],[SAP No]]) * (INDEX(ReferenceCard,,2)=Table1[[#This Row],[Mould No]]), 0), 9),)</f>
        <v>24</v>
      </c>
      <c r="K410" s="4" cm="1">
        <f t="array" ref="K410">IFERROR(INDEX(ReferenceCard, MATCH(1, (INDEX(ReferenceCard,,1)=Table1[[#This Row],[SAP No]]) * (INDEX(ReferenceCard,,2)=Table1[[#This Row],[Mould No]]), 0), 7),)</f>
        <v>24</v>
      </c>
      <c r="L410">
        <v>1542</v>
      </c>
      <c r="M410">
        <v>0</v>
      </c>
      <c r="N410">
        <v>0</v>
      </c>
      <c r="O410">
        <v>0</v>
      </c>
      <c r="P410">
        <f>Table1[[#This Row],[Shot]]*Table1[[#This Row],[Cav]]</f>
        <v>6168</v>
      </c>
      <c r="Q410">
        <v>0</v>
      </c>
      <c r="R410">
        <f>(Table1[[#This Row],[Part Weight (gm)]]*Table1[[#This Row],[Finish Good]])/1000</f>
        <v>0</v>
      </c>
      <c r="S410">
        <v>0</v>
      </c>
      <c r="T410">
        <f>IF(Table1[[#This Row],[Qty Order]]="Sample","-",IF(Table1[[#This Row],[Qty Order]]="RTFN","-",Table1[[#This Row],[Qty Order]]-Table1[[#This Row],[Qty Accumulate]]))</f>
        <v>0</v>
      </c>
      <c r="U410">
        <f>((Table1[[#This Row],[Shift Output]]*Table1[[#This Row],[Part Weight (gm)]])/1000)+Table1[[#This Row],[Reject Startup (kg)]]+Table1[[#This Row],[Reject Purging (kg)]]+Table1[[#This Row],[Reject Preform (kg)]]</f>
        <v>148.03200000000001</v>
      </c>
      <c r="V410" s="37">
        <f>(Table1[[#This Row],[Gross Weight (gm)]]-Table1[[#This Row],[Part Weight (gm)]])*Table1[[#This Row],[Shift Output]]/1000</f>
        <v>0</v>
      </c>
      <c r="W410" s="3">
        <v>0</v>
      </c>
      <c r="X410" s="36">
        <f>Table1[[#This Row],[Reject Startup (kg)]]/Table1[[#This Row],[Material Used]]</f>
        <v>0</v>
      </c>
      <c r="Y410" s="3">
        <v>0</v>
      </c>
      <c r="Z410" s="36">
        <f>Table1[[#This Row],[Reject Prod (kg)]]/Table1[[#This Row],[Material Used]]</f>
        <v>0</v>
      </c>
      <c r="AA410" s="4">
        <v>28.009689331054599</v>
      </c>
      <c r="AB410" s="5">
        <v>12</v>
      </c>
      <c r="AC410" s="4" cm="1">
        <f t="array" ref="AC410">IFERROR(INDEX(ReferenceCard, MATCH(1, (INDEX(ReferenceCard,,1)=Table1[[#This Row],[SAP No]]) * (INDEX(ReferenceCard,,2)=Table1[[#This Row],[Mould No]]), 0), 9),)</f>
        <v>24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L410" s="2"/>
      <c r="AM410" s="2"/>
      <c r="AN410" s="3">
        <v>0</v>
      </c>
      <c r="AO410" s="3">
        <v>0</v>
      </c>
      <c r="AP41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1" spans="1:42" x14ac:dyDescent="0.35">
      <c r="A411" s="1">
        <v>46010</v>
      </c>
      <c r="B411">
        <v>1</v>
      </c>
      <c r="C411" t="s">
        <v>5</v>
      </c>
      <c r="D411" t="str" cm="1">
        <f t="array" ref="D411">IFERROR(INDEX(ReferenceCard, MATCH(1, (INDEX(ReferenceCard,,1)=Table1[[#This Row],[SAP No]]) * (INDEX(ReferenceCard,,2)=Table1[[#This Row],[Mould No]]), 0), 6),)</f>
        <v>PET</v>
      </c>
      <c r="E411">
        <v>543590</v>
      </c>
      <c r="F411">
        <v>0</v>
      </c>
      <c r="G411" t="str" cm="1">
        <f t="array" ref="G411">IFERROR(INDEX(ReferenceCard, MATCH(1, (INDEX(ReferenceCard,,1)=Table1[[#This Row],[SAP No]]) * (INDEX(ReferenceCard,,2)=Table1[[#This Row],[Mould No]]), 0), 3),)</f>
        <v>BC28-0130-R-R-AM</v>
      </c>
      <c r="H411">
        <v>0</v>
      </c>
      <c r="I411" cm="1">
        <f t="array" ref="I411">IFERROR(INDEX(ReferenceCard, MATCH(1, (INDEX(ReferenceCard,,1)=Table1[[#This Row],[SAP No]]) * (INDEX(ReferenceCard,,2)=Table1[[#This Row],[Mould No]]), 0), 4),)</f>
        <v>4</v>
      </c>
      <c r="J411" s="4" cm="1">
        <f t="array" ref="J411">IFERROR(INDEX(ReferenceCard, MATCH(1, (INDEX(ReferenceCard,,1)=Table1[[#This Row],[SAP No]]) * (INDEX(ReferenceCard,,2)=Table1[[#This Row],[Mould No]]), 0), 9),)</f>
        <v>19</v>
      </c>
      <c r="K411" s="4" cm="1">
        <f t="array" ref="K411">IFERROR(INDEX(ReferenceCard, MATCH(1, (INDEX(ReferenceCard,,1)=Table1[[#This Row],[SAP No]]) * (INDEX(ReferenceCard,,2)=Table1[[#This Row],[Mould No]]), 0), 7),)</f>
        <v>19</v>
      </c>
      <c r="L411">
        <v>2731</v>
      </c>
      <c r="M411">
        <v>0</v>
      </c>
      <c r="N411">
        <v>0</v>
      </c>
      <c r="O411">
        <v>0</v>
      </c>
      <c r="P411">
        <f>Table1[[#This Row],[Shot]]*Table1[[#This Row],[Cav]]</f>
        <v>10924</v>
      </c>
      <c r="Q411">
        <v>0</v>
      </c>
      <c r="R411">
        <f>(Table1[[#This Row],[Part Weight (gm)]]*Table1[[#This Row],[Finish Good]])/1000</f>
        <v>0</v>
      </c>
      <c r="S411">
        <v>0</v>
      </c>
      <c r="T411">
        <f>IF(Table1[[#This Row],[Qty Order]]="Sample","-",IF(Table1[[#This Row],[Qty Order]]="RTFN","-",Table1[[#This Row],[Qty Order]]-Table1[[#This Row],[Qty Accumulate]]))</f>
        <v>0</v>
      </c>
      <c r="U411">
        <f>((Table1[[#This Row],[Shift Output]]*Table1[[#This Row],[Part Weight (gm)]])/1000)+Table1[[#This Row],[Reject Startup (kg)]]+Table1[[#This Row],[Reject Purging (kg)]]+Table1[[#This Row],[Reject Preform (kg)]]</f>
        <v>207.55600000000001</v>
      </c>
      <c r="V411" s="37">
        <f>(Table1[[#This Row],[Gross Weight (gm)]]-Table1[[#This Row],[Part Weight (gm)]])*Table1[[#This Row],[Shift Output]]/1000</f>
        <v>0</v>
      </c>
      <c r="W411" s="3">
        <v>0</v>
      </c>
      <c r="X411" s="36">
        <f>Table1[[#This Row],[Reject Startup (kg)]]/Table1[[#This Row],[Material Used]]</f>
        <v>0</v>
      </c>
      <c r="Y411" s="3">
        <v>0</v>
      </c>
      <c r="Z411" s="36">
        <f>Table1[[#This Row],[Reject Prod (kg)]]/Table1[[#This Row],[Material Used]]</f>
        <v>0</v>
      </c>
      <c r="AA411" s="4">
        <v>0</v>
      </c>
      <c r="AB411" s="5">
        <v>0</v>
      </c>
      <c r="AC411" s="4" cm="1">
        <f t="array" ref="AC411">IFERROR(INDEX(ReferenceCard, MATCH(1, (INDEX(ReferenceCard,,1)=Table1[[#This Row],[SAP No]]) * (INDEX(ReferenceCard,,2)=Table1[[#This Row],[Mould No]]), 0), 9),)</f>
        <v>19</v>
      </c>
      <c r="AD411" s="5">
        <v>0</v>
      </c>
      <c r="AE411" s="5">
        <v>0</v>
      </c>
      <c r="AF411" s="5">
        <v>0</v>
      </c>
      <c r="AG411" s="5">
        <v>8.5399999999999903</v>
      </c>
      <c r="AH411" s="5">
        <v>0</v>
      </c>
      <c r="AI411" s="5">
        <v>3.46</v>
      </c>
      <c r="AJ411" s="5">
        <v>0</v>
      </c>
      <c r="AK411" t="s">
        <v>92</v>
      </c>
      <c r="AL411" s="2"/>
      <c r="AM411" s="2"/>
      <c r="AN411" s="3">
        <v>0</v>
      </c>
      <c r="AO411" s="3">
        <v>0</v>
      </c>
      <c r="AP41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2" spans="1:42" x14ac:dyDescent="0.35">
      <c r="A412" s="1">
        <v>46010</v>
      </c>
      <c r="B412">
        <v>1</v>
      </c>
      <c r="C412" t="s">
        <v>7</v>
      </c>
      <c r="D412" t="str" cm="1">
        <f t="array" ref="D412">IFERROR(INDEX(ReferenceCard, MATCH(1, (INDEX(ReferenceCard,,1)=Table1[[#This Row],[SAP No]]) * (INDEX(ReferenceCard,,2)=Table1[[#This Row],[Mould No]]), 0), 6),)</f>
        <v>PET</v>
      </c>
      <c r="E412">
        <v>451191</v>
      </c>
      <c r="F412">
        <v>0</v>
      </c>
      <c r="G412" t="str" cm="1">
        <f t="array" ref="G412">IFERROR(INDEX(ReferenceCard, MATCH(1, (INDEX(ReferenceCard,,1)=Table1[[#This Row],[SAP No]]) * (INDEX(ReferenceCard,,2)=Table1[[#This Row],[Mould No]]), 0), 3),)</f>
        <v>BX38-0350-Z-C-CL</v>
      </c>
      <c r="H412">
        <v>0</v>
      </c>
      <c r="I412" cm="1">
        <f t="array" ref="I412">IFERROR(INDEX(ReferenceCard, MATCH(1, (INDEX(ReferenceCard,,1)=Table1[[#This Row],[SAP No]]) * (INDEX(ReferenceCard,,2)=Table1[[#This Row],[Mould No]]), 0), 4),)</f>
        <v>4</v>
      </c>
      <c r="J412" s="4" cm="1">
        <f t="array" ref="J412">IFERROR(INDEX(ReferenceCard, MATCH(1, (INDEX(ReferenceCard,,1)=Table1[[#This Row],[SAP No]]) * (INDEX(ReferenceCard,,2)=Table1[[#This Row],[Mould No]]), 0), 9),)</f>
        <v>29</v>
      </c>
      <c r="K412" s="4" cm="1">
        <f t="array" ref="K412">IFERROR(INDEX(ReferenceCard, MATCH(1, (INDEX(ReferenceCard,,1)=Table1[[#This Row],[SAP No]]) * (INDEX(ReferenceCard,,2)=Table1[[#This Row],[Mould No]]), 0), 7),)</f>
        <v>29</v>
      </c>
      <c r="L412">
        <v>1684</v>
      </c>
      <c r="M412">
        <v>0</v>
      </c>
      <c r="N412">
        <v>0</v>
      </c>
      <c r="O412">
        <v>0</v>
      </c>
      <c r="P412">
        <f>Table1[[#This Row],[Shot]]*Table1[[#This Row],[Cav]]</f>
        <v>6736</v>
      </c>
      <c r="Q412">
        <v>0</v>
      </c>
      <c r="R412">
        <f>(Table1[[#This Row],[Part Weight (gm)]]*Table1[[#This Row],[Finish Good]])/1000</f>
        <v>0</v>
      </c>
      <c r="S412">
        <v>0</v>
      </c>
      <c r="T412">
        <f>IF(Table1[[#This Row],[Qty Order]]="Sample","-",IF(Table1[[#This Row],[Qty Order]]="RTFN","-",Table1[[#This Row],[Qty Order]]-Table1[[#This Row],[Qty Accumulate]]))</f>
        <v>0</v>
      </c>
      <c r="U412">
        <f>((Table1[[#This Row],[Shift Output]]*Table1[[#This Row],[Part Weight (gm)]])/1000)+Table1[[#This Row],[Reject Startup (kg)]]+Table1[[#This Row],[Reject Purging (kg)]]+Table1[[#This Row],[Reject Preform (kg)]]</f>
        <v>195.34399999999999</v>
      </c>
      <c r="V412" s="37">
        <f>(Table1[[#This Row],[Gross Weight (gm)]]-Table1[[#This Row],[Part Weight (gm)]])*Table1[[#This Row],[Shift Output]]/1000</f>
        <v>0</v>
      </c>
      <c r="W412" s="3">
        <v>0</v>
      </c>
      <c r="X412" s="36">
        <f>Table1[[#This Row],[Reject Startup (kg)]]/Table1[[#This Row],[Material Used]]</f>
        <v>0</v>
      </c>
      <c r="Y412" s="3">
        <v>0</v>
      </c>
      <c r="Z412" s="36">
        <f>Table1[[#This Row],[Reject Prod (kg)]]/Table1[[#This Row],[Material Used]]</f>
        <v>0</v>
      </c>
      <c r="AA412" s="4">
        <v>25.654964447021399</v>
      </c>
      <c r="AB412" s="5">
        <v>12</v>
      </c>
      <c r="AC412" s="4" cm="1">
        <f t="array" ref="AC412">IFERROR(INDEX(ReferenceCard, MATCH(1, (INDEX(ReferenceCard,,1)=Table1[[#This Row],[SAP No]]) * (INDEX(ReferenceCard,,2)=Table1[[#This Row],[Mould No]]), 0), 9),)</f>
        <v>29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L412" s="2"/>
      <c r="AM412" s="2"/>
      <c r="AN412" s="3">
        <v>0</v>
      </c>
      <c r="AO412" s="3">
        <v>0</v>
      </c>
      <c r="AP41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3" spans="1:42" x14ac:dyDescent="0.35">
      <c r="A413" s="1">
        <v>46010</v>
      </c>
      <c r="B413">
        <v>1</v>
      </c>
      <c r="C413" t="s">
        <v>9</v>
      </c>
      <c r="D413" t="str" cm="1">
        <f t="array" ref="D413">IFERROR(INDEX(ReferenceCard, MATCH(1, (INDEX(ReferenceCard,,1)=Table1[[#This Row],[SAP No]]) * (INDEX(ReferenceCard,,2)=Table1[[#This Row],[Mould No]]), 0), 6),)</f>
        <v>PET</v>
      </c>
      <c r="E413">
        <v>322451</v>
      </c>
      <c r="F413">
        <v>0</v>
      </c>
      <c r="G413" t="str" cm="1">
        <f t="array" ref="G413">IFERROR(INDEX(ReferenceCard, MATCH(1, (INDEX(ReferenceCard,,1)=Table1[[#This Row],[SAP No]]) * (INDEX(ReferenceCard,,2)=Table1[[#This Row],[Mould No]]), 0), 3),)</f>
        <v>BC28-0500-WNHP-R-BR</v>
      </c>
      <c r="H413">
        <v>0</v>
      </c>
      <c r="I413" cm="1">
        <f t="array" ref="I413">IFERROR(INDEX(ReferenceCard, MATCH(1, (INDEX(ReferenceCard,,1)=Table1[[#This Row],[SAP No]]) * (INDEX(ReferenceCard,,2)=Table1[[#This Row],[Mould No]]), 0), 4),)</f>
        <v>4</v>
      </c>
      <c r="J413" s="4" cm="1">
        <f t="array" ref="J413">IFERROR(INDEX(ReferenceCard, MATCH(1, (INDEX(ReferenceCard,,1)=Table1[[#This Row],[SAP No]]) * (INDEX(ReferenceCard,,2)=Table1[[#This Row],[Mould No]]), 0), 9),)</f>
        <v>45.6</v>
      </c>
      <c r="K413" s="4" cm="1">
        <f t="array" ref="K413">IFERROR(INDEX(ReferenceCard, MATCH(1, (INDEX(ReferenceCard,,1)=Table1[[#This Row],[SAP No]]) * (INDEX(ReferenceCard,,2)=Table1[[#This Row],[Mould No]]), 0), 7),)</f>
        <v>45.6</v>
      </c>
      <c r="L413">
        <v>1280</v>
      </c>
      <c r="M413">
        <v>0</v>
      </c>
      <c r="N413">
        <v>0</v>
      </c>
      <c r="O413">
        <v>0</v>
      </c>
      <c r="P413">
        <f>Table1[[#This Row],[Shot]]*Table1[[#This Row],[Cav]]</f>
        <v>5120</v>
      </c>
      <c r="Q413">
        <v>0</v>
      </c>
      <c r="R413">
        <f>(Table1[[#This Row],[Part Weight (gm)]]*Table1[[#This Row],[Finish Good]])/1000</f>
        <v>0</v>
      </c>
      <c r="S413">
        <v>0</v>
      </c>
      <c r="T413">
        <f>IF(Table1[[#This Row],[Qty Order]]="Sample","-",IF(Table1[[#This Row],[Qty Order]]="RTFN","-",Table1[[#This Row],[Qty Order]]-Table1[[#This Row],[Qty Accumulate]]))</f>
        <v>0</v>
      </c>
      <c r="U413">
        <f>((Table1[[#This Row],[Shift Output]]*Table1[[#This Row],[Part Weight (gm)]])/1000)+Table1[[#This Row],[Reject Startup (kg)]]+Table1[[#This Row],[Reject Purging (kg)]]+Table1[[#This Row],[Reject Preform (kg)]]</f>
        <v>233.47200000000001</v>
      </c>
      <c r="V413" s="37">
        <f>(Table1[[#This Row],[Gross Weight (gm)]]-Table1[[#This Row],[Part Weight (gm)]])*Table1[[#This Row],[Shift Output]]/1000</f>
        <v>0</v>
      </c>
      <c r="W413" s="3">
        <v>0</v>
      </c>
      <c r="X413" s="36">
        <f>Table1[[#This Row],[Reject Startup (kg)]]/Table1[[#This Row],[Material Used]]</f>
        <v>0</v>
      </c>
      <c r="Y413" s="3">
        <v>0</v>
      </c>
      <c r="Z413" s="36">
        <f>Table1[[#This Row],[Reject Prod (kg)]]/Table1[[#This Row],[Material Used]]</f>
        <v>0</v>
      </c>
      <c r="AA413" s="4">
        <v>33.726222991943303</v>
      </c>
      <c r="AB413" s="5">
        <v>12</v>
      </c>
      <c r="AC413" s="4" cm="1">
        <f t="array" ref="AC413">IFERROR(INDEX(ReferenceCard, MATCH(1, (INDEX(ReferenceCard,,1)=Table1[[#This Row],[SAP No]]) * (INDEX(ReferenceCard,,2)=Table1[[#This Row],[Mould No]]), 0), 9),)</f>
        <v>45.6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L413" s="2"/>
      <c r="AM413" s="2"/>
      <c r="AN413" s="3">
        <v>0</v>
      </c>
      <c r="AO413" s="3">
        <v>0</v>
      </c>
      <c r="AP41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4" spans="1:42" x14ac:dyDescent="0.35">
      <c r="A414" s="1">
        <v>46010</v>
      </c>
      <c r="B414">
        <v>1</v>
      </c>
      <c r="C414" t="s">
        <v>11</v>
      </c>
      <c r="D414" t="str" cm="1">
        <f t="array" ref="D414">IFERROR(INDEX(ReferenceCard, MATCH(1, (INDEX(ReferenceCard,,1)=Table1[[#This Row],[SAP No]]) * (INDEX(ReferenceCard,,2)=Table1[[#This Row],[Mould No]]), 0), 6),)</f>
        <v>rPET</v>
      </c>
      <c r="E414">
        <v>620994</v>
      </c>
      <c r="F414">
        <v>0</v>
      </c>
      <c r="G414" t="str" cm="1">
        <f t="array" ref="G414">IFERROR(INDEX(ReferenceCard, MATCH(1, (INDEX(ReferenceCard,,1)=Table1[[#This Row],[SAP No]]) * (INDEX(ReferenceCard,,2)=Table1[[#This Row],[Mould No]]), 0), 3),)</f>
        <v>JJ63-0400-SH-S-CL-rPET</v>
      </c>
      <c r="H414">
        <v>0</v>
      </c>
      <c r="I414" cm="1">
        <f t="array" ref="I414">IFERROR(INDEX(ReferenceCard, MATCH(1, (INDEX(ReferenceCard,,1)=Table1[[#This Row],[SAP No]]) * (INDEX(ReferenceCard,,2)=Table1[[#This Row],[Mould No]]), 0), 4),)</f>
        <v>4</v>
      </c>
      <c r="J414" s="4" cm="1">
        <f t="array" ref="J414">IFERROR(INDEX(ReferenceCard, MATCH(1, (INDEX(ReferenceCard,,1)=Table1[[#This Row],[SAP No]]) * (INDEX(ReferenceCard,,2)=Table1[[#This Row],[Mould No]]), 0), 9),)</f>
        <v>32.74</v>
      </c>
      <c r="K414" s="4" cm="1">
        <f t="array" ref="K414">IFERROR(INDEX(ReferenceCard, MATCH(1, (INDEX(ReferenceCard,,1)=Table1[[#This Row],[SAP No]]) * (INDEX(ReferenceCard,,2)=Table1[[#This Row],[Mould No]]), 0), 7),)</f>
        <v>33</v>
      </c>
      <c r="L414">
        <v>1920</v>
      </c>
      <c r="M414">
        <v>0</v>
      </c>
      <c r="N414">
        <v>0</v>
      </c>
      <c r="O414">
        <v>0</v>
      </c>
      <c r="P414">
        <f>Table1[[#This Row],[Shot]]*Table1[[#This Row],[Cav]]</f>
        <v>7680</v>
      </c>
      <c r="Q414">
        <v>0</v>
      </c>
      <c r="R414">
        <f>(Table1[[#This Row],[Part Weight (gm)]]*Table1[[#This Row],[Finish Good]])/1000</f>
        <v>0</v>
      </c>
      <c r="S414">
        <v>0</v>
      </c>
      <c r="T414">
        <f>IF(Table1[[#This Row],[Qty Order]]="Sample","-",IF(Table1[[#This Row],[Qty Order]]="RTFN","-",Table1[[#This Row],[Qty Order]]-Table1[[#This Row],[Qty Accumulate]]))</f>
        <v>0</v>
      </c>
      <c r="U414">
        <f>((Table1[[#This Row],[Shift Output]]*Table1[[#This Row],[Part Weight (gm)]])/1000)+Table1[[#This Row],[Reject Startup (kg)]]+Table1[[#This Row],[Reject Purging (kg)]]+Table1[[#This Row],[Reject Preform (kg)]]</f>
        <v>253.44</v>
      </c>
      <c r="V414" s="37">
        <f>(Table1[[#This Row],[Gross Weight (gm)]]-Table1[[#This Row],[Part Weight (gm)]])*Table1[[#This Row],[Shift Output]]/1000</f>
        <v>-1.9967999999999848</v>
      </c>
      <c r="W414" s="3">
        <v>0</v>
      </c>
      <c r="X414" s="36">
        <f>Table1[[#This Row],[Reject Startup (kg)]]/Table1[[#This Row],[Material Used]]</f>
        <v>0</v>
      </c>
      <c r="Y414" s="3">
        <v>0</v>
      </c>
      <c r="Z414" s="36">
        <f>Table1[[#This Row],[Reject Prod (kg)]]/Table1[[#This Row],[Material Used]]</f>
        <v>0</v>
      </c>
      <c r="AA414" s="4">
        <v>22.495927810668899</v>
      </c>
      <c r="AB414" s="5">
        <v>12</v>
      </c>
      <c r="AC414" s="4" cm="1">
        <f t="array" ref="AC414">IFERROR(INDEX(ReferenceCard, MATCH(1, (INDEX(ReferenceCard,,1)=Table1[[#This Row],[SAP No]]) * (INDEX(ReferenceCard,,2)=Table1[[#This Row],[Mould No]]), 0), 9),)</f>
        <v>32.74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L414" s="2"/>
      <c r="AM414" s="2"/>
      <c r="AN414" s="3">
        <v>0</v>
      </c>
      <c r="AO414" s="3">
        <v>0</v>
      </c>
      <c r="AP41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5" spans="1:42" x14ac:dyDescent="0.35">
      <c r="A415" s="1">
        <v>46010</v>
      </c>
      <c r="B415">
        <v>1</v>
      </c>
      <c r="C415" t="s">
        <v>14</v>
      </c>
      <c r="D415" t="str" cm="1">
        <f t="array" ref="D415">IFERROR(INDEX(ReferenceCard, MATCH(1, (INDEX(ReferenceCard,,1)=Table1[[#This Row],[SAP No]]) * (INDEX(ReferenceCard,,2)=Table1[[#This Row],[Mould No]]), 0), 6),)</f>
        <v>PET</v>
      </c>
      <c r="E415">
        <v>322444</v>
      </c>
      <c r="F415">
        <v>0</v>
      </c>
      <c r="G415" t="str" cm="1">
        <f t="array" ref="G415">IFERROR(INDEX(ReferenceCard, MATCH(1, (INDEX(ReferenceCard,,1)=Table1[[#This Row],[SAP No]]) * (INDEX(ReferenceCard,,2)=Table1[[#This Row],[Mould No]]), 0), 3),)</f>
        <v>JJ63-0400-RH-R-CL</v>
      </c>
      <c r="H415">
        <v>0</v>
      </c>
      <c r="I415" cm="1">
        <f t="array" ref="I415">IFERROR(INDEX(ReferenceCard, MATCH(1, (INDEX(ReferenceCard,,1)=Table1[[#This Row],[SAP No]]) * (INDEX(ReferenceCard,,2)=Table1[[#This Row],[Mould No]]), 0), 4),)</f>
        <v>4</v>
      </c>
      <c r="J415" s="4" cm="1">
        <f t="array" ref="J415">IFERROR(INDEX(ReferenceCard, MATCH(1, (INDEX(ReferenceCard,,1)=Table1[[#This Row],[SAP No]]) * (INDEX(ReferenceCard,,2)=Table1[[#This Row],[Mould No]]), 0), 9),)</f>
        <v>32.74</v>
      </c>
      <c r="K415" s="4" cm="1">
        <f t="array" ref="K415">IFERROR(INDEX(ReferenceCard, MATCH(1, (INDEX(ReferenceCard,,1)=Table1[[#This Row],[SAP No]]) * (INDEX(ReferenceCard,,2)=Table1[[#This Row],[Mould No]]), 0), 7),)</f>
        <v>34.5</v>
      </c>
      <c r="L415">
        <v>1959</v>
      </c>
      <c r="M415">
        <v>0</v>
      </c>
      <c r="N415">
        <v>0</v>
      </c>
      <c r="O415">
        <v>0</v>
      </c>
      <c r="P415">
        <f>Table1[[#This Row],[Shot]]*Table1[[#This Row],[Cav]]</f>
        <v>7836</v>
      </c>
      <c r="Q415">
        <v>0</v>
      </c>
      <c r="R415">
        <f>(Table1[[#This Row],[Part Weight (gm)]]*Table1[[#This Row],[Finish Good]])/1000</f>
        <v>0</v>
      </c>
      <c r="S415">
        <v>0</v>
      </c>
      <c r="T415">
        <f>IF(Table1[[#This Row],[Qty Order]]="Sample","-",IF(Table1[[#This Row],[Qty Order]]="RTFN","-",Table1[[#This Row],[Qty Order]]-Table1[[#This Row],[Qty Accumulate]]))</f>
        <v>0</v>
      </c>
      <c r="U415">
        <f>((Table1[[#This Row],[Shift Output]]*Table1[[#This Row],[Part Weight (gm)]])/1000)+Table1[[#This Row],[Reject Startup (kg)]]+Table1[[#This Row],[Reject Purging (kg)]]+Table1[[#This Row],[Reject Preform (kg)]]</f>
        <v>270.34199999999998</v>
      </c>
      <c r="V415" s="37">
        <f>(Table1[[#This Row],[Gross Weight (gm)]]-Table1[[#This Row],[Part Weight (gm)]])*Table1[[#This Row],[Shift Output]]/1000</f>
        <v>-13.791359999999985</v>
      </c>
      <c r="W415" s="3">
        <v>0</v>
      </c>
      <c r="X415" s="36">
        <f>Table1[[#This Row],[Reject Startup (kg)]]/Table1[[#This Row],[Material Used]]</f>
        <v>0</v>
      </c>
      <c r="Y415" s="3">
        <v>0</v>
      </c>
      <c r="Z415" s="36">
        <f>Table1[[#This Row],[Reject Prod (kg)]]/Table1[[#This Row],[Material Used]]</f>
        <v>0</v>
      </c>
      <c r="AA415" s="4">
        <v>22.05122756958</v>
      </c>
      <c r="AB415" s="5">
        <v>12</v>
      </c>
      <c r="AC415" s="4" cm="1">
        <f t="array" ref="AC415">IFERROR(INDEX(ReferenceCard, MATCH(1, (INDEX(ReferenceCard,,1)=Table1[[#This Row],[SAP No]]) * (INDEX(ReferenceCard,,2)=Table1[[#This Row],[Mould No]]), 0), 9),)</f>
        <v>32.74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L415" s="2"/>
      <c r="AM415" s="2"/>
      <c r="AN415" s="3">
        <v>0</v>
      </c>
      <c r="AO415" s="3">
        <v>0</v>
      </c>
      <c r="AP41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6" spans="1:42" x14ac:dyDescent="0.35">
      <c r="A416" s="1">
        <v>46010</v>
      </c>
      <c r="B416">
        <v>1</v>
      </c>
      <c r="C416" t="s">
        <v>16</v>
      </c>
      <c r="D416" t="str" cm="1">
        <f t="array" ref="D416">IFERROR(INDEX(ReferenceCard, MATCH(1, (INDEX(ReferenceCard,,1)=Table1[[#This Row],[SAP No]]) * (INDEX(ReferenceCard,,2)=Table1[[#This Row],[Mould No]]), 0), 6),)</f>
        <v>PET</v>
      </c>
      <c r="E416">
        <v>324206</v>
      </c>
      <c r="F416">
        <v>0</v>
      </c>
      <c r="G416" t="str" cm="1">
        <f t="array" ref="G416">IFERROR(INDEX(ReferenceCard, MATCH(1, (INDEX(ReferenceCard,,1)=Table1[[#This Row],[SAP No]]) * (INDEX(ReferenceCard,,2)=Table1[[#This Row],[Mould No]]), 0), 3),)</f>
        <v>BX38-1000-HC-S-CL</v>
      </c>
      <c r="H416">
        <v>0</v>
      </c>
      <c r="I416" cm="1">
        <f t="array" ref="I416">IFERROR(INDEX(ReferenceCard, MATCH(1, (INDEX(ReferenceCard,,1)=Table1[[#This Row],[SAP No]]) * (INDEX(ReferenceCard,,2)=Table1[[#This Row],[Mould No]]), 0), 4),)</f>
        <v>4</v>
      </c>
      <c r="J416" s="4" cm="1">
        <f t="array" ref="J416">IFERROR(INDEX(ReferenceCard, MATCH(1, (INDEX(ReferenceCard,,1)=Table1[[#This Row],[SAP No]]) * (INDEX(ReferenceCard,,2)=Table1[[#This Row],[Mould No]]), 0), 9),)</f>
        <v>49</v>
      </c>
      <c r="K416" s="4" cm="1">
        <f t="array" ref="K416">IFERROR(INDEX(ReferenceCard, MATCH(1, (INDEX(ReferenceCard,,1)=Table1[[#This Row],[SAP No]]) * (INDEX(ReferenceCard,,2)=Table1[[#This Row],[Mould No]]), 0), 7),)</f>
        <v>48</v>
      </c>
      <c r="L416">
        <v>0</v>
      </c>
      <c r="M416">
        <v>0</v>
      </c>
      <c r="N416">
        <v>0</v>
      </c>
      <c r="O416">
        <v>0</v>
      </c>
      <c r="P416">
        <f>Table1[[#This Row],[Shot]]*Table1[[#This Row],[Cav]]</f>
        <v>0</v>
      </c>
      <c r="Q416">
        <v>0</v>
      </c>
      <c r="R416">
        <f>(Table1[[#This Row],[Part Weight (gm)]]*Table1[[#This Row],[Finish Good]])/1000</f>
        <v>0</v>
      </c>
      <c r="S416">
        <v>0</v>
      </c>
      <c r="T416">
        <f>IF(Table1[[#This Row],[Qty Order]]="Sample","-",IF(Table1[[#This Row],[Qty Order]]="RTFN","-",Table1[[#This Row],[Qty Order]]-Table1[[#This Row],[Qty Accumulate]]))</f>
        <v>0</v>
      </c>
      <c r="U416">
        <f>((Table1[[#This Row],[Shift Output]]*Table1[[#This Row],[Part Weight (gm)]])/1000)+Table1[[#This Row],[Reject Startup (kg)]]+Table1[[#This Row],[Reject Purging (kg)]]+Table1[[#This Row],[Reject Preform (kg)]]</f>
        <v>0</v>
      </c>
      <c r="V416" s="37">
        <f>(Table1[[#This Row],[Gross Weight (gm)]]-Table1[[#This Row],[Part Weight (gm)]])*Table1[[#This Row],[Shift Output]]/1000</f>
        <v>0</v>
      </c>
      <c r="W416" s="3">
        <v>0</v>
      </c>
      <c r="X416" s="36" t="e">
        <f>Table1[[#This Row],[Reject Startup (kg)]]/Table1[[#This Row],[Material Used]]</f>
        <v>#DIV/0!</v>
      </c>
      <c r="Y416" s="3">
        <v>0</v>
      </c>
      <c r="Z416" s="36" t="e">
        <f>Table1[[#This Row],[Reject Prod (kg)]]/Table1[[#This Row],[Material Used]]</f>
        <v>#DIV/0!</v>
      </c>
      <c r="AA416" s="4">
        <v>0</v>
      </c>
      <c r="AB416" s="5">
        <v>0</v>
      </c>
      <c r="AC416" s="4" cm="1">
        <f t="array" ref="AC416">IFERROR(INDEX(ReferenceCard, MATCH(1, (INDEX(ReferenceCard,,1)=Table1[[#This Row],[SAP No]]) * (INDEX(ReferenceCard,,2)=Table1[[#This Row],[Mould No]]), 0), 9),)</f>
        <v>49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12</v>
      </c>
      <c r="AJ416" s="5">
        <v>0</v>
      </c>
      <c r="AL416" s="2"/>
      <c r="AM416" s="2"/>
      <c r="AN416" s="3">
        <v>0</v>
      </c>
      <c r="AO416" s="3">
        <v>0</v>
      </c>
      <c r="AP41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7" spans="1:42" x14ac:dyDescent="0.35">
      <c r="A417" s="1">
        <v>46010</v>
      </c>
      <c r="B417">
        <v>1</v>
      </c>
      <c r="C417" t="s">
        <v>23</v>
      </c>
      <c r="D417" t="str" cm="1">
        <f t="array" ref="D417">IFERROR(INDEX(ReferenceCard, MATCH(1, (INDEX(ReferenceCard,,1)=Table1[[#This Row],[SAP No]]) * (INDEX(ReferenceCard,,2)=Table1[[#This Row],[Mould No]]), 0), 6),)</f>
        <v>PPSB520Y</v>
      </c>
      <c r="E417">
        <v>586276</v>
      </c>
      <c r="F417">
        <v>2</v>
      </c>
      <c r="G417" t="str" cm="1">
        <f t="array" ref="G417">IFERROR(INDEX(ReferenceCard, MATCH(1, (INDEX(ReferenceCard,,1)=Table1[[#This Row],[SAP No]]) * (INDEX(ReferenceCard,,2)=Table1[[#This Row],[Mould No]]), 0), 3),)</f>
        <v>BC28-0056-D-APH-LEB-604001-MOLD2</v>
      </c>
      <c r="H417">
        <v>0</v>
      </c>
      <c r="I417" cm="1">
        <f t="array" ref="I417">IFERROR(INDEX(ReferenceCard, MATCH(1, (INDEX(ReferenceCard,,1)=Table1[[#This Row],[SAP No]]) * (INDEX(ReferenceCard,,2)=Table1[[#This Row],[Mould No]]), 0), 4),)</f>
        <v>6</v>
      </c>
      <c r="J417" s="4" cm="1">
        <f t="array" ref="J417">IFERROR(INDEX(ReferenceCard, MATCH(1, (INDEX(ReferenceCard,,1)=Table1[[#This Row],[SAP No]]) * (INDEX(ReferenceCard,,2)=Table1[[#This Row],[Mould No]]), 0), 9),)</f>
        <v>12.3</v>
      </c>
      <c r="K417" s="4" cm="1">
        <f t="array" ref="K417">IFERROR(INDEX(ReferenceCard, MATCH(1, (INDEX(ReferenceCard,,1)=Table1[[#This Row],[SAP No]]) * (INDEX(ReferenceCard,,2)=Table1[[#This Row],[Mould No]]), 0), 7),)</f>
        <v>12.3</v>
      </c>
      <c r="L417">
        <v>2222</v>
      </c>
      <c r="M417">
        <v>0</v>
      </c>
      <c r="N417">
        <v>0</v>
      </c>
      <c r="O417">
        <v>0</v>
      </c>
      <c r="P417">
        <f>Table1[[#This Row],[Shot]]*Table1[[#This Row],[Cav]]</f>
        <v>13332</v>
      </c>
      <c r="Q417">
        <v>0</v>
      </c>
      <c r="R417">
        <f>(Table1[[#This Row],[Part Weight (gm)]]*Table1[[#This Row],[Finish Good]])/1000</f>
        <v>0</v>
      </c>
      <c r="S417">
        <v>0</v>
      </c>
      <c r="T417">
        <f>IF(Table1[[#This Row],[Qty Order]]="Sample","-",IF(Table1[[#This Row],[Qty Order]]="RTFN","-",Table1[[#This Row],[Qty Order]]-Table1[[#This Row],[Qty Accumulate]]))</f>
        <v>0</v>
      </c>
      <c r="U417">
        <f>((Table1[[#This Row],[Shift Output]]*Table1[[#This Row],[Part Weight (gm)]])/1000)+Table1[[#This Row],[Reject Startup (kg)]]+Table1[[#This Row],[Reject Purging (kg)]]+Table1[[#This Row],[Reject Preform (kg)]]</f>
        <v>163.9836</v>
      </c>
      <c r="V417" s="37">
        <f>(Table1[[#This Row],[Gross Weight (gm)]]-Table1[[#This Row],[Part Weight (gm)]])*Table1[[#This Row],[Shift Output]]/1000</f>
        <v>0</v>
      </c>
      <c r="W417" s="3">
        <v>0</v>
      </c>
      <c r="X417" s="36">
        <f>Table1[[#This Row],[Reject Startup (kg)]]/Table1[[#This Row],[Material Used]]</f>
        <v>0</v>
      </c>
      <c r="Y417" s="3">
        <v>0</v>
      </c>
      <c r="Z417" s="36">
        <f>Table1[[#This Row],[Reject Prod (kg)]]/Table1[[#This Row],[Material Used]]</f>
        <v>0</v>
      </c>
      <c r="AA417" s="4">
        <v>25.5404739379882</v>
      </c>
      <c r="AB417" s="5">
        <v>11.99</v>
      </c>
      <c r="AC417" s="4" cm="1">
        <f t="array" ref="AC417">IFERROR(INDEX(ReferenceCard, MATCH(1, (INDEX(ReferenceCard,,1)=Table1[[#This Row],[SAP No]]) * (INDEX(ReferenceCard,,2)=Table1[[#This Row],[Mould No]]), 0), 9),)</f>
        <v>12.3</v>
      </c>
      <c r="AD417" s="5">
        <v>0</v>
      </c>
      <c r="AE417" s="5">
        <v>0</v>
      </c>
      <c r="AF417" s="5">
        <v>0</v>
      </c>
      <c r="AG417" s="5">
        <v>0</v>
      </c>
      <c r="AH417" s="5">
        <v>0.01</v>
      </c>
      <c r="AI417" s="5">
        <v>0</v>
      </c>
      <c r="AJ417" s="5">
        <v>0</v>
      </c>
      <c r="AL417" s="2"/>
      <c r="AM417" s="2"/>
      <c r="AN417" s="3">
        <v>0</v>
      </c>
      <c r="AO417" s="3">
        <v>0</v>
      </c>
      <c r="AP41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8" spans="1:42" x14ac:dyDescent="0.35">
      <c r="A418" s="1">
        <v>46010</v>
      </c>
      <c r="B418">
        <v>1</v>
      </c>
      <c r="C418" t="s">
        <v>25</v>
      </c>
      <c r="D418" t="str" cm="1">
        <f t="array" ref="D418">IFERROR(INDEX(ReferenceCard, MATCH(1, (INDEX(ReferenceCard,,1)=Table1[[#This Row],[SAP No]]) * (INDEX(ReferenceCard,,2)=Table1[[#This Row],[Mould No]]), 0), 6),)</f>
        <v>PET</v>
      </c>
      <c r="E418">
        <v>323133</v>
      </c>
      <c r="F418">
        <v>0</v>
      </c>
      <c r="G418" t="str" cm="1">
        <f t="array" ref="G418">IFERROR(INDEX(ReferenceCard, MATCH(1, (INDEX(ReferenceCard,,1)=Table1[[#This Row],[SAP No]]) * (INDEX(ReferenceCard,,2)=Table1[[#This Row],[Mould No]]), 0), 3),)</f>
        <v>BX38-2000-RH-R-CL(GREEN) (ASEM)</v>
      </c>
      <c r="H418">
        <v>0</v>
      </c>
      <c r="I418" cm="1">
        <f t="array" ref="I418">IFERROR(INDEX(ReferenceCard, MATCH(1, (INDEX(ReferenceCard,,1)=Table1[[#This Row],[SAP No]]) * (INDEX(ReferenceCard,,2)=Table1[[#This Row],[Mould No]]), 0), 4),)</f>
        <v>4</v>
      </c>
      <c r="J418" s="4" cm="1">
        <f t="array" ref="J418">IFERROR(INDEX(ReferenceCard, MATCH(1, (INDEX(ReferenceCard,,1)=Table1[[#This Row],[SAP No]]) * (INDEX(ReferenceCard,,2)=Table1[[#This Row],[Mould No]]), 0), 9),)</f>
        <v>77</v>
      </c>
      <c r="K418" s="4" cm="1">
        <f t="array" ref="K418">IFERROR(INDEX(ReferenceCard, MATCH(1, (INDEX(ReferenceCard,,1)=Table1[[#This Row],[SAP No]]) * (INDEX(ReferenceCard,,2)=Table1[[#This Row],[Mould No]]), 0), 7),)</f>
        <v>77</v>
      </c>
      <c r="L418">
        <v>0</v>
      </c>
      <c r="M418">
        <v>0</v>
      </c>
      <c r="N418">
        <v>0</v>
      </c>
      <c r="O418">
        <v>0</v>
      </c>
      <c r="P418">
        <f>Table1[[#This Row],[Shot]]*Table1[[#This Row],[Cav]]</f>
        <v>0</v>
      </c>
      <c r="Q418">
        <v>0</v>
      </c>
      <c r="R418">
        <f>(Table1[[#This Row],[Part Weight (gm)]]*Table1[[#This Row],[Finish Good]])/1000</f>
        <v>0</v>
      </c>
      <c r="S418">
        <v>0</v>
      </c>
      <c r="T418">
        <f>IF(Table1[[#This Row],[Qty Order]]="Sample","-",IF(Table1[[#This Row],[Qty Order]]="RTFN","-",Table1[[#This Row],[Qty Order]]-Table1[[#This Row],[Qty Accumulate]]))</f>
        <v>0</v>
      </c>
      <c r="U418">
        <f>((Table1[[#This Row],[Shift Output]]*Table1[[#This Row],[Part Weight (gm)]])/1000)+Table1[[#This Row],[Reject Startup (kg)]]+Table1[[#This Row],[Reject Purging (kg)]]+Table1[[#This Row],[Reject Preform (kg)]]</f>
        <v>0</v>
      </c>
      <c r="V418" s="37">
        <f>(Table1[[#This Row],[Gross Weight (gm)]]-Table1[[#This Row],[Part Weight (gm)]])*Table1[[#This Row],[Shift Output]]/1000</f>
        <v>0</v>
      </c>
      <c r="W418" s="3">
        <v>0</v>
      </c>
      <c r="X418" s="36" t="e">
        <f>Table1[[#This Row],[Reject Startup (kg)]]/Table1[[#This Row],[Material Used]]</f>
        <v>#DIV/0!</v>
      </c>
      <c r="Y418" s="3">
        <v>0</v>
      </c>
      <c r="Z418" s="36" t="e">
        <f>Table1[[#This Row],[Reject Prod (kg)]]/Table1[[#This Row],[Material Used]]</f>
        <v>#DIV/0!</v>
      </c>
      <c r="AA418" s="4">
        <v>0</v>
      </c>
      <c r="AB418" s="5">
        <v>0</v>
      </c>
      <c r="AC418" s="4" cm="1">
        <f t="array" ref="AC418">IFERROR(INDEX(ReferenceCard, MATCH(1, (INDEX(ReferenceCard,,1)=Table1[[#This Row],[SAP No]]) * (INDEX(ReferenceCard,,2)=Table1[[#This Row],[Mould No]]), 0), 9),)</f>
        <v>77</v>
      </c>
      <c r="AD418" s="5">
        <v>0</v>
      </c>
      <c r="AE418" s="5">
        <v>0</v>
      </c>
      <c r="AF418" s="5">
        <v>0</v>
      </c>
      <c r="AG418" s="5">
        <v>12</v>
      </c>
      <c r="AH418" s="5">
        <v>0</v>
      </c>
      <c r="AI418" s="5">
        <v>0</v>
      </c>
      <c r="AJ418" s="5">
        <v>0</v>
      </c>
      <c r="AK418" t="s">
        <v>81</v>
      </c>
      <c r="AL418" s="2"/>
      <c r="AM418" s="2"/>
      <c r="AN418" s="3">
        <v>0</v>
      </c>
      <c r="AO418" s="3">
        <v>0</v>
      </c>
      <c r="AP41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19" spans="1:42" x14ac:dyDescent="0.35">
      <c r="A419" s="1">
        <v>46010</v>
      </c>
      <c r="B419">
        <v>1</v>
      </c>
      <c r="C419" t="s">
        <v>27</v>
      </c>
      <c r="D419" t="str" cm="1">
        <f t="array" ref="D419">IFERROR(INDEX(ReferenceCard, MATCH(1, (INDEX(ReferenceCard,,1)=Table1[[#This Row],[SAP No]]) * (INDEX(ReferenceCard,,2)=Table1[[#This Row],[Mould No]]), 0), 6),)</f>
        <v>PPSB520Y</v>
      </c>
      <c r="E419">
        <v>552181</v>
      </c>
      <c r="F419">
        <v>4</v>
      </c>
      <c r="G419" t="str" cm="1">
        <f t="array" ref="G419">IFERROR(INDEX(ReferenceCard, MATCH(1, (INDEX(ReferenceCard,,1)=Table1[[#This Row],[SAP No]]) * (INDEX(ReferenceCard,,2)=Table1[[#This Row],[Mould No]]), 0), 3),)</f>
        <v>BC28-0090-D-APH-5180-3538-PP-6 NOTCHES-MOLD4</v>
      </c>
      <c r="H419">
        <v>0</v>
      </c>
      <c r="I419" cm="1">
        <f t="array" ref="I419">IFERROR(INDEX(ReferenceCard, MATCH(1, (INDEX(ReferenceCard,,1)=Table1[[#This Row],[SAP No]]) * (INDEX(ReferenceCard,,2)=Table1[[#This Row],[Mould No]]), 0), 4),)</f>
        <v>6</v>
      </c>
      <c r="J419" s="4" cm="1">
        <f t="array" ref="J419">IFERROR(INDEX(ReferenceCard, MATCH(1, (INDEX(ReferenceCard,,1)=Table1[[#This Row],[SAP No]]) * (INDEX(ReferenceCard,,2)=Table1[[#This Row],[Mould No]]), 0), 9),)</f>
        <v>18.8</v>
      </c>
      <c r="K419" s="4" cm="1">
        <f t="array" ref="K419">IFERROR(INDEX(ReferenceCard, MATCH(1, (INDEX(ReferenceCard,,1)=Table1[[#This Row],[SAP No]]) * (INDEX(ReferenceCard,,2)=Table1[[#This Row],[Mould No]]), 0), 7),)</f>
        <v>18.8</v>
      </c>
      <c r="L419">
        <v>726</v>
      </c>
      <c r="M419">
        <v>0</v>
      </c>
      <c r="N419">
        <v>0</v>
      </c>
      <c r="O419">
        <v>0</v>
      </c>
      <c r="P419">
        <f>Table1[[#This Row],[Shot]]*Table1[[#This Row],[Cav]]</f>
        <v>4356</v>
      </c>
      <c r="Q419">
        <v>0</v>
      </c>
      <c r="R419">
        <f>(Table1[[#This Row],[Part Weight (gm)]]*Table1[[#This Row],[Finish Good]])/1000</f>
        <v>0</v>
      </c>
      <c r="S419">
        <v>0</v>
      </c>
      <c r="T419">
        <f>IF(Table1[[#This Row],[Qty Order]]="Sample","-",IF(Table1[[#This Row],[Qty Order]]="RTFN","-",Table1[[#This Row],[Qty Order]]-Table1[[#This Row],[Qty Accumulate]]))</f>
        <v>0</v>
      </c>
      <c r="U419">
        <f>((Table1[[#This Row],[Shift Output]]*Table1[[#This Row],[Part Weight (gm)]])/1000)+Table1[[#This Row],[Reject Startup (kg)]]+Table1[[#This Row],[Reject Purging (kg)]]+Table1[[#This Row],[Reject Preform (kg)]]</f>
        <v>81.892800000000008</v>
      </c>
      <c r="V419" s="37">
        <f>(Table1[[#This Row],[Gross Weight (gm)]]-Table1[[#This Row],[Part Weight (gm)]])*Table1[[#This Row],[Shift Output]]/1000</f>
        <v>0</v>
      </c>
      <c r="W419" s="3">
        <v>0</v>
      </c>
      <c r="X419" s="36">
        <f>Table1[[#This Row],[Reject Startup (kg)]]/Table1[[#This Row],[Material Used]]</f>
        <v>0</v>
      </c>
      <c r="Y419" s="3">
        <v>0</v>
      </c>
      <c r="Z419" s="36">
        <f>Table1[[#This Row],[Reject Prod (kg)]]/Table1[[#This Row],[Material Used]]</f>
        <v>0</v>
      </c>
      <c r="AA419" s="4">
        <v>0</v>
      </c>
      <c r="AB419" s="5">
        <v>0</v>
      </c>
      <c r="AC419" s="4" cm="1">
        <f t="array" ref="AC419">IFERROR(INDEX(ReferenceCard, MATCH(1, (INDEX(ReferenceCard,,1)=Table1[[#This Row],[SAP No]]) * (INDEX(ReferenceCard,,2)=Table1[[#This Row],[Mould No]]), 0), 9),)</f>
        <v>18.8</v>
      </c>
      <c r="AD419" s="5">
        <v>0</v>
      </c>
      <c r="AE419" s="5">
        <v>0</v>
      </c>
      <c r="AF419" s="5">
        <v>0</v>
      </c>
      <c r="AG419" s="5">
        <v>12</v>
      </c>
      <c r="AH419" s="5">
        <v>0</v>
      </c>
      <c r="AI419" s="5">
        <v>0</v>
      </c>
      <c r="AJ419" s="5">
        <v>0</v>
      </c>
      <c r="AK419" t="s">
        <v>93</v>
      </c>
      <c r="AL419" s="2"/>
      <c r="AM419" s="2"/>
      <c r="AN419" s="3">
        <v>0</v>
      </c>
      <c r="AO419" s="3">
        <v>0</v>
      </c>
      <c r="AP41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0" spans="1:42" x14ac:dyDescent="0.35">
      <c r="A420" s="1">
        <v>46010</v>
      </c>
      <c r="B420">
        <v>1</v>
      </c>
      <c r="C420" t="s">
        <v>29</v>
      </c>
      <c r="D420" t="str" cm="1">
        <f t="array" ref="D420">IFERROR(INDEX(ReferenceCard, MATCH(1, (INDEX(ReferenceCard,,1)=Table1[[#This Row],[SAP No]]) * (INDEX(ReferenceCard,,2)=Table1[[#This Row],[Mould No]]), 0), 6),)</f>
        <v>PET</v>
      </c>
      <c r="E420">
        <v>620599</v>
      </c>
      <c r="F420">
        <v>0</v>
      </c>
      <c r="G420" t="str" cm="1">
        <f t="array" ref="G420">IFERROR(INDEX(ReferenceCard, MATCH(1, (INDEX(ReferenceCard,,1)=Table1[[#This Row],[SAP No]]) * (INDEX(ReferenceCard,,2)=Table1[[#This Row],[Mould No]]), 0), 3),)</f>
        <v>BC28-0750-K4-R-CL (55g)</v>
      </c>
      <c r="H420">
        <v>0</v>
      </c>
      <c r="I420" cm="1">
        <f t="array" ref="I420">IFERROR(INDEX(ReferenceCard, MATCH(1, (INDEX(ReferenceCard,,1)=Table1[[#This Row],[SAP No]]) * (INDEX(ReferenceCard,,2)=Table1[[#This Row],[Mould No]]), 0), 4),)</f>
        <v>4</v>
      </c>
      <c r="J420" s="4" cm="1">
        <f t="array" ref="J420">IFERROR(INDEX(ReferenceCard, MATCH(1, (INDEX(ReferenceCard,,1)=Table1[[#This Row],[SAP No]]) * (INDEX(ReferenceCard,,2)=Table1[[#This Row],[Mould No]]), 0), 9),)</f>
        <v>55</v>
      </c>
      <c r="K420" s="4" cm="1">
        <f t="array" ref="K420">IFERROR(INDEX(ReferenceCard, MATCH(1, (INDEX(ReferenceCard,,1)=Table1[[#This Row],[SAP No]]) * (INDEX(ReferenceCard,,2)=Table1[[#This Row],[Mould No]]), 0), 7),)</f>
        <v>55</v>
      </c>
      <c r="L420">
        <v>1546</v>
      </c>
      <c r="M420">
        <v>0</v>
      </c>
      <c r="N420">
        <v>0</v>
      </c>
      <c r="O420">
        <v>0</v>
      </c>
      <c r="P420">
        <f>Table1[[#This Row],[Shot]]*Table1[[#This Row],[Cav]]</f>
        <v>6184</v>
      </c>
      <c r="Q420">
        <v>0</v>
      </c>
      <c r="R420">
        <f>(Table1[[#This Row],[Part Weight (gm)]]*Table1[[#This Row],[Finish Good]])/1000</f>
        <v>0</v>
      </c>
      <c r="S420">
        <v>0</v>
      </c>
      <c r="T420">
        <f>IF(Table1[[#This Row],[Qty Order]]="Sample","-",IF(Table1[[#This Row],[Qty Order]]="RTFN","-",Table1[[#This Row],[Qty Order]]-Table1[[#This Row],[Qty Accumulate]]))</f>
        <v>0</v>
      </c>
      <c r="U420">
        <f>((Table1[[#This Row],[Shift Output]]*Table1[[#This Row],[Part Weight (gm)]])/1000)+Table1[[#This Row],[Reject Startup (kg)]]+Table1[[#This Row],[Reject Purging (kg)]]+Table1[[#This Row],[Reject Preform (kg)]]</f>
        <v>340.12</v>
      </c>
      <c r="V420" s="37">
        <f>(Table1[[#This Row],[Gross Weight (gm)]]-Table1[[#This Row],[Part Weight (gm)]])*Table1[[#This Row],[Shift Output]]/1000</f>
        <v>0</v>
      </c>
      <c r="W420" s="3">
        <v>0</v>
      </c>
      <c r="X420" s="36">
        <f>Table1[[#This Row],[Reject Startup (kg)]]/Table1[[#This Row],[Material Used]]</f>
        <v>0</v>
      </c>
      <c r="Y420" s="3">
        <v>0</v>
      </c>
      <c r="Z420" s="36">
        <f>Table1[[#This Row],[Reject Prod (kg)]]/Table1[[#This Row],[Material Used]]</f>
        <v>0</v>
      </c>
      <c r="AA420" s="4">
        <v>27.938348770141602</v>
      </c>
      <c r="AB420" s="5">
        <v>12</v>
      </c>
      <c r="AC420" s="4" cm="1">
        <f t="array" ref="AC420">IFERROR(INDEX(ReferenceCard, MATCH(1, (INDEX(ReferenceCard,,1)=Table1[[#This Row],[SAP No]]) * (INDEX(ReferenceCard,,2)=Table1[[#This Row],[Mould No]]), 0), 9),)</f>
        <v>55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L420" s="2"/>
      <c r="AM420" s="2"/>
      <c r="AN420" s="3">
        <v>0</v>
      </c>
      <c r="AO420" s="3">
        <v>0</v>
      </c>
      <c r="AP42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1" spans="1:42" x14ac:dyDescent="0.35">
      <c r="A421" s="1">
        <v>46010</v>
      </c>
      <c r="B421">
        <v>1</v>
      </c>
      <c r="C421" t="s">
        <v>31</v>
      </c>
      <c r="D421" t="str" cm="1">
        <f t="array" ref="D421">IFERROR(INDEX(ReferenceCard, MATCH(1, (INDEX(ReferenceCard,,1)=Table1[[#This Row],[SAP No]]) * (INDEX(ReferenceCard,,2)=Table1[[#This Row],[Mould No]]), 0), 6),)</f>
        <v>PPSB520Y</v>
      </c>
      <c r="E421">
        <v>586276</v>
      </c>
      <c r="F421">
        <v>4</v>
      </c>
      <c r="G421" t="str" cm="1">
        <f t="array" ref="G421">IFERROR(INDEX(ReferenceCard, MATCH(1, (INDEX(ReferenceCard,,1)=Table1[[#This Row],[SAP No]]) * (INDEX(ReferenceCard,,2)=Table1[[#This Row],[Mould No]]), 0), 3),)</f>
        <v>BC28-0056-D-APH-LEB-604001-MOLD4</v>
      </c>
      <c r="H421">
        <v>0</v>
      </c>
      <c r="I421" cm="1">
        <f t="array" ref="I421">IFERROR(INDEX(ReferenceCard, MATCH(1, (INDEX(ReferenceCard,,1)=Table1[[#This Row],[SAP No]]) * (INDEX(ReferenceCard,,2)=Table1[[#This Row],[Mould No]]), 0), 4),)</f>
        <v>6</v>
      </c>
      <c r="J421" s="4" cm="1">
        <f t="array" ref="J421">IFERROR(INDEX(ReferenceCard, MATCH(1, (INDEX(ReferenceCard,,1)=Table1[[#This Row],[SAP No]]) * (INDEX(ReferenceCard,,2)=Table1[[#This Row],[Mould No]]), 0), 9),)</f>
        <v>12.3</v>
      </c>
      <c r="K421" s="4" cm="1">
        <f t="array" ref="K421">IFERROR(INDEX(ReferenceCard, MATCH(1, (INDEX(ReferenceCard,,1)=Table1[[#This Row],[SAP No]]) * (INDEX(ReferenceCard,,2)=Table1[[#This Row],[Mould No]]), 0), 7),)</f>
        <v>12.3</v>
      </c>
      <c r="L421">
        <v>1652</v>
      </c>
      <c r="M421">
        <v>0</v>
      </c>
      <c r="N421">
        <v>0</v>
      </c>
      <c r="O421">
        <v>0</v>
      </c>
      <c r="P421">
        <f>Table1[[#This Row],[Shot]]*Table1[[#This Row],[Cav]]</f>
        <v>9912</v>
      </c>
      <c r="Q421">
        <v>0</v>
      </c>
      <c r="R421">
        <f>(Table1[[#This Row],[Part Weight (gm)]]*Table1[[#This Row],[Finish Good]])/1000</f>
        <v>0</v>
      </c>
      <c r="S421">
        <v>0</v>
      </c>
      <c r="T421">
        <f>IF(Table1[[#This Row],[Qty Order]]="Sample","-",IF(Table1[[#This Row],[Qty Order]]="RTFN","-",Table1[[#This Row],[Qty Order]]-Table1[[#This Row],[Qty Accumulate]]))</f>
        <v>0</v>
      </c>
      <c r="U421">
        <f>((Table1[[#This Row],[Shift Output]]*Table1[[#This Row],[Part Weight (gm)]])/1000)+Table1[[#This Row],[Reject Startup (kg)]]+Table1[[#This Row],[Reject Purging (kg)]]+Table1[[#This Row],[Reject Preform (kg)]]</f>
        <v>121.91760000000001</v>
      </c>
      <c r="V421" s="37">
        <f>(Table1[[#This Row],[Gross Weight (gm)]]-Table1[[#This Row],[Part Weight (gm)]])*Table1[[#This Row],[Shift Output]]/1000</f>
        <v>0</v>
      </c>
      <c r="W421" s="3">
        <v>0</v>
      </c>
      <c r="X421" s="36">
        <f>Table1[[#This Row],[Reject Startup (kg)]]/Table1[[#This Row],[Material Used]]</f>
        <v>0</v>
      </c>
      <c r="Y421" s="3">
        <v>0</v>
      </c>
      <c r="Z421" s="36">
        <f>Table1[[#This Row],[Reject Prod (kg)]]/Table1[[#This Row],[Material Used]]</f>
        <v>0</v>
      </c>
      <c r="AA421" s="4">
        <v>26.1437587738037</v>
      </c>
      <c r="AB421" s="5">
        <v>12</v>
      </c>
      <c r="AC421" s="4" cm="1">
        <f t="array" ref="AC421">IFERROR(INDEX(ReferenceCard, MATCH(1, (INDEX(ReferenceCard,,1)=Table1[[#This Row],[SAP No]]) * (INDEX(ReferenceCard,,2)=Table1[[#This Row],[Mould No]]), 0), 9),)</f>
        <v>12.3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L421" s="2"/>
      <c r="AM421" s="2"/>
      <c r="AN421" s="3">
        <v>0</v>
      </c>
      <c r="AO421" s="3">
        <v>0</v>
      </c>
      <c r="AP42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2" spans="1:42" x14ac:dyDescent="0.35">
      <c r="A422" s="1">
        <v>46010</v>
      </c>
      <c r="B422">
        <v>1</v>
      </c>
      <c r="C422" t="s">
        <v>33</v>
      </c>
      <c r="D422" t="str" cm="1">
        <f t="array" ref="D422">IFERROR(INDEX(ReferenceCard, MATCH(1, (INDEX(ReferenceCard,,1)=Table1[[#This Row],[SAP No]]) * (INDEX(ReferenceCard,,2)=Table1[[#This Row],[Mould No]]), 0), 6),)</f>
        <v>PET</v>
      </c>
      <c r="E422">
        <v>541381</v>
      </c>
      <c r="F422">
        <v>0</v>
      </c>
      <c r="G422" t="str" cm="1">
        <f t="array" ref="G422">IFERROR(INDEX(ReferenceCard, MATCH(1, (INDEX(ReferenceCard,,1)=Table1[[#This Row],[SAP No]]) * (INDEX(ReferenceCard,,2)=Table1[[#This Row],[Mould No]]), 0), 3),)</f>
        <v>BC28-1200-K-R-CL</v>
      </c>
      <c r="H422">
        <v>0</v>
      </c>
      <c r="I422" cm="1">
        <f t="array" ref="I422">IFERROR(INDEX(ReferenceCard, MATCH(1, (INDEX(ReferenceCard,,1)=Table1[[#This Row],[SAP No]]) * (INDEX(ReferenceCard,,2)=Table1[[#This Row],[Mould No]]), 0), 4),)</f>
        <v>4</v>
      </c>
      <c r="J422" s="4" cm="1">
        <f t="array" ref="J422">IFERROR(INDEX(ReferenceCard, MATCH(1, (INDEX(ReferenceCard,,1)=Table1[[#This Row],[SAP No]]) * (INDEX(ReferenceCard,,2)=Table1[[#This Row],[Mould No]]), 0), 9),)</f>
        <v>55</v>
      </c>
      <c r="K422" s="4" cm="1">
        <f t="array" ref="K422">IFERROR(INDEX(ReferenceCard, MATCH(1, (INDEX(ReferenceCard,,1)=Table1[[#This Row],[SAP No]]) * (INDEX(ReferenceCard,,2)=Table1[[#This Row],[Mould No]]), 0), 7),)</f>
        <v>55</v>
      </c>
      <c r="L422">
        <v>816</v>
      </c>
      <c r="M422">
        <v>0</v>
      </c>
      <c r="N422">
        <v>0</v>
      </c>
      <c r="O422">
        <v>0</v>
      </c>
      <c r="P422">
        <f>Table1[[#This Row],[Shot]]*Table1[[#This Row],[Cav]]</f>
        <v>3264</v>
      </c>
      <c r="Q422">
        <v>0</v>
      </c>
      <c r="R422">
        <f>(Table1[[#This Row],[Part Weight (gm)]]*Table1[[#This Row],[Finish Good]])/1000</f>
        <v>0</v>
      </c>
      <c r="S422">
        <v>0</v>
      </c>
      <c r="T422">
        <f>IF(Table1[[#This Row],[Qty Order]]="Sample","-",IF(Table1[[#This Row],[Qty Order]]="RTFN","-",Table1[[#This Row],[Qty Order]]-Table1[[#This Row],[Qty Accumulate]]))</f>
        <v>0</v>
      </c>
      <c r="U422">
        <f>((Table1[[#This Row],[Shift Output]]*Table1[[#This Row],[Part Weight (gm)]])/1000)+Table1[[#This Row],[Reject Startup (kg)]]+Table1[[#This Row],[Reject Purging (kg)]]+Table1[[#This Row],[Reject Preform (kg)]]</f>
        <v>179.52</v>
      </c>
      <c r="V422" s="37">
        <f>(Table1[[#This Row],[Gross Weight (gm)]]-Table1[[#This Row],[Part Weight (gm)]])*Table1[[#This Row],[Shift Output]]/1000</f>
        <v>0</v>
      </c>
      <c r="W422" s="3">
        <v>0</v>
      </c>
      <c r="X422" s="36">
        <f>Table1[[#This Row],[Reject Startup (kg)]]/Table1[[#This Row],[Material Used]]</f>
        <v>0</v>
      </c>
      <c r="Y422" s="3">
        <v>0</v>
      </c>
      <c r="Z422" s="36">
        <f>Table1[[#This Row],[Reject Prod (kg)]]/Table1[[#This Row],[Material Used]]</f>
        <v>0</v>
      </c>
      <c r="AA422" s="4">
        <v>43.075126647949197</v>
      </c>
      <c r="AB422" s="5">
        <v>7.24</v>
      </c>
      <c r="AC422" s="4" cm="1">
        <f t="array" ref="AC422">IFERROR(INDEX(ReferenceCard, MATCH(1, (INDEX(ReferenceCard,,1)=Table1[[#This Row],[SAP No]]) * (INDEX(ReferenceCard,,2)=Table1[[#This Row],[Mould No]]), 0), 9),)</f>
        <v>55</v>
      </c>
      <c r="AD422" s="5">
        <v>0</v>
      </c>
      <c r="AE422" s="5">
        <v>0</v>
      </c>
      <c r="AF422" s="5">
        <v>0</v>
      </c>
      <c r="AG422" s="5">
        <v>0</v>
      </c>
      <c r="AH422" s="5">
        <v>2.68</v>
      </c>
      <c r="AI422" s="5">
        <v>2.08</v>
      </c>
      <c r="AJ422" s="5">
        <v>0</v>
      </c>
      <c r="AL422" s="2"/>
      <c r="AM422" s="2"/>
      <c r="AN422" s="3">
        <v>0</v>
      </c>
      <c r="AO422" s="3">
        <v>0</v>
      </c>
      <c r="AP42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3" spans="1:42" x14ac:dyDescent="0.35">
      <c r="A423" s="1">
        <v>46010</v>
      </c>
      <c r="B423">
        <v>1</v>
      </c>
      <c r="C423" t="s">
        <v>35</v>
      </c>
      <c r="D423" t="str" cm="1">
        <f t="array" ref="D423">IFERROR(INDEX(ReferenceCard, MATCH(1, (INDEX(ReferenceCard,,1)=Table1[[#This Row],[SAP No]]) * (INDEX(ReferenceCard,,2)=Table1[[#This Row],[Mould No]]), 0), 6),)</f>
        <v>PPSB520Y</v>
      </c>
      <c r="E423">
        <v>552181</v>
      </c>
      <c r="F423">
        <v>1</v>
      </c>
      <c r="G423" t="str" cm="1">
        <f t="array" ref="G423">IFERROR(INDEX(ReferenceCard, MATCH(1, (INDEX(ReferenceCard,,1)=Table1[[#This Row],[SAP No]]) * (INDEX(ReferenceCard,,2)=Table1[[#This Row],[Mould No]]), 0), 3),)</f>
        <v>BC28-0090-D-APH-5180-3538-PP-6 NOTCHES-MOLD1</v>
      </c>
      <c r="H423">
        <v>0</v>
      </c>
      <c r="I423" cm="1">
        <f t="array" ref="I423">IFERROR(INDEX(ReferenceCard, MATCH(1, (INDEX(ReferenceCard,,1)=Table1[[#This Row],[SAP No]]) * (INDEX(ReferenceCard,,2)=Table1[[#This Row],[Mould No]]), 0), 4),)</f>
        <v>6</v>
      </c>
      <c r="J423" s="4" cm="1">
        <f t="array" ref="J423">IFERROR(INDEX(ReferenceCard, MATCH(1, (INDEX(ReferenceCard,,1)=Table1[[#This Row],[SAP No]]) * (INDEX(ReferenceCard,,2)=Table1[[#This Row],[Mould No]]), 0), 9),)</f>
        <v>18.8</v>
      </c>
      <c r="K423" s="4" cm="1">
        <f t="array" ref="K423">IFERROR(INDEX(ReferenceCard, MATCH(1, (INDEX(ReferenceCard,,1)=Table1[[#This Row],[SAP No]]) * (INDEX(ReferenceCard,,2)=Table1[[#This Row],[Mould No]]), 0), 7),)</f>
        <v>18.8</v>
      </c>
      <c r="L423">
        <v>1485</v>
      </c>
      <c r="M423">
        <v>0</v>
      </c>
      <c r="N423">
        <v>0</v>
      </c>
      <c r="O423">
        <v>0</v>
      </c>
      <c r="P423">
        <f>Table1[[#This Row],[Shot]]*Table1[[#This Row],[Cav]]</f>
        <v>8910</v>
      </c>
      <c r="Q423">
        <v>0</v>
      </c>
      <c r="R423">
        <f>(Table1[[#This Row],[Part Weight (gm)]]*Table1[[#This Row],[Finish Good]])/1000</f>
        <v>0</v>
      </c>
      <c r="S423">
        <v>0</v>
      </c>
      <c r="T423">
        <f>IF(Table1[[#This Row],[Qty Order]]="Sample","-",IF(Table1[[#This Row],[Qty Order]]="RTFN","-",Table1[[#This Row],[Qty Order]]-Table1[[#This Row],[Qty Accumulate]]))</f>
        <v>0</v>
      </c>
      <c r="U423">
        <f>((Table1[[#This Row],[Shift Output]]*Table1[[#This Row],[Part Weight (gm)]])/1000)+Table1[[#This Row],[Reject Startup (kg)]]+Table1[[#This Row],[Reject Purging (kg)]]+Table1[[#This Row],[Reject Preform (kg)]]</f>
        <v>167.50800000000001</v>
      </c>
      <c r="V423" s="37">
        <f>(Table1[[#This Row],[Gross Weight (gm)]]-Table1[[#This Row],[Part Weight (gm)]])*Table1[[#This Row],[Shift Output]]/1000</f>
        <v>0</v>
      </c>
      <c r="W423" s="3">
        <v>0</v>
      </c>
      <c r="X423" s="36">
        <f>Table1[[#This Row],[Reject Startup (kg)]]/Table1[[#This Row],[Material Used]]</f>
        <v>0</v>
      </c>
      <c r="Y423" s="3">
        <v>0</v>
      </c>
      <c r="Z423" s="36">
        <f>Table1[[#This Row],[Reject Prod (kg)]]/Table1[[#This Row],[Material Used]]</f>
        <v>0</v>
      </c>
      <c r="AA423" s="4">
        <v>31.156356811523398</v>
      </c>
      <c r="AB423" s="5">
        <v>11.9499999999999</v>
      </c>
      <c r="AC423" s="4" cm="1">
        <f t="array" ref="AC423">IFERROR(INDEX(ReferenceCard, MATCH(1, (INDEX(ReferenceCard,,1)=Table1[[#This Row],[SAP No]]) * (INDEX(ReferenceCard,,2)=Table1[[#This Row],[Mould No]]), 0), 9),)</f>
        <v>18.8</v>
      </c>
      <c r="AD423" s="5">
        <v>0</v>
      </c>
      <c r="AE423" s="5">
        <v>0</v>
      </c>
      <c r="AF423" s="5">
        <v>0</v>
      </c>
      <c r="AG423" s="5">
        <v>0</v>
      </c>
      <c r="AH423" s="5">
        <v>0.05</v>
      </c>
      <c r="AI423" s="5">
        <v>0</v>
      </c>
      <c r="AJ423" s="5">
        <v>0</v>
      </c>
      <c r="AL423" s="2"/>
      <c r="AM423" s="2"/>
      <c r="AN423" s="3">
        <v>0</v>
      </c>
      <c r="AO423" s="3">
        <v>0</v>
      </c>
      <c r="AP42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4" spans="1:42" x14ac:dyDescent="0.35">
      <c r="A424" s="1">
        <v>46010</v>
      </c>
      <c r="B424">
        <v>1</v>
      </c>
      <c r="C424" t="s">
        <v>18</v>
      </c>
      <c r="D424" t="str" cm="1">
        <f t="array" ref="D424">IFERROR(INDEX(ReferenceCard, MATCH(1, (INDEX(ReferenceCard,,1)=Table1[[#This Row],[SAP No]]) * (INDEX(ReferenceCard,,2)=Table1[[#This Row],[Mould No]]), 0), 6),)</f>
        <v>PPSB520Y</v>
      </c>
      <c r="E424">
        <v>555979</v>
      </c>
      <c r="F424">
        <v>4</v>
      </c>
      <c r="G424" t="str" cm="1">
        <f t="array" ref="G424">IFERROR(INDEX(ReferenceCard, MATCH(1, (INDEX(ReferenceCard,,1)=Table1[[#This Row],[SAP No]]) * (INDEX(ReferenceCard,,2)=Table1[[#This Row],[Mould No]]), 0), 3),)</f>
        <v>BC28-0170-D-APH-5180-3539-PP-6 NOTCHES-MOLD4</v>
      </c>
      <c r="H424">
        <v>0</v>
      </c>
      <c r="I424" cm="1">
        <f t="array" ref="I424">IFERROR(INDEX(ReferenceCard, MATCH(1, (INDEX(ReferenceCard,,1)=Table1[[#This Row],[SAP No]]) * (INDEX(ReferenceCard,,2)=Table1[[#This Row],[Mould No]]), 0), 4),)</f>
        <v>6</v>
      </c>
      <c r="J424" s="4" cm="1">
        <f t="array" ref="J424">IFERROR(INDEX(ReferenceCard, MATCH(1, (INDEX(ReferenceCard,,1)=Table1[[#This Row],[SAP No]]) * (INDEX(ReferenceCard,,2)=Table1[[#This Row],[Mould No]]), 0), 9),)</f>
        <v>28</v>
      </c>
      <c r="K424" s="4" cm="1">
        <f t="array" ref="K424">IFERROR(INDEX(ReferenceCard, MATCH(1, (INDEX(ReferenceCard,,1)=Table1[[#This Row],[SAP No]]) * (INDEX(ReferenceCard,,2)=Table1[[#This Row],[Mould No]]), 0), 7),)</f>
        <v>28</v>
      </c>
      <c r="L424">
        <v>968</v>
      </c>
      <c r="M424">
        <v>0</v>
      </c>
      <c r="N424">
        <v>0</v>
      </c>
      <c r="O424">
        <v>0</v>
      </c>
      <c r="P424">
        <f>Table1[[#This Row],[Shot]]*Table1[[#This Row],[Cav]]</f>
        <v>5808</v>
      </c>
      <c r="Q424">
        <v>0</v>
      </c>
      <c r="R424">
        <f>(Table1[[#This Row],[Part Weight (gm)]]*Table1[[#This Row],[Finish Good]])/1000</f>
        <v>0</v>
      </c>
      <c r="S424">
        <v>0</v>
      </c>
      <c r="T424">
        <f>IF(Table1[[#This Row],[Qty Order]]="Sample","-",IF(Table1[[#This Row],[Qty Order]]="RTFN","-",Table1[[#This Row],[Qty Order]]-Table1[[#This Row],[Qty Accumulate]]))</f>
        <v>0</v>
      </c>
      <c r="U424">
        <f>((Table1[[#This Row],[Shift Output]]*Table1[[#This Row],[Part Weight (gm)]])/1000)+Table1[[#This Row],[Reject Startup (kg)]]+Table1[[#This Row],[Reject Purging (kg)]]+Table1[[#This Row],[Reject Preform (kg)]]</f>
        <v>162.624</v>
      </c>
      <c r="V424" s="37">
        <f>(Table1[[#This Row],[Gross Weight (gm)]]-Table1[[#This Row],[Part Weight (gm)]])*Table1[[#This Row],[Shift Output]]/1000</f>
        <v>0</v>
      </c>
      <c r="W424" s="3">
        <v>0</v>
      </c>
      <c r="X424" s="36">
        <f>Table1[[#This Row],[Reject Startup (kg)]]/Table1[[#This Row],[Material Used]]</f>
        <v>0</v>
      </c>
      <c r="Y424" s="3">
        <v>0</v>
      </c>
      <c r="Z424" s="36">
        <f>Table1[[#This Row],[Reject Prod (kg)]]/Table1[[#This Row],[Material Used]]</f>
        <v>0</v>
      </c>
      <c r="AA424" s="4">
        <v>43.5</v>
      </c>
      <c r="AB424" s="5">
        <v>12</v>
      </c>
      <c r="AC424" s="4" cm="1">
        <f t="array" ref="AC424">IFERROR(INDEX(ReferenceCard, MATCH(1, (INDEX(ReferenceCard,,1)=Table1[[#This Row],[SAP No]]) * (INDEX(ReferenceCard,,2)=Table1[[#This Row],[Mould No]]), 0), 9),)</f>
        <v>28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L424" s="2"/>
      <c r="AM424" s="2"/>
      <c r="AN424" s="3">
        <v>0</v>
      </c>
      <c r="AO424" s="3">
        <v>0</v>
      </c>
      <c r="AP42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5" spans="1:42" x14ac:dyDescent="0.35">
      <c r="A425" s="1">
        <v>46009</v>
      </c>
      <c r="B425">
        <v>2</v>
      </c>
      <c r="C425" t="s">
        <v>0</v>
      </c>
      <c r="D425" t="str" cm="1">
        <f t="array" ref="D425">IFERROR(INDEX(ReferenceCard, MATCH(1, (INDEX(ReferenceCard,,1)=Table1[[#This Row],[SAP No]]) * (INDEX(ReferenceCard,,2)=Table1[[#This Row],[Mould No]]), 0), 6),)</f>
        <v>PET</v>
      </c>
      <c r="E425">
        <v>347623</v>
      </c>
      <c r="F425">
        <v>0</v>
      </c>
      <c r="G425" t="str" cm="1">
        <f t="array" ref="G425">IFERROR(INDEX(ReferenceCard, MATCH(1, (INDEX(ReferenceCard,,1)=Table1[[#This Row],[SAP No]]) * (INDEX(ReferenceCard,,2)=Table1[[#This Row],[Mould No]]), 0), 3),)</f>
        <v>BC28-0375-K-R-CL</v>
      </c>
      <c r="H425">
        <v>0</v>
      </c>
      <c r="I425" cm="1">
        <f t="array" ref="I425">IFERROR(INDEX(ReferenceCard, MATCH(1, (INDEX(ReferenceCard,,1)=Table1[[#This Row],[SAP No]]) * (INDEX(ReferenceCard,,2)=Table1[[#This Row],[Mould No]]), 0), 4),)</f>
        <v>4</v>
      </c>
      <c r="J425" s="4" cm="1">
        <f t="array" ref="J425">IFERROR(INDEX(ReferenceCard, MATCH(1, (INDEX(ReferenceCard,,1)=Table1[[#This Row],[SAP No]]) * (INDEX(ReferenceCard,,2)=Table1[[#This Row],[Mould No]]), 0), 9),)</f>
        <v>35.6</v>
      </c>
      <c r="K425" s="4" cm="1">
        <f t="array" ref="K425">IFERROR(INDEX(ReferenceCard, MATCH(1, (INDEX(ReferenceCard,,1)=Table1[[#This Row],[SAP No]]) * (INDEX(ReferenceCard,,2)=Table1[[#This Row],[Mould No]]), 0), 7),)</f>
        <v>35.6</v>
      </c>
      <c r="L425">
        <v>174</v>
      </c>
      <c r="M425">
        <v>0</v>
      </c>
      <c r="N425">
        <v>0</v>
      </c>
      <c r="O425">
        <v>0</v>
      </c>
      <c r="P425">
        <f>Table1[[#This Row],[Shot]]*Table1[[#This Row],[Cav]]</f>
        <v>696</v>
      </c>
      <c r="Q425">
        <v>0</v>
      </c>
      <c r="R425">
        <f>(Table1[[#This Row],[Part Weight (gm)]]*Table1[[#This Row],[Finish Good]])/1000</f>
        <v>0</v>
      </c>
      <c r="S425">
        <v>0</v>
      </c>
      <c r="T425">
        <f>IF(Table1[[#This Row],[Qty Order]]="Sample","-",IF(Table1[[#This Row],[Qty Order]]="RTFN","-",Table1[[#This Row],[Qty Order]]-Table1[[#This Row],[Qty Accumulate]]))</f>
        <v>0</v>
      </c>
      <c r="U425">
        <f>((Table1[[#This Row],[Shift Output]]*Table1[[#This Row],[Part Weight (gm)]])/1000)+Table1[[#This Row],[Reject Startup (kg)]]+Table1[[#This Row],[Reject Purging (kg)]]+Table1[[#This Row],[Reject Preform (kg)]]</f>
        <v>24.777600000000003</v>
      </c>
      <c r="V425" s="37">
        <f>(Table1[[#This Row],[Gross Weight (gm)]]-Table1[[#This Row],[Part Weight (gm)]])*Table1[[#This Row],[Shift Output]]/1000</f>
        <v>0</v>
      </c>
      <c r="W425" s="3">
        <v>0</v>
      </c>
      <c r="X425" s="36">
        <f>Table1[[#This Row],[Reject Startup (kg)]]/Table1[[#This Row],[Material Used]]</f>
        <v>0</v>
      </c>
      <c r="Y425" s="3">
        <v>0</v>
      </c>
      <c r="Z425" s="36">
        <f>Table1[[#This Row],[Reject Prod (kg)]]/Table1[[#This Row],[Material Used]]</f>
        <v>0</v>
      </c>
      <c r="AA425" s="4">
        <v>0</v>
      </c>
      <c r="AB425" s="5">
        <v>0</v>
      </c>
      <c r="AC425" s="4" cm="1">
        <f t="array" ref="AC425">IFERROR(INDEX(ReferenceCard, MATCH(1, (INDEX(ReferenceCard,,1)=Table1[[#This Row],[SAP No]]) * (INDEX(ReferenceCard,,2)=Table1[[#This Row],[Mould No]]), 0), 9),)</f>
        <v>35.6</v>
      </c>
      <c r="AD425" s="5">
        <v>0</v>
      </c>
      <c r="AE425" s="5">
        <v>0</v>
      </c>
      <c r="AF425" s="5">
        <v>0</v>
      </c>
      <c r="AG425" s="5">
        <v>0</v>
      </c>
      <c r="AH425" s="5">
        <v>12</v>
      </c>
      <c r="AI425" s="5">
        <v>0</v>
      </c>
      <c r="AJ425" s="5">
        <v>0</v>
      </c>
      <c r="AK425" t="s">
        <v>94</v>
      </c>
      <c r="AL425" s="2"/>
      <c r="AM425" s="2"/>
      <c r="AN425" s="3">
        <v>0</v>
      </c>
      <c r="AO425" s="3">
        <v>0</v>
      </c>
      <c r="AP42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6" spans="1:42" x14ac:dyDescent="0.35">
      <c r="A426" s="1">
        <v>46009</v>
      </c>
      <c r="B426">
        <v>2</v>
      </c>
      <c r="C426" t="s">
        <v>3</v>
      </c>
      <c r="D426" t="str" cm="1">
        <f t="array" ref="D426">IFERROR(INDEX(ReferenceCard, MATCH(1, (INDEX(ReferenceCard,,1)=Table1[[#This Row],[SAP No]]) * (INDEX(ReferenceCard,,2)=Table1[[#This Row],[Mould No]]), 0), 6),)</f>
        <v>PET</v>
      </c>
      <c r="E426">
        <v>423215</v>
      </c>
      <c r="F426">
        <v>0</v>
      </c>
      <c r="G426" t="str" cm="1">
        <f t="array" ref="G426">IFERROR(INDEX(ReferenceCard, MATCH(1, (INDEX(ReferenceCard,,1)=Table1[[#This Row],[SAP No]]) * (INDEX(ReferenceCard,,2)=Table1[[#This Row],[Mould No]]), 0), 3),)</f>
        <v>BC28-0355-SCC-A-Q-CL</v>
      </c>
      <c r="H426">
        <v>0</v>
      </c>
      <c r="I426" cm="1">
        <f t="array" ref="I426">IFERROR(INDEX(ReferenceCard, MATCH(1, (INDEX(ReferenceCard,,1)=Table1[[#This Row],[SAP No]]) * (INDEX(ReferenceCard,,2)=Table1[[#This Row],[Mould No]]), 0), 4),)</f>
        <v>4</v>
      </c>
      <c r="J426" s="4" cm="1">
        <f t="array" ref="J426">IFERROR(INDEX(ReferenceCard, MATCH(1, (INDEX(ReferenceCard,,1)=Table1[[#This Row],[SAP No]]) * (INDEX(ReferenceCard,,2)=Table1[[#This Row],[Mould No]]), 0), 9),)</f>
        <v>24</v>
      </c>
      <c r="K426" s="4" cm="1">
        <f t="array" ref="K426">IFERROR(INDEX(ReferenceCard, MATCH(1, (INDEX(ReferenceCard,,1)=Table1[[#This Row],[SAP No]]) * (INDEX(ReferenceCard,,2)=Table1[[#This Row],[Mould No]]), 0), 7),)</f>
        <v>24</v>
      </c>
      <c r="L426">
        <v>1476</v>
      </c>
      <c r="M426">
        <v>0</v>
      </c>
      <c r="N426">
        <v>0</v>
      </c>
      <c r="O426">
        <v>0</v>
      </c>
      <c r="P426">
        <f>Table1[[#This Row],[Shot]]*Table1[[#This Row],[Cav]]</f>
        <v>5904</v>
      </c>
      <c r="Q426">
        <v>0</v>
      </c>
      <c r="R426">
        <f>(Table1[[#This Row],[Part Weight (gm)]]*Table1[[#This Row],[Finish Good]])/1000</f>
        <v>0</v>
      </c>
      <c r="S426">
        <v>0</v>
      </c>
      <c r="T426">
        <f>IF(Table1[[#This Row],[Qty Order]]="Sample","-",IF(Table1[[#This Row],[Qty Order]]="RTFN","-",Table1[[#This Row],[Qty Order]]-Table1[[#This Row],[Qty Accumulate]]))</f>
        <v>0</v>
      </c>
      <c r="U426">
        <f>((Table1[[#This Row],[Shift Output]]*Table1[[#This Row],[Part Weight (gm)]])/1000)+Table1[[#This Row],[Reject Startup (kg)]]+Table1[[#This Row],[Reject Purging (kg)]]+Table1[[#This Row],[Reject Preform (kg)]]</f>
        <v>141.696</v>
      </c>
      <c r="V426" s="37">
        <f>(Table1[[#This Row],[Gross Weight (gm)]]-Table1[[#This Row],[Part Weight (gm)]])*Table1[[#This Row],[Shift Output]]/1000</f>
        <v>0</v>
      </c>
      <c r="W426" s="3">
        <v>0</v>
      </c>
      <c r="X426" s="36">
        <f>Table1[[#This Row],[Reject Startup (kg)]]/Table1[[#This Row],[Material Used]]</f>
        <v>0</v>
      </c>
      <c r="Y426" s="3">
        <v>0</v>
      </c>
      <c r="Z426" s="36">
        <f>Table1[[#This Row],[Reject Prod (kg)]]/Table1[[#This Row],[Material Used]]</f>
        <v>0</v>
      </c>
      <c r="AA426" s="4">
        <v>28.0198764801025</v>
      </c>
      <c r="AB426" s="5">
        <v>11.74</v>
      </c>
      <c r="AC426" s="4" cm="1">
        <f t="array" ref="AC426">IFERROR(INDEX(ReferenceCard, MATCH(1, (INDEX(ReferenceCard,,1)=Table1[[#This Row],[SAP No]]) * (INDEX(ReferenceCard,,2)=Table1[[#This Row],[Mould No]]), 0), 9),)</f>
        <v>24</v>
      </c>
      <c r="AD426" s="5">
        <v>0</v>
      </c>
      <c r="AE426" s="5">
        <v>0</v>
      </c>
      <c r="AF426" s="5">
        <v>0</v>
      </c>
      <c r="AG426" s="5">
        <v>0</v>
      </c>
      <c r="AH426" s="5">
        <v>0.26</v>
      </c>
      <c r="AI426" s="5">
        <v>0</v>
      </c>
      <c r="AJ426" s="5">
        <v>0</v>
      </c>
      <c r="AL426" s="2"/>
      <c r="AM426" s="2"/>
      <c r="AN426" s="3">
        <v>0</v>
      </c>
      <c r="AO426" s="3">
        <v>0</v>
      </c>
      <c r="AP42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7" spans="1:42" x14ac:dyDescent="0.35">
      <c r="A427" s="1">
        <v>46009</v>
      </c>
      <c r="B427">
        <v>2</v>
      </c>
      <c r="C427" t="s">
        <v>5</v>
      </c>
      <c r="D427" t="str" cm="1">
        <f t="array" ref="D427">IFERROR(INDEX(ReferenceCard, MATCH(1, (INDEX(ReferenceCard,,1)=Table1[[#This Row],[SAP No]]) * (INDEX(ReferenceCard,,2)=Table1[[#This Row],[Mould No]]), 0), 6),)</f>
        <v>PET</v>
      </c>
      <c r="E427">
        <v>543590</v>
      </c>
      <c r="F427">
        <v>0</v>
      </c>
      <c r="G427" t="str" cm="1">
        <f t="array" ref="G427">IFERROR(INDEX(ReferenceCard, MATCH(1, (INDEX(ReferenceCard,,1)=Table1[[#This Row],[SAP No]]) * (INDEX(ReferenceCard,,2)=Table1[[#This Row],[Mould No]]), 0), 3),)</f>
        <v>BC28-0130-R-R-AM</v>
      </c>
      <c r="H427">
        <v>0</v>
      </c>
      <c r="I427" cm="1">
        <f t="array" ref="I427">IFERROR(INDEX(ReferenceCard, MATCH(1, (INDEX(ReferenceCard,,1)=Table1[[#This Row],[SAP No]]) * (INDEX(ReferenceCard,,2)=Table1[[#This Row],[Mould No]]), 0), 4),)</f>
        <v>4</v>
      </c>
      <c r="J427" s="4" cm="1">
        <f t="array" ref="J427">IFERROR(INDEX(ReferenceCard, MATCH(1, (INDEX(ReferenceCard,,1)=Table1[[#This Row],[SAP No]]) * (INDEX(ReferenceCard,,2)=Table1[[#This Row],[Mould No]]), 0), 9),)</f>
        <v>19</v>
      </c>
      <c r="K427" s="4" cm="1">
        <f t="array" ref="K427">IFERROR(INDEX(ReferenceCard, MATCH(1, (INDEX(ReferenceCard,,1)=Table1[[#This Row],[SAP No]]) * (INDEX(ReferenceCard,,2)=Table1[[#This Row],[Mould No]]), 0), 7),)</f>
        <v>19</v>
      </c>
      <c r="L427">
        <v>1758</v>
      </c>
      <c r="M427">
        <v>0</v>
      </c>
      <c r="N427">
        <v>0</v>
      </c>
      <c r="O427">
        <v>0</v>
      </c>
      <c r="P427">
        <f>Table1[[#This Row],[Shot]]*Table1[[#This Row],[Cav]]</f>
        <v>7032</v>
      </c>
      <c r="Q427">
        <v>0</v>
      </c>
      <c r="R427">
        <f>(Table1[[#This Row],[Part Weight (gm)]]*Table1[[#This Row],[Finish Good]])/1000</f>
        <v>0</v>
      </c>
      <c r="S427">
        <v>0</v>
      </c>
      <c r="T427">
        <f>IF(Table1[[#This Row],[Qty Order]]="Sample","-",IF(Table1[[#This Row],[Qty Order]]="RTFN","-",Table1[[#This Row],[Qty Order]]-Table1[[#This Row],[Qty Accumulate]]))</f>
        <v>0</v>
      </c>
      <c r="U427">
        <f>((Table1[[#This Row],[Shift Output]]*Table1[[#This Row],[Part Weight (gm)]])/1000)+Table1[[#This Row],[Reject Startup (kg)]]+Table1[[#This Row],[Reject Purging (kg)]]+Table1[[#This Row],[Reject Preform (kg)]]</f>
        <v>133.608</v>
      </c>
      <c r="V427" s="37">
        <f>(Table1[[#This Row],[Gross Weight (gm)]]-Table1[[#This Row],[Part Weight (gm)]])*Table1[[#This Row],[Shift Output]]/1000</f>
        <v>0</v>
      </c>
      <c r="W427" s="3">
        <v>0</v>
      </c>
      <c r="X427" s="36">
        <f>Table1[[#This Row],[Reject Startup (kg)]]/Table1[[#This Row],[Material Used]]</f>
        <v>0</v>
      </c>
      <c r="Y427" s="3">
        <v>0</v>
      </c>
      <c r="Z427" s="36">
        <f>Table1[[#This Row],[Reject Prod (kg)]]/Table1[[#This Row],[Material Used]]</f>
        <v>0</v>
      </c>
      <c r="AA427" s="4">
        <v>22.685279846191399</v>
      </c>
      <c r="AB427" s="5">
        <v>0</v>
      </c>
      <c r="AC427" s="4" cm="1">
        <f t="array" ref="AC427">IFERROR(INDEX(ReferenceCard, MATCH(1, (INDEX(ReferenceCard,,1)=Table1[[#This Row],[SAP No]]) * (INDEX(ReferenceCard,,2)=Table1[[#This Row],[Mould No]]), 0), 9),)</f>
        <v>19</v>
      </c>
      <c r="AD427" s="5">
        <v>0</v>
      </c>
      <c r="AE427" s="5">
        <v>12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t="s">
        <v>95</v>
      </c>
      <c r="AL427" s="2"/>
      <c r="AM427" s="2"/>
      <c r="AN427" s="3">
        <v>0</v>
      </c>
      <c r="AO427" s="3">
        <v>0</v>
      </c>
      <c r="AP42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8" spans="1:42" x14ac:dyDescent="0.35">
      <c r="A428" s="1">
        <v>46009</v>
      </c>
      <c r="B428">
        <v>2</v>
      </c>
      <c r="C428" t="s">
        <v>7</v>
      </c>
      <c r="D428" t="str" cm="1">
        <f t="array" ref="D428">IFERROR(INDEX(ReferenceCard, MATCH(1, (INDEX(ReferenceCard,,1)=Table1[[#This Row],[SAP No]]) * (INDEX(ReferenceCard,,2)=Table1[[#This Row],[Mould No]]), 0), 6),)</f>
        <v>PET</v>
      </c>
      <c r="E428">
        <v>451191</v>
      </c>
      <c r="F428">
        <v>0</v>
      </c>
      <c r="G428" t="str" cm="1">
        <f t="array" ref="G428">IFERROR(INDEX(ReferenceCard, MATCH(1, (INDEX(ReferenceCard,,1)=Table1[[#This Row],[SAP No]]) * (INDEX(ReferenceCard,,2)=Table1[[#This Row],[Mould No]]), 0), 3),)</f>
        <v>BX38-0350-Z-C-CL</v>
      </c>
      <c r="H428">
        <v>0</v>
      </c>
      <c r="I428" cm="1">
        <f t="array" ref="I428">IFERROR(INDEX(ReferenceCard, MATCH(1, (INDEX(ReferenceCard,,1)=Table1[[#This Row],[SAP No]]) * (INDEX(ReferenceCard,,2)=Table1[[#This Row],[Mould No]]), 0), 4),)</f>
        <v>4</v>
      </c>
      <c r="J428" s="4" cm="1">
        <f t="array" ref="J428">IFERROR(INDEX(ReferenceCard, MATCH(1, (INDEX(ReferenceCard,,1)=Table1[[#This Row],[SAP No]]) * (INDEX(ReferenceCard,,2)=Table1[[#This Row],[Mould No]]), 0), 9),)</f>
        <v>29</v>
      </c>
      <c r="K428" s="4" cm="1">
        <f t="array" ref="K428">IFERROR(INDEX(ReferenceCard, MATCH(1, (INDEX(ReferenceCard,,1)=Table1[[#This Row],[SAP No]]) * (INDEX(ReferenceCard,,2)=Table1[[#This Row],[Mould No]]), 0), 7),)</f>
        <v>29</v>
      </c>
      <c r="L428">
        <v>1682</v>
      </c>
      <c r="M428">
        <v>0</v>
      </c>
      <c r="N428">
        <v>0</v>
      </c>
      <c r="O428">
        <v>0</v>
      </c>
      <c r="P428">
        <f>Table1[[#This Row],[Shot]]*Table1[[#This Row],[Cav]]</f>
        <v>6728</v>
      </c>
      <c r="Q428">
        <v>0</v>
      </c>
      <c r="R428">
        <f>(Table1[[#This Row],[Part Weight (gm)]]*Table1[[#This Row],[Finish Good]])/1000</f>
        <v>0</v>
      </c>
      <c r="S428">
        <v>0</v>
      </c>
      <c r="T428">
        <f>IF(Table1[[#This Row],[Qty Order]]="Sample","-",IF(Table1[[#This Row],[Qty Order]]="RTFN","-",Table1[[#This Row],[Qty Order]]-Table1[[#This Row],[Qty Accumulate]]))</f>
        <v>0</v>
      </c>
      <c r="U428">
        <f>((Table1[[#This Row],[Shift Output]]*Table1[[#This Row],[Part Weight (gm)]])/1000)+Table1[[#This Row],[Reject Startup (kg)]]+Table1[[#This Row],[Reject Purging (kg)]]+Table1[[#This Row],[Reject Preform (kg)]]</f>
        <v>195.11199999999999</v>
      </c>
      <c r="V428" s="37">
        <f>(Table1[[#This Row],[Gross Weight (gm)]]-Table1[[#This Row],[Part Weight (gm)]])*Table1[[#This Row],[Shift Output]]/1000</f>
        <v>0</v>
      </c>
      <c r="W428" s="3">
        <v>0</v>
      </c>
      <c r="X428" s="36">
        <f>Table1[[#This Row],[Reject Startup (kg)]]/Table1[[#This Row],[Material Used]]</f>
        <v>0</v>
      </c>
      <c r="Y428" s="3">
        <v>0</v>
      </c>
      <c r="Z428" s="36">
        <f>Table1[[#This Row],[Reject Prod (kg)]]/Table1[[#This Row],[Material Used]]</f>
        <v>0</v>
      </c>
      <c r="AA428" s="4">
        <v>25.684818267822202</v>
      </c>
      <c r="AB428" s="5">
        <v>12</v>
      </c>
      <c r="AC428" s="4" cm="1">
        <f t="array" ref="AC428">IFERROR(INDEX(ReferenceCard, MATCH(1, (INDEX(ReferenceCard,,1)=Table1[[#This Row],[SAP No]]) * (INDEX(ReferenceCard,,2)=Table1[[#This Row],[Mould No]]), 0), 9),)</f>
        <v>29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L428" s="2"/>
      <c r="AM428" s="2"/>
      <c r="AN428" s="3">
        <v>0</v>
      </c>
      <c r="AO428" s="3">
        <v>0</v>
      </c>
      <c r="AP42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29" spans="1:42" x14ac:dyDescent="0.35">
      <c r="A429" s="1">
        <v>46009</v>
      </c>
      <c r="B429">
        <v>2</v>
      </c>
      <c r="C429" t="s">
        <v>9</v>
      </c>
      <c r="D429" t="str" cm="1">
        <f t="array" ref="D429">IFERROR(INDEX(ReferenceCard, MATCH(1, (INDEX(ReferenceCard,,1)=Table1[[#This Row],[SAP No]]) * (INDEX(ReferenceCard,,2)=Table1[[#This Row],[Mould No]]), 0), 6),)</f>
        <v>PET</v>
      </c>
      <c r="E429">
        <v>322451</v>
      </c>
      <c r="F429">
        <v>0</v>
      </c>
      <c r="G429" t="str" cm="1">
        <f t="array" ref="G429">IFERROR(INDEX(ReferenceCard, MATCH(1, (INDEX(ReferenceCard,,1)=Table1[[#This Row],[SAP No]]) * (INDEX(ReferenceCard,,2)=Table1[[#This Row],[Mould No]]), 0), 3),)</f>
        <v>BC28-0500-WNHP-R-BR</v>
      </c>
      <c r="H429">
        <v>0</v>
      </c>
      <c r="I429" cm="1">
        <f t="array" ref="I429">IFERROR(INDEX(ReferenceCard, MATCH(1, (INDEX(ReferenceCard,,1)=Table1[[#This Row],[SAP No]]) * (INDEX(ReferenceCard,,2)=Table1[[#This Row],[Mould No]]), 0), 4),)</f>
        <v>4</v>
      </c>
      <c r="J429" s="4" cm="1">
        <f t="array" ref="J429">IFERROR(INDEX(ReferenceCard, MATCH(1, (INDEX(ReferenceCard,,1)=Table1[[#This Row],[SAP No]]) * (INDEX(ReferenceCard,,2)=Table1[[#This Row],[Mould No]]), 0), 9),)</f>
        <v>45.6</v>
      </c>
      <c r="K429" s="4" cm="1">
        <f t="array" ref="K429">IFERROR(INDEX(ReferenceCard, MATCH(1, (INDEX(ReferenceCard,,1)=Table1[[#This Row],[SAP No]]) * (INDEX(ReferenceCard,,2)=Table1[[#This Row],[Mould No]]), 0), 7),)</f>
        <v>45.6</v>
      </c>
      <c r="L429">
        <v>1283</v>
      </c>
      <c r="M429">
        <v>0</v>
      </c>
      <c r="N429">
        <v>0</v>
      </c>
      <c r="O429">
        <v>0</v>
      </c>
      <c r="P429">
        <f>Table1[[#This Row],[Shot]]*Table1[[#This Row],[Cav]]</f>
        <v>5132</v>
      </c>
      <c r="Q429">
        <v>0</v>
      </c>
      <c r="R429">
        <f>(Table1[[#This Row],[Part Weight (gm)]]*Table1[[#This Row],[Finish Good]])/1000</f>
        <v>0</v>
      </c>
      <c r="S429">
        <v>0</v>
      </c>
      <c r="T429">
        <f>IF(Table1[[#This Row],[Qty Order]]="Sample","-",IF(Table1[[#This Row],[Qty Order]]="RTFN","-",Table1[[#This Row],[Qty Order]]-Table1[[#This Row],[Qty Accumulate]]))</f>
        <v>0</v>
      </c>
      <c r="U429">
        <f>((Table1[[#This Row],[Shift Output]]*Table1[[#This Row],[Part Weight (gm)]])/1000)+Table1[[#This Row],[Reject Startup (kg)]]+Table1[[#This Row],[Reject Purging (kg)]]+Table1[[#This Row],[Reject Preform (kg)]]</f>
        <v>234.01920000000001</v>
      </c>
      <c r="V429" s="37">
        <f>(Table1[[#This Row],[Gross Weight (gm)]]-Table1[[#This Row],[Part Weight (gm)]])*Table1[[#This Row],[Shift Output]]/1000</f>
        <v>0</v>
      </c>
      <c r="W429" s="3">
        <v>0</v>
      </c>
      <c r="X429" s="36">
        <f>Table1[[#This Row],[Reject Startup (kg)]]/Table1[[#This Row],[Material Used]]</f>
        <v>0</v>
      </c>
      <c r="Y429" s="3">
        <v>0</v>
      </c>
      <c r="Z429" s="36">
        <f>Table1[[#This Row],[Reject Prod (kg)]]/Table1[[#This Row],[Material Used]]</f>
        <v>0</v>
      </c>
      <c r="AA429" s="4">
        <v>33.667839050292898</v>
      </c>
      <c r="AB429" s="5">
        <v>12</v>
      </c>
      <c r="AC429" s="4" cm="1">
        <f t="array" ref="AC429">IFERROR(INDEX(ReferenceCard, MATCH(1, (INDEX(ReferenceCard,,1)=Table1[[#This Row],[SAP No]]) * (INDEX(ReferenceCard,,2)=Table1[[#This Row],[Mould No]]), 0), 9),)</f>
        <v>45.6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L429" s="2"/>
      <c r="AM429" s="2"/>
      <c r="AN429" s="3">
        <v>0</v>
      </c>
      <c r="AO429" s="3">
        <v>0</v>
      </c>
      <c r="AP42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0" spans="1:42" x14ac:dyDescent="0.35">
      <c r="A430" s="1">
        <v>46009</v>
      </c>
      <c r="B430">
        <v>2</v>
      </c>
      <c r="C430" t="s">
        <v>11</v>
      </c>
      <c r="D430" t="str" cm="1">
        <f t="array" ref="D430">IFERROR(INDEX(ReferenceCard, MATCH(1, (INDEX(ReferenceCard,,1)=Table1[[#This Row],[SAP No]]) * (INDEX(ReferenceCard,,2)=Table1[[#This Row],[Mould No]]), 0), 6),)</f>
        <v>rPET</v>
      </c>
      <c r="E430">
        <v>620994</v>
      </c>
      <c r="F430">
        <v>0</v>
      </c>
      <c r="G430" t="str" cm="1">
        <f t="array" ref="G430">IFERROR(INDEX(ReferenceCard, MATCH(1, (INDEX(ReferenceCard,,1)=Table1[[#This Row],[SAP No]]) * (INDEX(ReferenceCard,,2)=Table1[[#This Row],[Mould No]]), 0), 3),)</f>
        <v>JJ63-0400-SH-S-CL-rPET</v>
      </c>
      <c r="H430">
        <v>0</v>
      </c>
      <c r="I430" cm="1">
        <f t="array" ref="I430">IFERROR(INDEX(ReferenceCard, MATCH(1, (INDEX(ReferenceCard,,1)=Table1[[#This Row],[SAP No]]) * (INDEX(ReferenceCard,,2)=Table1[[#This Row],[Mould No]]), 0), 4),)</f>
        <v>4</v>
      </c>
      <c r="J430" s="4" cm="1">
        <f t="array" ref="J430">IFERROR(INDEX(ReferenceCard, MATCH(1, (INDEX(ReferenceCard,,1)=Table1[[#This Row],[SAP No]]) * (INDEX(ReferenceCard,,2)=Table1[[#This Row],[Mould No]]), 0), 9),)</f>
        <v>32.74</v>
      </c>
      <c r="K430" s="4" cm="1">
        <f t="array" ref="K430">IFERROR(INDEX(ReferenceCard, MATCH(1, (INDEX(ReferenceCard,,1)=Table1[[#This Row],[SAP No]]) * (INDEX(ReferenceCard,,2)=Table1[[#This Row],[Mould No]]), 0), 7),)</f>
        <v>33</v>
      </c>
      <c r="L430">
        <v>1926</v>
      </c>
      <c r="M430">
        <v>0</v>
      </c>
      <c r="N430">
        <v>0</v>
      </c>
      <c r="O430">
        <v>0</v>
      </c>
      <c r="P430">
        <f>Table1[[#This Row],[Shot]]*Table1[[#This Row],[Cav]]</f>
        <v>7704</v>
      </c>
      <c r="Q430">
        <v>0</v>
      </c>
      <c r="R430">
        <f>(Table1[[#This Row],[Part Weight (gm)]]*Table1[[#This Row],[Finish Good]])/1000</f>
        <v>0</v>
      </c>
      <c r="S430">
        <v>0</v>
      </c>
      <c r="T430">
        <f>IF(Table1[[#This Row],[Qty Order]]="Sample","-",IF(Table1[[#This Row],[Qty Order]]="RTFN","-",Table1[[#This Row],[Qty Order]]-Table1[[#This Row],[Qty Accumulate]]))</f>
        <v>0</v>
      </c>
      <c r="U430">
        <f>((Table1[[#This Row],[Shift Output]]*Table1[[#This Row],[Part Weight (gm)]])/1000)+Table1[[#This Row],[Reject Startup (kg)]]+Table1[[#This Row],[Reject Purging (kg)]]+Table1[[#This Row],[Reject Preform (kg)]]</f>
        <v>254.232</v>
      </c>
      <c r="V430" s="37">
        <f>(Table1[[#This Row],[Gross Weight (gm)]]-Table1[[#This Row],[Part Weight (gm)]])*Table1[[#This Row],[Shift Output]]/1000</f>
        <v>-2.0030399999999848</v>
      </c>
      <c r="W430" s="3">
        <v>0</v>
      </c>
      <c r="X430" s="36">
        <f>Table1[[#This Row],[Reject Startup (kg)]]/Table1[[#This Row],[Material Used]]</f>
        <v>0</v>
      </c>
      <c r="Y430" s="3">
        <v>0</v>
      </c>
      <c r="Z430" s="36">
        <f>Table1[[#This Row],[Reject Prod (kg)]]/Table1[[#This Row],[Material Used]]</f>
        <v>0</v>
      </c>
      <c r="AA430" s="4">
        <v>22.425151824951101</v>
      </c>
      <c r="AB430" s="5">
        <v>12</v>
      </c>
      <c r="AC430" s="4" cm="1">
        <f t="array" ref="AC430">IFERROR(INDEX(ReferenceCard, MATCH(1, (INDEX(ReferenceCard,,1)=Table1[[#This Row],[SAP No]]) * (INDEX(ReferenceCard,,2)=Table1[[#This Row],[Mould No]]), 0), 9),)</f>
        <v>32.74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L430" s="2"/>
      <c r="AM430" s="2"/>
      <c r="AN430" s="3">
        <v>0</v>
      </c>
      <c r="AO430" s="3">
        <v>0</v>
      </c>
      <c r="AP43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1" spans="1:42" x14ac:dyDescent="0.35">
      <c r="A431" s="1">
        <v>46009</v>
      </c>
      <c r="B431">
        <v>2</v>
      </c>
      <c r="C431" t="s">
        <v>14</v>
      </c>
      <c r="D431" t="str" cm="1">
        <f t="array" ref="D431">IFERROR(INDEX(ReferenceCard, MATCH(1, (INDEX(ReferenceCard,,1)=Table1[[#This Row],[SAP No]]) * (INDEX(ReferenceCard,,2)=Table1[[#This Row],[Mould No]]), 0), 6),)</f>
        <v>PET</v>
      </c>
      <c r="E431">
        <v>322444</v>
      </c>
      <c r="F431">
        <v>0</v>
      </c>
      <c r="G431" t="str" cm="1">
        <f t="array" ref="G431">IFERROR(INDEX(ReferenceCard, MATCH(1, (INDEX(ReferenceCard,,1)=Table1[[#This Row],[SAP No]]) * (INDEX(ReferenceCard,,2)=Table1[[#This Row],[Mould No]]), 0), 3),)</f>
        <v>JJ63-0400-RH-R-CL</v>
      </c>
      <c r="H431">
        <v>0</v>
      </c>
      <c r="I431" cm="1">
        <f t="array" ref="I431">IFERROR(INDEX(ReferenceCard, MATCH(1, (INDEX(ReferenceCard,,1)=Table1[[#This Row],[SAP No]]) * (INDEX(ReferenceCard,,2)=Table1[[#This Row],[Mould No]]), 0), 4),)</f>
        <v>4</v>
      </c>
      <c r="J431" s="4" cm="1">
        <f t="array" ref="J431">IFERROR(INDEX(ReferenceCard, MATCH(1, (INDEX(ReferenceCard,,1)=Table1[[#This Row],[SAP No]]) * (INDEX(ReferenceCard,,2)=Table1[[#This Row],[Mould No]]), 0), 9),)</f>
        <v>32.74</v>
      </c>
      <c r="K431" s="4" cm="1">
        <f t="array" ref="K431">IFERROR(INDEX(ReferenceCard, MATCH(1, (INDEX(ReferenceCard,,1)=Table1[[#This Row],[SAP No]]) * (INDEX(ReferenceCard,,2)=Table1[[#This Row],[Mould No]]), 0), 7),)</f>
        <v>34.5</v>
      </c>
      <c r="L431">
        <v>3796</v>
      </c>
      <c r="M431">
        <v>0</v>
      </c>
      <c r="N431">
        <v>0</v>
      </c>
      <c r="O431">
        <v>0</v>
      </c>
      <c r="P431">
        <f>Table1[[#This Row],[Shot]]*Table1[[#This Row],[Cav]]</f>
        <v>15184</v>
      </c>
      <c r="Q431">
        <v>0</v>
      </c>
      <c r="R431">
        <f>(Table1[[#This Row],[Part Weight (gm)]]*Table1[[#This Row],[Finish Good]])/1000</f>
        <v>0</v>
      </c>
      <c r="S431">
        <v>0</v>
      </c>
      <c r="T431">
        <f>IF(Table1[[#This Row],[Qty Order]]="Sample","-",IF(Table1[[#This Row],[Qty Order]]="RTFN","-",Table1[[#This Row],[Qty Order]]-Table1[[#This Row],[Qty Accumulate]]))</f>
        <v>0</v>
      </c>
      <c r="U431">
        <f>((Table1[[#This Row],[Shift Output]]*Table1[[#This Row],[Part Weight (gm)]])/1000)+Table1[[#This Row],[Reject Startup (kg)]]+Table1[[#This Row],[Reject Purging (kg)]]+Table1[[#This Row],[Reject Preform (kg)]]</f>
        <v>523.84799999999996</v>
      </c>
      <c r="V431" s="37">
        <f>(Table1[[#This Row],[Gross Weight (gm)]]-Table1[[#This Row],[Part Weight (gm)]])*Table1[[#This Row],[Shift Output]]/1000</f>
        <v>-26.723839999999971</v>
      </c>
      <c r="W431" s="3">
        <v>0</v>
      </c>
      <c r="X431" s="36">
        <f>Table1[[#This Row],[Reject Startup (kg)]]/Table1[[#This Row],[Material Used]]</f>
        <v>0</v>
      </c>
      <c r="Y431" s="3">
        <v>0</v>
      </c>
      <c r="Z431" s="36">
        <f>Table1[[#This Row],[Reject Prod (kg)]]/Table1[[#This Row],[Material Used]]</f>
        <v>0</v>
      </c>
      <c r="AA431" s="4">
        <v>22.095582962036101</v>
      </c>
      <c r="AB431" s="5">
        <v>11.84</v>
      </c>
      <c r="AC431" s="4" cm="1">
        <f t="array" ref="AC431">IFERROR(INDEX(ReferenceCard, MATCH(1, (INDEX(ReferenceCard,,1)=Table1[[#This Row],[SAP No]]) * (INDEX(ReferenceCard,,2)=Table1[[#This Row],[Mould No]]), 0), 9),)</f>
        <v>32.74</v>
      </c>
      <c r="AD431" s="5">
        <v>0</v>
      </c>
      <c r="AE431" s="5">
        <v>0</v>
      </c>
      <c r="AF431" s="5">
        <v>0</v>
      </c>
      <c r="AG431" s="5">
        <v>0</v>
      </c>
      <c r="AH431" s="5">
        <v>0.16</v>
      </c>
      <c r="AI431" s="5">
        <v>0</v>
      </c>
      <c r="AJ431" s="5">
        <v>0</v>
      </c>
      <c r="AL431" s="2"/>
      <c r="AM431" s="2"/>
      <c r="AN431" s="3">
        <v>0</v>
      </c>
      <c r="AO431" s="3">
        <v>0</v>
      </c>
      <c r="AP43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2" spans="1:42" x14ac:dyDescent="0.35">
      <c r="A432" s="1">
        <v>46009</v>
      </c>
      <c r="B432">
        <v>2</v>
      </c>
      <c r="C432" t="s">
        <v>16</v>
      </c>
      <c r="D432" t="str" cm="1">
        <f t="array" ref="D432">IFERROR(INDEX(ReferenceCard, MATCH(1, (INDEX(ReferenceCard,,1)=Table1[[#This Row],[SAP No]]) * (INDEX(ReferenceCard,,2)=Table1[[#This Row],[Mould No]]), 0), 6),)</f>
        <v>PET</v>
      </c>
      <c r="E432">
        <v>324206</v>
      </c>
      <c r="F432">
        <v>0</v>
      </c>
      <c r="G432" t="str" cm="1">
        <f t="array" ref="G432">IFERROR(INDEX(ReferenceCard, MATCH(1, (INDEX(ReferenceCard,,1)=Table1[[#This Row],[SAP No]]) * (INDEX(ReferenceCard,,2)=Table1[[#This Row],[Mould No]]), 0), 3),)</f>
        <v>BX38-1000-HC-S-CL</v>
      </c>
      <c r="H432">
        <v>0</v>
      </c>
      <c r="I432" cm="1">
        <f t="array" ref="I432">IFERROR(INDEX(ReferenceCard, MATCH(1, (INDEX(ReferenceCard,,1)=Table1[[#This Row],[SAP No]]) * (INDEX(ReferenceCard,,2)=Table1[[#This Row],[Mould No]]), 0), 4),)</f>
        <v>4</v>
      </c>
      <c r="J432" s="4" cm="1">
        <f t="array" ref="J432">IFERROR(INDEX(ReferenceCard, MATCH(1, (INDEX(ReferenceCard,,1)=Table1[[#This Row],[SAP No]]) * (INDEX(ReferenceCard,,2)=Table1[[#This Row],[Mould No]]), 0), 9),)</f>
        <v>49</v>
      </c>
      <c r="K432" s="4" cm="1">
        <f t="array" ref="K432">IFERROR(INDEX(ReferenceCard, MATCH(1, (INDEX(ReferenceCard,,1)=Table1[[#This Row],[SAP No]]) * (INDEX(ReferenceCard,,2)=Table1[[#This Row],[Mould No]]), 0), 7),)</f>
        <v>48</v>
      </c>
      <c r="L432">
        <v>0</v>
      </c>
      <c r="M432">
        <v>0</v>
      </c>
      <c r="N432">
        <v>0</v>
      </c>
      <c r="O432">
        <v>0</v>
      </c>
      <c r="P432">
        <f>Table1[[#This Row],[Shot]]*Table1[[#This Row],[Cav]]</f>
        <v>0</v>
      </c>
      <c r="Q432">
        <v>0</v>
      </c>
      <c r="R432">
        <f>(Table1[[#This Row],[Part Weight (gm)]]*Table1[[#This Row],[Finish Good]])/1000</f>
        <v>0</v>
      </c>
      <c r="S432">
        <v>0</v>
      </c>
      <c r="T432">
        <f>IF(Table1[[#This Row],[Qty Order]]="Sample","-",IF(Table1[[#This Row],[Qty Order]]="RTFN","-",Table1[[#This Row],[Qty Order]]-Table1[[#This Row],[Qty Accumulate]]))</f>
        <v>0</v>
      </c>
      <c r="U432">
        <f>((Table1[[#This Row],[Shift Output]]*Table1[[#This Row],[Part Weight (gm)]])/1000)+Table1[[#This Row],[Reject Startup (kg)]]+Table1[[#This Row],[Reject Purging (kg)]]+Table1[[#This Row],[Reject Preform (kg)]]</f>
        <v>0</v>
      </c>
      <c r="V432" s="37">
        <f>(Table1[[#This Row],[Gross Weight (gm)]]-Table1[[#This Row],[Part Weight (gm)]])*Table1[[#This Row],[Shift Output]]/1000</f>
        <v>0</v>
      </c>
      <c r="W432" s="3">
        <v>0</v>
      </c>
      <c r="X432" s="36" t="e">
        <f>Table1[[#This Row],[Reject Startup (kg)]]/Table1[[#This Row],[Material Used]]</f>
        <v>#DIV/0!</v>
      </c>
      <c r="Y432" s="3">
        <v>0</v>
      </c>
      <c r="Z432" s="36" t="e">
        <f>Table1[[#This Row],[Reject Prod (kg)]]/Table1[[#This Row],[Material Used]]</f>
        <v>#DIV/0!</v>
      </c>
      <c r="AA432" s="4">
        <v>0</v>
      </c>
      <c r="AB432" s="5">
        <v>0</v>
      </c>
      <c r="AC432" s="4" cm="1">
        <f t="array" ref="AC432">IFERROR(INDEX(ReferenceCard, MATCH(1, (INDEX(ReferenceCard,,1)=Table1[[#This Row],[SAP No]]) * (INDEX(ReferenceCard,,2)=Table1[[#This Row],[Mould No]]), 0), 9),)</f>
        <v>49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12</v>
      </c>
      <c r="AJ432" s="5">
        <v>0</v>
      </c>
      <c r="AL432" s="2"/>
      <c r="AM432" s="2"/>
      <c r="AN432" s="3">
        <v>0</v>
      </c>
      <c r="AO432" s="3">
        <v>0</v>
      </c>
      <c r="AP43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3" spans="1:42" x14ac:dyDescent="0.35">
      <c r="A433" s="1">
        <v>46009</v>
      </c>
      <c r="B433">
        <v>2</v>
      </c>
      <c r="C433" t="s">
        <v>23</v>
      </c>
      <c r="D433" t="str" cm="1">
        <f t="array" ref="D433">IFERROR(INDEX(ReferenceCard, MATCH(1, (INDEX(ReferenceCard,,1)=Table1[[#This Row],[SAP No]]) * (INDEX(ReferenceCard,,2)=Table1[[#This Row],[Mould No]]), 0), 6),)</f>
        <v>PPSB520Y</v>
      </c>
      <c r="E433">
        <v>586276</v>
      </c>
      <c r="F433">
        <v>2</v>
      </c>
      <c r="G433" t="str" cm="1">
        <f t="array" ref="G433">IFERROR(INDEX(ReferenceCard, MATCH(1, (INDEX(ReferenceCard,,1)=Table1[[#This Row],[SAP No]]) * (INDEX(ReferenceCard,,2)=Table1[[#This Row],[Mould No]]), 0), 3),)</f>
        <v>BC28-0056-D-APH-LEB-604001-MOLD2</v>
      </c>
      <c r="H433">
        <v>0</v>
      </c>
      <c r="I433" cm="1">
        <f t="array" ref="I433">IFERROR(INDEX(ReferenceCard, MATCH(1, (INDEX(ReferenceCard,,1)=Table1[[#This Row],[SAP No]]) * (INDEX(ReferenceCard,,2)=Table1[[#This Row],[Mould No]]), 0), 4),)</f>
        <v>6</v>
      </c>
      <c r="J433" s="4" cm="1">
        <f t="array" ref="J433">IFERROR(INDEX(ReferenceCard, MATCH(1, (INDEX(ReferenceCard,,1)=Table1[[#This Row],[SAP No]]) * (INDEX(ReferenceCard,,2)=Table1[[#This Row],[Mould No]]), 0), 9),)</f>
        <v>12.3</v>
      </c>
      <c r="K433" s="4" cm="1">
        <f t="array" ref="K433">IFERROR(INDEX(ReferenceCard, MATCH(1, (INDEX(ReferenceCard,,1)=Table1[[#This Row],[SAP No]]) * (INDEX(ReferenceCard,,2)=Table1[[#This Row],[Mould No]]), 0), 7),)</f>
        <v>12.3</v>
      </c>
      <c r="L433">
        <v>1693</v>
      </c>
      <c r="M433">
        <v>0</v>
      </c>
      <c r="N433">
        <v>0</v>
      </c>
      <c r="O433">
        <v>0</v>
      </c>
      <c r="P433">
        <f>Table1[[#This Row],[Shot]]*Table1[[#This Row],[Cav]]</f>
        <v>10158</v>
      </c>
      <c r="Q433">
        <v>0</v>
      </c>
      <c r="R433">
        <f>(Table1[[#This Row],[Part Weight (gm)]]*Table1[[#This Row],[Finish Good]])/1000</f>
        <v>0</v>
      </c>
      <c r="S433">
        <v>0</v>
      </c>
      <c r="T433">
        <f>IF(Table1[[#This Row],[Qty Order]]="Sample","-",IF(Table1[[#This Row],[Qty Order]]="RTFN","-",Table1[[#This Row],[Qty Order]]-Table1[[#This Row],[Qty Accumulate]]))</f>
        <v>0</v>
      </c>
      <c r="U433">
        <f>((Table1[[#This Row],[Shift Output]]*Table1[[#This Row],[Part Weight (gm)]])/1000)+Table1[[#This Row],[Reject Startup (kg)]]+Table1[[#This Row],[Reject Purging (kg)]]+Table1[[#This Row],[Reject Preform (kg)]]</f>
        <v>124.94340000000001</v>
      </c>
      <c r="V433" s="37">
        <f>(Table1[[#This Row],[Gross Weight (gm)]]-Table1[[#This Row],[Part Weight (gm)]])*Table1[[#This Row],[Shift Output]]/1000</f>
        <v>0</v>
      </c>
      <c r="W433" s="3">
        <v>0</v>
      </c>
      <c r="X433" s="36">
        <f>Table1[[#This Row],[Reject Startup (kg)]]/Table1[[#This Row],[Material Used]]</f>
        <v>0</v>
      </c>
      <c r="Y433" s="3">
        <v>0</v>
      </c>
      <c r="Z433" s="36">
        <f>Table1[[#This Row],[Reject Prod (kg)]]/Table1[[#This Row],[Material Used]]</f>
        <v>0</v>
      </c>
      <c r="AA433" s="4">
        <v>25.5075969696044</v>
      </c>
      <c r="AB433" s="5">
        <v>12</v>
      </c>
      <c r="AC433" s="4" cm="1">
        <f t="array" ref="AC433">IFERROR(INDEX(ReferenceCard, MATCH(1, (INDEX(ReferenceCard,,1)=Table1[[#This Row],[SAP No]]) * (INDEX(ReferenceCard,,2)=Table1[[#This Row],[Mould No]]), 0), 9),)</f>
        <v>12.3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L433" s="2"/>
      <c r="AM433" s="2"/>
      <c r="AN433" s="3">
        <v>0</v>
      </c>
      <c r="AO433" s="3">
        <v>0</v>
      </c>
      <c r="AP43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4" spans="1:42" x14ac:dyDescent="0.35">
      <c r="A434" s="1">
        <v>46009</v>
      </c>
      <c r="B434">
        <v>2</v>
      </c>
      <c r="C434" t="s">
        <v>25</v>
      </c>
      <c r="D434" t="str" cm="1">
        <f t="array" ref="D434">IFERROR(INDEX(ReferenceCard, MATCH(1, (INDEX(ReferenceCard,,1)=Table1[[#This Row],[SAP No]]) * (INDEX(ReferenceCard,,2)=Table1[[#This Row],[Mould No]]), 0), 6),)</f>
        <v>PET</v>
      </c>
      <c r="E434">
        <v>323133</v>
      </c>
      <c r="F434">
        <v>0</v>
      </c>
      <c r="G434" t="str" cm="1">
        <f t="array" ref="G434">IFERROR(INDEX(ReferenceCard, MATCH(1, (INDEX(ReferenceCard,,1)=Table1[[#This Row],[SAP No]]) * (INDEX(ReferenceCard,,2)=Table1[[#This Row],[Mould No]]), 0), 3),)</f>
        <v>BX38-2000-RH-R-CL(GREEN) (ASEM)</v>
      </c>
      <c r="H434">
        <v>0</v>
      </c>
      <c r="I434" cm="1">
        <f t="array" ref="I434">IFERROR(INDEX(ReferenceCard, MATCH(1, (INDEX(ReferenceCard,,1)=Table1[[#This Row],[SAP No]]) * (INDEX(ReferenceCard,,2)=Table1[[#This Row],[Mould No]]), 0), 4),)</f>
        <v>4</v>
      </c>
      <c r="J434" s="4" cm="1">
        <f t="array" ref="J434">IFERROR(INDEX(ReferenceCard, MATCH(1, (INDEX(ReferenceCard,,1)=Table1[[#This Row],[SAP No]]) * (INDEX(ReferenceCard,,2)=Table1[[#This Row],[Mould No]]), 0), 9),)</f>
        <v>77</v>
      </c>
      <c r="K434" s="4" cm="1">
        <f t="array" ref="K434">IFERROR(INDEX(ReferenceCard, MATCH(1, (INDEX(ReferenceCard,,1)=Table1[[#This Row],[SAP No]]) * (INDEX(ReferenceCard,,2)=Table1[[#This Row],[Mould No]]), 0), 7),)</f>
        <v>77</v>
      </c>
      <c r="L434">
        <v>0</v>
      </c>
      <c r="M434">
        <v>0</v>
      </c>
      <c r="N434">
        <v>0</v>
      </c>
      <c r="O434">
        <v>0</v>
      </c>
      <c r="P434">
        <f>Table1[[#This Row],[Shot]]*Table1[[#This Row],[Cav]]</f>
        <v>0</v>
      </c>
      <c r="Q434">
        <v>0</v>
      </c>
      <c r="R434">
        <f>(Table1[[#This Row],[Part Weight (gm)]]*Table1[[#This Row],[Finish Good]])/1000</f>
        <v>0</v>
      </c>
      <c r="S434">
        <v>0</v>
      </c>
      <c r="T434">
        <f>IF(Table1[[#This Row],[Qty Order]]="Sample","-",IF(Table1[[#This Row],[Qty Order]]="RTFN","-",Table1[[#This Row],[Qty Order]]-Table1[[#This Row],[Qty Accumulate]]))</f>
        <v>0</v>
      </c>
      <c r="U434">
        <f>((Table1[[#This Row],[Shift Output]]*Table1[[#This Row],[Part Weight (gm)]])/1000)+Table1[[#This Row],[Reject Startup (kg)]]+Table1[[#This Row],[Reject Purging (kg)]]+Table1[[#This Row],[Reject Preform (kg)]]</f>
        <v>0</v>
      </c>
      <c r="V434" s="37">
        <f>(Table1[[#This Row],[Gross Weight (gm)]]-Table1[[#This Row],[Part Weight (gm)]])*Table1[[#This Row],[Shift Output]]/1000</f>
        <v>0</v>
      </c>
      <c r="W434" s="3">
        <v>0</v>
      </c>
      <c r="X434" s="36" t="e">
        <f>Table1[[#This Row],[Reject Startup (kg)]]/Table1[[#This Row],[Material Used]]</f>
        <v>#DIV/0!</v>
      </c>
      <c r="Y434" s="3">
        <v>0</v>
      </c>
      <c r="Z434" s="36" t="e">
        <f>Table1[[#This Row],[Reject Prod (kg)]]/Table1[[#This Row],[Material Used]]</f>
        <v>#DIV/0!</v>
      </c>
      <c r="AA434" s="4">
        <v>0</v>
      </c>
      <c r="AB434" s="5">
        <v>0</v>
      </c>
      <c r="AC434" s="4" cm="1">
        <f t="array" ref="AC434">IFERROR(INDEX(ReferenceCard, MATCH(1, (INDEX(ReferenceCard,,1)=Table1[[#This Row],[SAP No]]) * (INDEX(ReferenceCard,,2)=Table1[[#This Row],[Mould No]]), 0), 9),)</f>
        <v>77</v>
      </c>
      <c r="AD434" s="5">
        <v>0</v>
      </c>
      <c r="AE434" s="5">
        <v>0</v>
      </c>
      <c r="AF434" s="5">
        <v>0</v>
      </c>
      <c r="AG434" s="5">
        <v>12</v>
      </c>
      <c r="AH434" s="5">
        <v>0</v>
      </c>
      <c r="AI434" s="5">
        <v>0</v>
      </c>
      <c r="AJ434" s="5">
        <v>0</v>
      </c>
      <c r="AK434" t="s">
        <v>79</v>
      </c>
      <c r="AL434" s="2"/>
      <c r="AM434" s="2"/>
      <c r="AN434" s="3">
        <v>0</v>
      </c>
      <c r="AO434" s="3">
        <v>0</v>
      </c>
      <c r="AP43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5" spans="1:42" x14ac:dyDescent="0.35">
      <c r="A435" s="1">
        <v>46009</v>
      </c>
      <c r="B435">
        <v>2</v>
      </c>
      <c r="C435" t="s">
        <v>27</v>
      </c>
      <c r="D435" t="str" cm="1">
        <f t="array" ref="D435">IFERROR(INDEX(ReferenceCard, MATCH(1, (INDEX(ReferenceCard,,1)=Table1[[#This Row],[SAP No]]) * (INDEX(ReferenceCard,,2)=Table1[[#This Row],[Mould No]]), 0), 6),)</f>
        <v>PPSB520Y</v>
      </c>
      <c r="E435">
        <v>552181</v>
      </c>
      <c r="F435">
        <v>4</v>
      </c>
      <c r="G435" t="str" cm="1">
        <f t="array" ref="G435">IFERROR(INDEX(ReferenceCard, MATCH(1, (INDEX(ReferenceCard,,1)=Table1[[#This Row],[SAP No]]) * (INDEX(ReferenceCard,,2)=Table1[[#This Row],[Mould No]]), 0), 3),)</f>
        <v>BC28-0090-D-APH-5180-3538-PP-6 NOTCHES-MOLD4</v>
      </c>
      <c r="H435">
        <v>0</v>
      </c>
      <c r="I435" cm="1">
        <f t="array" ref="I435">IFERROR(INDEX(ReferenceCard, MATCH(1, (INDEX(ReferenceCard,,1)=Table1[[#This Row],[SAP No]]) * (INDEX(ReferenceCard,,2)=Table1[[#This Row],[Mould No]]), 0), 4),)</f>
        <v>6</v>
      </c>
      <c r="J435" s="4" cm="1">
        <f t="array" ref="J435">IFERROR(INDEX(ReferenceCard, MATCH(1, (INDEX(ReferenceCard,,1)=Table1[[#This Row],[SAP No]]) * (INDEX(ReferenceCard,,2)=Table1[[#This Row],[Mould No]]), 0), 9),)</f>
        <v>18.8</v>
      </c>
      <c r="K435" s="4" cm="1">
        <f t="array" ref="K435">IFERROR(INDEX(ReferenceCard, MATCH(1, (INDEX(ReferenceCard,,1)=Table1[[#This Row],[SAP No]]) * (INDEX(ReferenceCard,,2)=Table1[[#This Row],[Mould No]]), 0), 7),)</f>
        <v>18.8</v>
      </c>
      <c r="L435">
        <v>171</v>
      </c>
      <c r="M435">
        <v>0</v>
      </c>
      <c r="N435">
        <v>0</v>
      </c>
      <c r="O435">
        <v>0</v>
      </c>
      <c r="P435">
        <f>Table1[[#This Row],[Shot]]*Table1[[#This Row],[Cav]]</f>
        <v>1026</v>
      </c>
      <c r="Q435">
        <v>0</v>
      </c>
      <c r="R435">
        <f>(Table1[[#This Row],[Part Weight (gm)]]*Table1[[#This Row],[Finish Good]])/1000</f>
        <v>0</v>
      </c>
      <c r="S435">
        <v>0</v>
      </c>
      <c r="T435">
        <f>IF(Table1[[#This Row],[Qty Order]]="Sample","-",IF(Table1[[#This Row],[Qty Order]]="RTFN","-",Table1[[#This Row],[Qty Order]]-Table1[[#This Row],[Qty Accumulate]]))</f>
        <v>0</v>
      </c>
      <c r="U435">
        <f>((Table1[[#This Row],[Shift Output]]*Table1[[#This Row],[Part Weight (gm)]])/1000)+Table1[[#This Row],[Reject Startup (kg)]]+Table1[[#This Row],[Reject Purging (kg)]]+Table1[[#This Row],[Reject Preform (kg)]]</f>
        <v>19.288799999999998</v>
      </c>
      <c r="V435" s="37">
        <f>(Table1[[#This Row],[Gross Weight (gm)]]-Table1[[#This Row],[Part Weight (gm)]])*Table1[[#This Row],[Shift Output]]/1000</f>
        <v>0</v>
      </c>
      <c r="W435" s="3">
        <v>0</v>
      </c>
      <c r="X435" s="36">
        <f>Table1[[#This Row],[Reject Startup (kg)]]/Table1[[#This Row],[Material Used]]</f>
        <v>0</v>
      </c>
      <c r="Y435" s="3">
        <v>0</v>
      </c>
      <c r="Z435" s="36">
        <f>Table1[[#This Row],[Reject Prod (kg)]]/Table1[[#This Row],[Material Used]]</f>
        <v>0</v>
      </c>
      <c r="AA435" s="4">
        <v>0</v>
      </c>
      <c r="AB435" s="5">
        <v>0</v>
      </c>
      <c r="AC435" s="4" cm="1">
        <f t="array" ref="AC435">IFERROR(INDEX(ReferenceCard, MATCH(1, (INDEX(ReferenceCard,,1)=Table1[[#This Row],[SAP No]]) * (INDEX(ReferenceCard,,2)=Table1[[#This Row],[Mould No]]), 0), 9),)</f>
        <v>18.8</v>
      </c>
      <c r="AD435" s="5">
        <v>0</v>
      </c>
      <c r="AE435" s="5">
        <v>0</v>
      </c>
      <c r="AF435" s="5">
        <v>0</v>
      </c>
      <c r="AG435" s="5">
        <v>12</v>
      </c>
      <c r="AH435" s="5">
        <v>0</v>
      </c>
      <c r="AI435" s="5">
        <v>0</v>
      </c>
      <c r="AJ435" s="5">
        <v>0</v>
      </c>
      <c r="AK435" t="s">
        <v>96</v>
      </c>
      <c r="AL435" s="2"/>
      <c r="AM435" s="2"/>
      <c r="AN435" s="3">
        <v>0</v>
      </c>
      <c r="AO435" s="3">
        <v>0</v>
      </c>
      <c r="AP43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6" spans="1:42" x14ac:dyDescent="0.35">
      <c r="A436" s="1">
        <v>46009</v>
      </c>
      <c r="B436">
        <v>2</v>
      </c>
      <c r="C436" t="s">
        <v>29</v>
      </c>
      <c r="D436" t="str" cm="1">
        <f t="array" ref="D436">IFERROR(INDEX(ReferenceCard, MATCH(1, (INDEX(ReferenceCard,,1)=Table1[[#This Row],[SAP No]]) * (INDEX(ReferenceCard,,2)=Table1[[#This Row],[Mould No]]), 0), 6),)</f>
        <v>PET</v>
      </c>
      <c r="E436">
        <v>620599</v>
      </c>
      <c r="F436">
        <v>0</v>
      </c>
      <c r="G436" t="str" cm="1">
        <f t="array" ref="G436">IFERROR(INDEX(ReferenceCard, MATCH(1, (INDEX(ReferenceCard,,1)=Table1[[#This Row],[SAP No]]) * (INDEX(ReferenceCard,,2)=Table1[[#This Row],[Mould No]]), 0), 3),)</f>
        <v>BC28-0750-K4-R-CL (55g)</v>
      </c>
      <c r="H436">
        <v>0</v>
      </c>
      <c r="I436" cm="1">
        <f t="array" ref="I436">IFERROR(INDEX(ReferenceCard, MATCH(1, (INDEX(ReferenceCard,,1)=Table1[[#This Row],[SAP No]]) * (INDEX(ReferenceCard,,2)=Table1[[#This Row],[Mould No]]), 0), 4),)</f>
        <v>4</v>
      </c>
      <c r="J436" s="4" cm="1">
        <f t="array" ref="J436">IFERROR(INDEX(ReferenceCard, MATCH(1, (INDEX(ReferenceCard,,1)=Table1[[#This Row],[SAP No]]) * (INDEX(ReferenceCard,,2)=Table1[[#This Row],[Mould No]]), 0), 9),)</f>
        <v>55</v>
      </c>
      <c r="K436" s="4" cm="1">
        <f t="array" ref="K436">IFERROR(INDEX(ReferenceCard, MATCH(1, (INDEX(ReferenceCard,,1)=Table1[[#This Row],[SAP No]]) * (INDEX(ReferenceCard,,2)=Table1[[#This Row],[Mould No]]), 0), 7),)</f>
        <v>55</v>
      </c>
      <c r="L436">
        <v>1546</v>
      </c>
      <c r="M436">
        <v>0</v>
      </c>
      <c r="N436">
        <v>0</v>
      </c>
      <c r="O436">
        <v>0</v>
      </c>
      <c r="P436">
        <f>Table1[[#This Row],[Shot]]*Table1[[#This Row],[Cav]]</f>
        <v>6184</v>
      </c>
      <c r="Q436">
        <v>0</v>
      </c>
      <c r="R436">
        <f>(Table1[[#This Row],[Part Weight (gm)]]*Table1[[#This Row],[Finish Good]])/1000</f>
        <v>0</v>
      </c>
      <c r="S436">
        <v>0</v>
      </c>
      <c r="T436">
        <f>IF(Table1[[#This Row],[Qty Order]]="Sample","-",IF(Table1[[#This Row],[Qty Order]]="RTFN","-",Table1[[#This Row],[Qty Order]]-Table1[[#This Row],[Qty Accumulate]]))</f>
        <v>0</v>
      </c>
      <c r="U436">
        <f>((Table1[[#This Row],[Shift Output]]*Table1[[#This Row],[Part Weight (gm)]])/1000)+Table1[[#This Row],[Reject Startup (kg)]]+Table1[[#This Row],[Reject Purging (kg)]]+Table1[[#This Row],[Reject Preform (kg)]]</f>
        <v>340.12</v>
      </c>
      <c r="V436" s="37">
        <f>(Table1[[#This Row],[Gross Weight (gm)]]-Table1[[#This Row],[Part Weight (gm)]])*Table1[[#This Row],[Shift Output]]/1000</f>
        <v>0</v>
      </c>
      <c r="W436" s="3">
        <v>0</v>
      </c>
      <c r="X436" s="36">
        <f>Table1[[#This Row],[Reject Startup (kg)]]/Table1[[#This Row],[Material Used]]</f>
        <v>0</v>
      </c>
      <c r="Y436" s="3">
        <v>0</v>
      </c>
      <c r="Z436" s="36">
        <f>Table1[[#This Row],[Reject Prod (kg)]]/Table1[[#This Row],[Material Used]]</f>
        <v>0</v>
      </c>
      <c r="AA436" s="4">
        <v>27.937623977661101</v>
      </c>
      <c r="AB436" s="5">
        <v>12</v>
      </c>
      <c r="AC436" s="4" cm="1">
        <f t="array" ref="AC436">IFERROR(INDEX(ReferenceCard, MATCH(1, (INDEX(ReferenceCard,,1)=Table1[[#This Row],[SAP No]]) * (INDEX(ReferenceCard,,2)=Table1[[#This Row],[Mould No]]), 0), 9),)</f>
        <v>55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L436" s="2"/>
      <c r="AM436" s="2"/>
      <c r="AN436" s="3">
        <v>0</v>
      </c>
      <c r="AO436" s="3">
        <v>0</v>
      </c>
      <c r="AP43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7" spans="1:42" x14ac:dyDescent="0.35">
      <c r="A437" s="1">
        <v>46009</v>
      </c>
      <c r="B437">
        <v>2</v>
      </c>
      <c r="C437" t="s">
        <v>31</v>
      </c>
      <c r="D437" t="str" cm="1">
        <f t="array" ref="D437">IFERROR(INDEX(ReferenceCard, MATCH(1, (INDEX(ReferenceCard,,1)=Table1[[#This Row],[SAP No]]) * (INDEX(ReferenceCard,,2)=Table1[[#This Row],[Mould No]]), 0), 6),)</f>
        <v>PPSB520Y</v>
      </c>
      <c r="E437">
        <v>586276</v>
      </c>
      <c r="F437">
        <v>4</v>
      </c>
      <c r="G437" t="str" cm="1">
        <f t="array" ref="G437">IFERROR(INDEX(ReferenceCard, MATCH(1, (INDEX(ReferenceCard,,1)=Table1[[#This Row],[SAP No]]) * (INDEX(ReferenceCard,,2)=Table1[[#This Row],[Mould No]]), 0), 3),)</f>
        <v>BC28-0056-D-APH-LEB-604001-MOLD4</v>
      </c>
      <c r="H437">
        <v>0</v>
      </c>
      <c r="I437" cm="1">
        <f t="array" ref="I437">IFERROR(INDEX(ReferenceCard, MATCH(1, (INDEX(ReferenceCard,,1)=Table1[[#This Row],[SAP No]]) * (INDEX(ReferenceCard,,2)=Table1[[#This Row],[Mould No]]), 0), 4),)</f>
        <v>6</v>
      </c>
      <c r="J437" s="4" cm="1">
        <f t="array" ref="J437">IFERROR(INDEX(ReferenceCard, MATCH(1, (INDEX(ReferenceCard,,1)=Table1[[#This Row],[SAP No]]) * (INDEX(ReferenceCard,,2)=Table1[[#This Row],[Mould No]]), 0), 9),)</f>
        <v>12.3</v>
      </c>
      <c r="K437" s="4" cm="1">
        <f t="array" ref="K437">IFERROR(INDEX(ReferenceCard, MATCH(1, (INDEX(ReferenceCard,,1)=Table1[[#This Row],[SAP No]]) * (INDEX(ReferenceCard,,2)=Table1[[#This Row],[Mould No]]), 0), 7),)</f>
        <v>12.3</v>
      </c>
      <c r="L437">
        <v>1650</v>
      </c>
      <c r="M437">
        <v>0</v>
      </c>
      <c r="N437">
        <v>0</v>
      </c>
      <c r="O437">
        <v>0</v>
      </c>
      <c r="P437">
        <f>Table1[[#This Row],[Shot]]*Table1[[#This Row],[Cav]]</f>
        <v>9900</v>
      </c>
      <c r="Q437">
        <v>0</v>
      </c>
      <c r="R437">
        <f>(Table1[[#This Row],[Part Weight (gm)]]*Table1[[#This Row],[Finish Good]])/1000</f>
        <v>0</v>
      </c>
      <c r="S437">
        <v>0</v>
      </c>
      <c r="T437">
        <f>IF(Table1[[#This Row],[Qty Order]]="Sample","-",IF(Table1[[#This Row],[Qty Order]]="RTFN","-",Table1[[#This Row],[Qty Order]]-Table1[[#This Row],[Qty Accumulate]]))</f>
        <v>0</v>
      </c>
      <c r="U437">
        <f>((Table1[[#This Row],[Shift Output]]*Table1[[#This Row],[Part Weight (gm)]])/1000)+Table1[[#This Row],[Reject Startup (kg)]]+Table1[[#This Row],[Reject Purging (kg)]]+Table1[[#This Row],[Reject Preform (kg)]]</f>
        <v>121.77</v>
      </c>
      <c r="V437" s="37">
        <f>(Table1[[#This Row],[Gross Weight (gm)]]-Table1[[#This Row],[Part Weight (gm)]])*Table1[[#This Row],[Shift Output]]/1000</f>
        <v>0</v>
      </c>
      <c r="W437" s="3">
        <v>0</v>
      </c>
      <c r="X437" s="36">
        <f>Table1[[#This Row],[Reject Startup (kg)]]/Table1[[#This Row],[Material Used]]</f>
        <v>0</v>
      </c>
      <c r="Y437" s="3">
        <v>0</v>
      </c>
      <c r="Z437" s="36">
        <f>Table1[[#This Row],[Reject Prod (kg)]]/Table1[[#This Row],[Material Used]]</f>
        <v>0</v>
      </c>
      <c r="AA437" s="4">
        <v>26.1564540863037</v>
      </c>
      <c r="AB437" s="5">
        <v>12</v>
      </c>
      <c r="AC437" s="4" cm="1">
        <f t="array" ref="AC437">IFERROR(INDEX(ReferenceCard, MATCH(1, (INDEX(ReferenceCard,,1)=Table1[[#This Row],[SAP No]]) * (INDEX(ReferenceCard,,2)=Table1[[#This Row],[Mould No]]), 0), 9),)</f>
        <v>12.3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L437" s="2"/>
      <c r="AM437" s="2"/>
      <c r="AN437" s="3">
        <v>0</v>
      </c>
      <c r="AO437" s="3">
        <v>0</v>
      </c>
      <c r="AP43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8" spans="1:42" x14ac:dyDescent="0.35">
      <c r="A438" s="1">
        <v>46009</v>
      </c>
      <c r="B438">
        <v>2</v>
      </c>
      <c r="C438" t="s">
        <v>33</v>
      </c>
      <c r="D438" t="str" cm="1">
        <f t="array" ref="D438">IFERROR(INDEX(ReferenceCard, MATCH(1, (INDEX(ReferenceCard,,1)=Table1[[#This Row],[SAP No]]) * (INDEX(ReferenceCard,,2)=Table1[[#This Row],[Mould No]]), 0), 6),)</f>
        <v>PET</v>
      </c>
      <c r="E438">
        <v>541381</v>
      </c>
      <c r="F438">
        <v>0</v>
      </c>
      <c r="G438" t="str" cm="1">
        <f t="array" ref="G438">IFERROR(INDEX(ReferenceCard, MATCH(1, (INDEX(ReferenceCard,,1)=Table1[[#This Row],[SAP No]]) * (INDEX(ReferenceCard,,2)=Table1[[#This Row],[Mould No]]), 0), 3),)</f>
        <v>BC28-1200-K-R-CL</v>
      </c>
      <c r="H438">
        <v>0</v>
      </c>
      <c r="I438" cm="1">
        <f t="array" ref="I438">IFERROR(INDEX(ReferenceCard, MATCH(1, (INDEX(ReferenceCard,,1)=Table1[[#This Row],[SAP No]]) * (INDEX(ReferenceCard,,2)=Table1[[#This Row],[Mould No]]), 0), 4),)</f>
        <v>4</v>
      </c>
      <c r="J438" s="4" cm="1">
        <f t="array" ref="J438">IFERROR(INDEX(ReferenceCard, MATCH(1, (INDEX(ReferenceCard,,1)=Table1[[#This Row],[SAP No]]) * (INDEX(ReferenceCard,,2)=Table1[[#This Row],[Mould No]]), 0), 9),)</f>
        <v>55</v>
      </c>
      <c r="K438" s="4" cm="1">
        <f t="array" ref="K438">IFERROR(INDEX(ReferenceCard, MATCH(1, (INDEX(ReferenceCard,,1)=Table1[[#This Row],[SAP No]]) * (INDEX(ReferenceCard,,2)=Table1[[#This Row],[Mould No]]), 0), 7),)</f>
        <v>55</v>
      </c>
      <c r="L438">
        <v>401</v>
      </c>
      <c r="M438">
        <v>0</v>
      </c>
      <c r="N438">
        <v>0</v>
      </c>
      <c r="O438">
        <v>0</v>
      </c>
      <c r="P438">
        <f>Table1[[#This Row],[Shot]]*Table1[[#This Row],[Cav]]</f>
        <v>1604</v>
      </c>
      <c r="Q438">
        <v>0</v>
      </c>
      <c r="R438">
        <f>(Table1[[#This Row],[Part Weight (gm)]]*Table1[[#This Row],[Finish Good]])/1000</f>
        <v>0</v>
      </c>
      <c r="S438">
        <v>0</v>
      </c>
      <c r="T438">
        <f>IF(Table1[[#This Row],[Qty Order]]="Sample","-",IF(Table1[[#This Row],[Qty Order]]="RTFN","-",Table1[[#This Row],[Qty Order]]-Table1[[#This Row],[Qty Accumulate]]))</f>
        <v>0</v>
      </c>
      <c r="U438">
        <f>((Table1[[#This Row],[Shift Output]]*Table1[[#This Row],[Part Weight (gm)]])/1000)+Table1[[#This Row],[Reject Startup (kg)]]+Table1[[#This Row],[Reject Purging (kg)]]+Table1[[#This Row],[Reject Preform (kg)]]</f>
        <v>88.22</v>
      </c>
      <c r="V438" s="37">
        <f>(Table1[[#This Row],[Gross Weight (gm)]]-Table1[[#This Row],[Part Weight (gm)]])*Table1[[#This Row],[Shift Output]]/1000</f>
        <v>0</v>
      </c>
      <c r="W438" s="3">
        <v>0</v>
      </c>
      <c r="X438" s="36">
        <f>Table1[[#This Row],[Reject Startup (kg)]]/Table1[[#This Row],[Material Used]]</f>
        <v>0</v>
      </c>
      <c r="Y438" s="3">
        <v>0</v>
      </c>
      <c r="Z438" s="36">
        <f>Table1[[#This Row],[Reject Prod (kg)]]/Table1[[#This Row],[Material Used]]</f>
        <v>0</v>
      </c>
      <c r="AA438" s="4">
        <v>0</v>
      </c>
      <c r="AB438" s="5">
        <v>3.96</v>
      </c>
      <c r="AC438" s="4" cm="1">
        <f t="array" ref="AC438">IFERROR(INDEX(ReferenceCard, MATCH(1, (INDEX(ReferenceCard,,1)=Table1[[#This Row],[SAP No]]) * (INDEX(ReferenceCard,,2)=Table1[[#This Row],[Mould No]]), 0), 9),)</f>
        <v>55</v>
      </c>
      <c r="AD438" s="5">
        <v>0</v>
      </c>
      <c r="AE438" s="5">
        <v>0</v>
      </c>
      <c r="AF438" s="5">
        <v>0</v>
      </c>
      <c r="AG438" s="5">
        <v>0</v>
      </c>
      <c r="AH438" s="5">
        <v>8.0399999999999903</v>
      </c>
      <c r="AI438" s="5">
        <v>0</v>
      </c>
      <c r="AJ438" s="5">
        <v>0</v>
      </c>
      <c r="AL438" s="2"/>
      <c r="AM438" s="2"/>
      <c r="AN438" s="3">
        <v>0</v>
      </c>
      <c r="AO438" s="3">
        <v>0</v>
      </c>
      <c r="AP43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39" spans="1:42" x14ac:dyDescent="0.35">
      <c r="A439" s="1">
        <v>46009</v>
      </c>
      <c r="B439">
        <v>2</v>
      </c>
      <c r="C439" t="s">
        <v>35</v>
      </c>
      <c r="D439" t="str" cm="1">
        <f t="array" ref="D439">IFERROR(INDEX(ReferenceCard, MATCH(1, (INDEX(ReferenceCard,,1)=Table1[[#This Row],[SAP No]]) * (INDEX(ReferenceCard,,2)=Table1[[#This Row],[Mould No]]), 0), 6),)</f>
        <v>PPSB520Y</v>
      </c>
      <c r="E439">
        <v>552181</v>
      </c>
      <c r="F439">
        <v>1</v>
      </c>
      <c r="G439" t="str" cm="1">
        <f t="array" ref="G439">IFERROR(INDEX(ReferenceCard, MATCH(1, (INDEX(ReferenceCard,,1)=Table1[[#This Row],[SAP No]]) * (INDEX(ReferenceCard,,2)=Table1[[#This Row],[Mould No]]), 0), 3),)</f>
        <v>BC28-0090-D-APH-5180-3538-PP-6 NOTCHES-MOLD1</v>
      </c>
      <c r="H439">
        <v>0</v>
      </c>
      <c r="I439" cm="1">
        <f t="array" ref="I439">IFERROR(INDEX(ReferenceCard, MATCH(1, (INDEX(ReferenceCard,,1)=Table1[[#This Row],[SAP No]]) * (INDEX(ReferenceCard,,2)=Table1[[#This Row],[Mould No]]), 0), 4),)</f>
        <v>6</v>
      </c>
      <c r="J439" s="4" cm="1">
        <f t="array" ref="J439">IFERROR(INDEX(ReferenceCard, MATCH(1, (INDEX(ReferenceCard,,1)=Table1[[#This Row],[SAP No]]) * (INDEX(ReferenceCard,,2)=Table1[[#This Row],[Mould No]]), 0), 9),)</f>
        <v>18.8</v>
      </c>
      <c r="K439" s="4" cm="1">
        <f t="array" ref="K439">IFERROR(INDEX(ReferenceCard, MATCH(1, (INDEX(ReferenceCard,,1)=Table1[[#This Row],[SAP No]]) * (INDEX(ReferenceCard,,2)=Table1[[#This Row],[Mould No]]), 0), 7),)</f>
        <v>18.8</v>
      </c>
      <c r="L439">
        <v>1389</v>
      </c>
      <c r="M439">
        <v>0</v>
      </c>
      <c r="N439">
        <v>0</v>
      </c>
      <c r="O439">
        <v>0</v>
      </c>
      <c r="P439">
        <f>Table1[[#This Row],[Shot]]*Table1[[#This Row],[Cav]]</f>
        <v>8334</v>
      </c>
      <c r="Q439">
        <v>0</v>
      </c>
      <c r="R439">
        <f>(Table1[[#This Row],[Part Weight (gm)]]*Table1[[#This Row],[Finish Good]])/1000</f>
        <v>0</v>
      </c>
      <c r="S439">
        <v>0</v>
      </c>
      <c r="T439">
        <f>IF(Table1[[#This Row],[Qty Order]]="Sample","-",IF(Table1[[#This Row],[Qty Order]]="RTFN","-",Table1[[#This Row],[Qty Order]]-Table1[[#This Row],[Qty Accumulate]]))</f>
        <v>0</v>
      </c>
      <c r="U439">
        <f>((Table1[[#This Row],[Shift Output]]*Table1[[#This Row],[Part Weight (gm)]])/1000)+Table1[[#This Row],[Reject Startup (kg)]]+Table1[[#This Row],[Reject Purging (kg)]]+Table1[[#This Row],[Reject Preform (kg)]]</f>
        <v>156.67920000000001</v>
      </c>
      <c r="V439" s="37">
        <f>(Table1[[#This Row],[Gross Weight (gm)]]-Table1[[#This Row],[Part Weight (gm)]])*Table1[[#This Row],[Shift Output]]/1000</f>
        <v>0</v>
      </c>
      <c r="W439" s="3">
        <v>0</v>
      </c>
      <c r="X439" s="36">
        <f>Table1[[#This Row],[Reject Startup (kg)]]/Table1[[#This Row],[Material Used]]</f>
        <v>0</v>
      </c>
      <c r="Y439" s="3">
        <v>0</v>
      </c>
      <c r="Z439" s="36">
        <f>Table1[[#This Row],[Reject Prod (kg)]]/Table1[[#This Row],[Material Used]]</f>
        <v>0</v>
      </c>
      <c r="AA439" s="4">
        <v>31.085403442382798</v>
      </c>
      <c r="AB439" s="5">
        <v>12</v>
      </c>
      <c r="AC439" s="4" cm="1">
        <f t="array" ref="AC439">IFERROR(INDEX(ReferenceCard, MATCH(1, (INDEX(ReferenceCard,,1)=Table1[[#This Row],[SAP No]]) * (INDEX(ReferenceCard,,2)=Table1[[#This Row],[Mould No]]), 0), 9),)</f>
        <v>18.8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L439" s="2"/>
      <c r="AM439" s="2"/>
      <c r="AN439" s="3">
        <v>0</v>
      </c>
      <c r="AO439" s="3">
        <v>0</v>
      </c>
      <c r="AP43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0" spans="1:42" x14ac:dyDescent="0.35">
      <c r="A440" s="1">
        <v>46009</v>
      </c>
      <c r="B440">
        <v>2</v>
      </c>
      <c r="C440" t="s">
        <v>18</v>
      </c>
      <c r="D440" t="str" cm="1">
        <f t="array" ref="D440">IFERROR(INDEX(ReferenceCard, MATCH(1, (INDEX(ReferenceCard,,1)=Table1[[#This Row],[SAP No]]) * (INDEX(ReferenceCard,,2)=Table1[[#This Row],[Mould No]]), 0), 6),)</f>
        <v>PPSB520Y</v>
      </c>
      <c r="E440">
        <v>555979</v>
      </c>
      <c r="F440">
        <v>4</v>
      </c>
      <c r="G440" t="str" cm="1">
        <f t="array" ref="G440">IFERROR(INDEX(ReferenceCard, MATCH(1, (INDEX(ReferenceCard,,1)=Table1[[#This Row],[SAP No]]) * (INDEX(ReferenceCard,,2)=Table1[[#This Row],[Mould No]]), 0), 3),)</f>
        <v>BC28-0170-D-APH-5180-3539-PP-6 NOTCHES-MOLD4</v>
      </c>
      <c r="H440">
        <v>0</v>
      </c>
      <c r="I440" cm="1">
        <f t="array" ref="I440">IFERROR(INDEX(ReferenceCard, MATCH(1, (INDEX(ReferenceCard,,1)=Table1[[#This Row],[SAP No]]) * (INDEX(ReferenceCard,,2)=Table1[[#This Row],[Mould No]]), 0), 4),)</f>
        <v>6</v>
      </c>
      <c r="J440" s="4" cm="1">
        <f t="array" ref="J440">IFERROR(INDEX(ReferenceCard, MATCH(1, (INDEX(ReferenceCard,,1)=Table1[[#This Row],[SAP No]]) * (INDEX(ReferenceCard,,2)=Table1[[#This Row],[Mould No]]), 0), 9),)</f>
        <v>28</v>
      </c>
      <c r="K440" s="4" cm="1">
        <f t="array" ref="K440">IFERROR(INDEX(ReferenceCard, MATCH(1, (INDEX(ReferenceCard,,1)=Table1[[#This Row],[SAP No]]) * (INDEX(ReferenceCard,,2)=Table1[[#This Row],[Mould No]]), 0), 7),)</f>
        <v>28</v>
      </c>
      <c r="L440">
        <v>960</v>
      </c>
      <c r="M440">
        <v>0</v>
      </c>
      <c r="N440">
        <v>0</v>
      </c>
      <c r="O440">
        <v>0</v>
      </c>
      <c r="P440">
        <f>Table1[[#This Row],[Shot]]*Table1[[#This Row],[Cav]]</f>
        <v>5760</v>
      </c>
      <c r="Q440">
        <v>0</v>
      </c>
      <c r="R440">
        <f>(Table1[[#This Row],[Part Weight (gm)]]*Table1[[#This Row],[Finish Good]])/1000</f>
        <v>0</v>
      </c>
      <c r="S440">
        <v>0</v>
      </c>
      <c r="T440">
        <f>IF(Table1[[#This Row],[Qty Order]]="Sample","-",IF(Table1[[#This Row],[Qty Order]]="RTFN","-",Table1[[#This Row],[Qty Order]]-Table1[[#This Row],[Qty Accumulate]]))</f>
        <v>0</v>
      </c>
      <c r="U440">
        <f>((Table1[[#This Row],[Shift Output]]*Table1[[#This Row],[Part Weight (gm)]])/1000)+Table1[[#This Row],[Reject Startup (kg)]]+Table1[[#This Row],[Reject Purging (kg)]]+Table1[[#This Row],[Reject Preform (kg)]]</f>
        <v>161.28</v>
      </c>
      <c r="V440" s="37">
        <f>(Table1[[#This Row],[Gross Weight (gm)]]-Table1[[#This Row],[Part Weight (gm)]])*Table1[[#This Row],[Shift Output]]/1000</f>
        <v>0</v>
      </c>
      <c r="W440" s="3">
        <v>0</v>
      </c>
      <c r="X440" s="36">
        <f>Table1[[#This Row],[Reject Startup (kg)]]/Table1[[#This Row],[Material Used]]</f>
        <v>0</v>
      </c>
      <c r="Y440" s="3">
        <v>0</v>
      </c>
      <c r="Z440" s="36">
        <f>Table1[[#This Row],[Reject Prod (kg)]]/Table1[[#This Row],[Material Used]]</f>
        <v>0</v>
      </c>
      <c r="AA440" s="4">
        <v>43.5</v>
      </c>
      <c r="AB440" s="5">
        <v>12</v>
      </c>
      <c r="AC440" s="4" cm="1">
        <f t="array" ref="AC440">IFERROR(INDEX(ReferenceCard, MATCH(1, (INDEX(ReferenceCard,,1)=Table1[[#This Row],[SAP No]]) * (INDEX(ReferenceCard,,2)=Table1[[#This Row],[Mould No]]), 0), 9),)</f>
        <v>28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L440" s="2"/>
      <c r="AM440" s="2"/>
      <c r="AN440" s="3">
        <v>0</v>
      </c>
      <c r="AO440" s="3">
        <v>0</v>
      </c>
      <c r="AP44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1" spans="1:42" x14ac:dyDescent="0.35">
      <c r="A441" s="1">
        <v>46009</v>
      </c>
      <c r="B441">
        <v>1</v>
      </c>
      <c r="C441" t="s">
        <v>14</v>
      </c>
      <c r="D441" t="str" cm="1">
        <f t="array" ref="D441">IFERROR(INDEX(ReferenceCard, MATCH(1, (INDEX(ReferenceCard,,1)=Table1[[#This Row],[SAP No]]) * (INDEX(ReferenceCard,,2)=Table1[[#This Row],[Mould No]]), 0), 6),)</f>
        <v>PET</v>
      </c>
      <c r="E441">
        <v>322444</v>
      </c>
      <c r="F441">
        <v>0</v>
      </c>
      <c r="G441" t="str" cm="1">
        <f t="array" ref="G441">IFERROR(INDEX(ReferenceCard, MATCH(1, (INDEX(ReferenceCard,,1)=Table1[[#This Row],[SAP No]]) * (INDEX(ReferenceCard,,2)=Table1[[#This Row],[Mould No]]), 0), 3),)</f>
        <v>JJ63-0400-RH-R-CL</v>
      </c>
      <c r="H441">
        <v>0</v>
      </c>
      <c r="I441" cm="1">
        <f t="array" ref="I441">IFERROR(INDEX(ReferenceCard, MATCH(1, (INDEX(ReferenceCard,,1)=Table1[[#This Row],[SAP No]]) * (INDEX(ReferenceCard,,2)=Table1[[#This Row],[Mould No]]), 0), 4),)</f>
        <v>4</v>
      </c>
      <c r="J441" s="4" cm="1">
        <f t="array" ref="J441">IFERROR(INDEX(ReferenceCard, MATCH(1, (INDEX(ReferenceCard,,1)=Table1[[#This Row],[SAP No]]) * (INDEX(ReferenceCard,,2)=Table1[[#This Row],[Mould No]]), 0), 9),)</f>
        <v>32.74</v>
      </c>
      <c r="K441" s="4" cm="1">
        <f t="array" ref="K441">IFERROR(INDEX(ReferenceCard, MATCH(1, (INDEX(ReferenceCard,,1)=Table1[[#This Row],[SAP No]]) * (INDEX(ReferenceCard,,2)=Table1[[#This Row],[Mould No]]), 0), 7),)</f>
        <v>34.5</v>
      </c>
      <c r="L441">
        <v>2057</v>
      </c>
      <c r="M441">
        <v>0</v>
      </c>
      <c r="N441">
        <v>0</v>
      </c>
      <c r="O441">
        <v>0</v>
      </c>
      <c r="P441">
        <f>Table1[[#This Row],[Shot]]*Table1[[#This Row],[Cav]]</f>
        <v>8228</v>
      </c>
      <c r="Q441">
        <v>0</v>
      </c>
      <c r="R441">
        <f>(Table1[[#This Row],[Part Weight (gm)]]*Table1[[#This Row],[Finish Good]])/1000</f>
        <v>0</v>
      </c>
      <c r="S441">
        <v>0</v>
      </c>
      <c r="T441">
        <f>IF(Table1[[#This Row],[Qty Order]]="Sample","-",IF(Table1[[#This Row],[Qty Order]]="RTFN","-",Table1[[#This Row],[Qty Order]]-Table1[[#This Row],[Qty Accumulate]]))</f>
        <v>0</v>
      </c>
      <c r="U441">
        <f>((Table1[[#This Row],[Shift Output]]*Table1[[#This Row],[Part Weight (gm)]])/1000)+Table1[[#This Row],[Reject Startup (kg)]]+Table1[[#This Row],[Reject Purging (kg)]]+Table1[[#This Row],[Reject Preform (kg)]]</f>
        <v>283.86599999999999</v>
      </c>
      <c r="V441" s="37">
        <f>(Table1[[#This Row],[Gross Weight (gm)]]-Table1[[#This Row],[Part Weight (gm)]])*Table1[[#This Row],[Shift Output]]/1000</f>
        <v>-14.481279999999984</v>
      </c>
      <c r="W441" s="3">
        <v>0</v>
      </c>
      <c r="X441" s="36">
        <f>Table1[[#This Row],[Reject Startup (kg)]]/Table1[[#This Row],[Material Used]]</f>
        <v>0</v>
      </c>
      <c r="Y441" s="3">
        <v>0</v>
      </c>
      <c r="Z441" s="36">
        <f>Table1[[#This Row],[Reject Prod (kg)]]/Table1[[#This Row],[Material Used]]</f>
        <v>0</v>
      </c>
      <c r="AA441" s="4">
        <v>22.370319366455</v>
      </c>
      <c r="AB441" s="5">
        <v>0.23</v>
      </c>
      <c r="AC441" s="4" cm="1">
        <f t="array" ref="AC441">IFERROR(INDEX(ReferenceCard, MATCH(1, (INDEX(ReferenceCard,,1)=Table1[[#This Row],[SAP No]]) * (INDEX(ReferenceCard,,2)=Table1[[#This Row],[Mould No]]), 0), 9),)</f>
        <v>32.74</v>
      </c>
      <c r="AD441" s="5">
        <v>0</v>
      </c>
      <c r="AE441" s="5">
        <v>0</v>
      </c>
      <c r="AF441" s="5">
        <v>0</v>
      </c>
      <c r="AG441" s="5">
        <v>0</v>
      </c>
      <c r="AH441" s="5">
        <v>0.12</v>
      </c>
      <c r="AI441" s="5">
        <v>0</v>
      </c>
      <c r="AJ441" s="5">
        <v>0</v>
      </c>
      <c r="AL441" s="2"/>
      <c r="AM441" s="2"/>
      <c r="AN441" s="3">
        <v>0</v>
      </c>
      <c r="AO441" s="3">
        <v>0</v>
      </c>
      <c r="AP44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2" spans="1:42" x14ac:dyDescent="0.35">
      <c r="A442" s="1">
        <v>46009</v>
      </c>
      <c r="B442">
        <v>1</v>
      </c>
      <c r="C442" t="s">
        <v>9</v>
      </c>
      <c r="D442" t="str" cm="1">
        <f t="array" ref="D442">IFERROR(INDEX(ReferenceCard, MATCH(1, (INDEX(ReferenceCard,,1)=Table1[[#This Row],[SAP No]]) * (INDEX(ReferenceCard,,2)=Table1[[#This Row],[Mould No]]), 0), 6),)</f>
        <v>PET</v>
      </c>
      <c r="E442">
        <v>322451</v>
      </c>
      <c r="F442">
        <v>0</v>
      </c>
      <c r="G442" t="str" cm="1">
        <f t="array" ref="G442">IFERROR(INDEX(ReferenceCard, MATCH(1, (INDEX(ReferenceCard,,1)=Table1[[#This Row],[SAP No]]) * (INDEX(ReferenceCard,,2)=Table1[[#This Row],[Mould No]]), 0), 3),)</f>
        <v>BC28-0500-WNHP-R-BR</v>
      </c>
      <c r="H442">
        <v>0</v>
      </c>
      <c r="I442" cm="1">
        <f t="array" ref="I442">IFERROR(INDEX(ReferenceCard, MATCH(1, (INDEX(ReferenceCard,,1)=Table1[[#This Row],[SAP No]]) * (INDEX(ReferenceCard,,2)=Table1[[#This Row],[Mould No]]), 0), 4),)</f>
        <v>4</v>
      </c>
      <c r="J442" s="4" cm="1">
        <f t="array" ref="J442">IFERROR(INDEX(ReferenceCard, MATCH(1, (INDEX(ReferenceCard,,1)=Table1[[#This Row],[SAP No]]) * (INDEX(ReferenceCard,,2)=Table1[[#This Row],[Mould No]]), 0), 9),)</f>
        <v>45.6</v>
      </c>
      <c r="K442" s="4" cm="1">
        <f t="array" ref="K442">IFERROR(INDEX(ReferenceCard, MATCH(1, (INDEX(ReferenceCard,,1)=Table1[[#This Row],[SAP No]]) * (INDEX(ReferenceCard,,2)=Table1[[#This Row],[Mould No]]), 0), 7),)</f>
        <v>45.6</v>
      </c>
      <c r="L442">
        <v>501</v>
      </c>
      <c r="M442">
        <v>0</v>
      </c>
      <c r="N442">
        <v>0</v>
      </c>
      <c r="O442">
        <v>0</v>
      </c>
      <c r="P442">
        <f>Table1[[#This Row],[Shot]]*Table1[[#This Row],[Cav]]</f>
        <v>2004</v>
      </c>
      <c r="Q442">
        <v>0</v>
      </c>
      <c r="R442">
        <f>(Table1[[#This Row],[Part Weight (gm)]]*Table1[[#This Row],[Finish Good]])/1000</f>
        <v>0</v>
      </c>
      <c r="S442">
        <v>0</v>
      </c>
      <c r="T442">
        <f>IF(Table1[[#This Row],[Qty Order]]="Sample","-",IF(Table1[[#This Row],[Qty Order]]="RTFN","-",Table1[[#This Row],[Qty Order]]-Table1[[#This Row],[Qty Accumulate]]))</f>
        <v>0</v>
      </c>
      <c r="U442">
        <f>((Table1[[#This Row],[Shift Output]]*Table1[[#This Row],[Part Weight (gm)]])/1000)+Table1[[#This Row],[Reject Startup (kg)]]+Table1[[#This Row],[Reject Purging (kg)]]+Table1[[#This Row],[Reject Preform (kg)]]</f>
        <v>91.382400000000004</v>
      </c>
      <c r="V442" s="37">
        <f>(Table1[[#This Row],[Gross Weight (gm)]]-Table1[[#This Row],[Part Weight (gm)]])*Table1[[#This Row],[Shift Output]]/1000</f>
        <v>0</v>
      </c>
      <c r="W442" s="3">
        <v>0</v>
      </c>
      <c r="X442" s="36">
        <f>Table1[[#This Row],[Reject Startup (kg)]]/Table1[[#This Row],[Material Used]]</f>
        <v>0</v>
      </c>
      <c r="Y442" s="3">
        <v>0</v>
      </c>
      <c r="Z442" s="36">
        <f>Table1[[#This Row],[Reject Prod (kg)]]/Table1[[#This Row],[Material Used]]</f>
        <v>0</v>
      </c>
      <c r="AA442" s="4">
        <v>33.6338081359863</v>
      </c>
      <c r="AB442" s="5">
        <v>0.34999999999999898</v>
      </c>
      <c r="AC442" s="4" cm="1">
        <f t="array" ref="AC442">IFERROR(INDEX(ReferenceCard, MATCH(1, (INDEX(ReferenceCard,,1)=Table1[[#This Row],[SAP No]]) * (INDEX(ReferenceCard,,2)=Table1[[#This Row],[Mould No]]), 0), 9),)</f>
        <v>45.6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L442" s="2"/>
      <c r="AM442" s="2"/>
      <c r="AN442" s="3">
        <v>0</v>
      </c>
      <c r="AO442" s="3">
        <v>0</v>
      </c>
      <c r="AP44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3" spans="1:42" x14ac:dyDescent="0.35">
      <c r="A443" s="1">
        <v>46009</v>
      </c>
      <c r="B443">
        <v>1</v>
      </c>
      <c r="C443" t="s">
        <v>3</v>
      </c>
      <c r="D443" t="str" cm="1">
        <f t="array" ref="D443">IFERROR(INDEX(ReferenceCard, MATCH(1, (INDEX(ReferenceCard,,1)=Table1[[#This Row],[SAP No]]) * (INDEX(ReferenceCard,,2)=Table1[[#This Row],[Mould No]]), 0), 6),)</f>
        <v>PET</v>
      </c>
      <c r="E443">
        <v>423215</v>
      </c>
      <c r="F443">
        <v>0</v>
      </c>
      <c r="G443" t="str" cm="1">
        <f t="array" ref="G443">IFERROR(INDEX(ReferenceCard, MATCH(1, (INDEX(ReferenceCard,,1)=Table1[[#This Row],[SAP No]]) * (INDEX(ReferenceCard,,2)=Table1[[#This Row],[Mould No]]), 0), 3),)</f>
        <v>BC28-0355-SCC-A-Q-CL</v>
      </c>
      <c r="H443">
        <v>0</v>
      </c>
      <c r="I443" cm="1">
        <f t="array" ref="I443">IFERROR(INDEX(ReferenceCard, MATCH(1, (INDEX(ReferenceCard,,1)=Table1[[#This Row],[SAP No]]) * (INDEX(ReferenceCard,,2)=Table1[[#This Row],[Mould No]]), 0), 4),)</f>
        <v>4</v>
      </c>
      <c r="J443" s="4" cm="1">
        <f t="array" ref="J443">IFERROR(INDEX(ReferenceCard, MATCH(1, (INDEX(ReferenceCard,,1)=Table1[[#This Row],[SAP No]]) * (INDEX(ReferenceCard,,2)=Table1[[#This Row],[Mould No]]), 0), 9),)</f>
        <v>24</v>
      </c>
      <c r="K443" s="4" cm="1">
        <f t="array" ref="K443">IFERROR(INDEX(ReferenceCard, MATCH(1, (INDEX(ReferenceCard,,1)=Table1[[#This Row],[SAP No]]) * (INDEX(ReferenceCard,,2)=Table1[[#This Row],[Mould No]]), 0), 7),)</f>
        <v>24</v>
      </c>
      <c r="L443">
        <v>32</v>
      </c>
      <c r="M443">
        <v>0</v>
      </c>
      <c r="N443">
        <v>0</v>
      </c>
      <c r="O443">
        <v>0</v>
      </c>
      <c r="P443">
        <f>Table1[[#This Row],[Shot]]*Table1[[#This Row],[Cav]]</f>
        <v>128</v>
      </c>
      <c r="Q443">
        <v>0</v>
      </c>
      <c r="R443">
        <f>(Table1[[#This Row],[Part Weight (gm)]]*Table1[[#This Row],[Finish Good]])/1000</f>
        <v>0</v>
      </c>
      <c r="S443">
        <v>0</v>
      </c>
      <c r="T443">
        <f>IF(Table1[[#This Row],[Qty Order]]="Sample","-",IF(Table1[[#This Row],[Qty Order]]="RTFN","-",Table1[[#This Row],[Qty Order]]-Table1[[#This Row],[Qty Accumulate]]))</f>
        <v>0</v>
      </c>
      <c r="U443">
        <f>((Table1[[#This Row],[Shift Output]]*Table1[[#This Row],[Part Weight (gm)]])/1000)+Table1[[#This Row],[Reject Startup (kg)]]+Table1[[#This Row],[Reject Purging (kg)]]+Table1[[#This Row],[Reject Preform (kg)]]</f>
        <v>3.0720000000000001</v>
      </c>
      <c r="V443" s="37">
        <f>(Table1[[#This Row],[Gross Weight (gm)]]-Table1[[#This Row],[Part Weight (gm)]])*Table1[[#This Row],[Shift Output]]/1000</f>
        <v>0</v>
      </c>
      <c r="W443" s="3">
        <v>0</v>
      </c>
      <c r="X443" s="36">
        <f>Table1[[#This Row],[Reject Startup (kg)]]/Table1[[#This Row],[Material Used]]</f>
        <v>0</v>
      </c>
      <c r="Y443" s="3">
        <v>0</v>
      </c>
      <c r="Z443" s="36">
        <f>Table1[[#This Row],[Reject Prod (kg)]]/Table1[[#This Row],[Material Used]]</f>
        <v>0</v>
      </c>
      <c r="AA443" s="4">
        <v>0</v>
      </c>
      <c r="AB443" s="5">
        <v>0</v>
      </c>
      <c r="AC443" s="4" cm="1">
        <f t="array" ref="AC443">IFERROR(INDEX(ReferenceCard, MATCH(1, (INDEX(ReferenceCard,,1)=Table1[[#This Row],[SAP No]]) * (INDEX(ReferenceCard,,2)=Table1[[#This Row],[Mould No]]), 0), 9),)</f>
        <v>24</v>
      </c>
      <c r="AD443" s="5">
        <v>0</v>
      </c>
      <c r="AE443" s="5">
        <v>0</v>
      </c>
      <c r="AF443" s="5">
        <v>0</v>
      </c>
      <c r="AG443" s="5">
        <v>0</v>
      </c>
      <c r="AH443" s="5">
        <v>0.35999999999999899</v>
      </c>
      <c r="AI443" s="5">
        <v>0</v>
      </c>
      <c r="AJ443" s="5">
        <v>0</v>
      </c>
      <c r="AL443" s="2"/>
      <c r="AM443" s="2"/>
      <c r="AN443" s="3">
        <v>0</v>
      </c>
      <c r="AO443" s="3">
        <v>0</v>
      </c>
      <c r="AP44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4" spans="1:42" x14ac:dyDescent="0.35">
      <c r="A444" s="1">
        <v>46009</v>
      </c>
      <c r="B444">
        <v>1</v>
      </c>
      <c r="C444" t="s">
        <v>35</v>
      </c>
      <c r="D444" t="str" cm="1">
        <f t="array" ref="D444">IFERROR(INDEX(ReferenceCard, MATCH(1, (INDEX(ReferenceCard,,1)=Table1[[#This Row],[SAP No]]) * (INDEX(ReferenceCard,,2)=Table1[[#This Row],[Mould No]]), 0), 6),)</f>
        <v>PPSB520Y</v>
      </c>
      <c r="E444">
        <v>552181</v>
      </c>
      <c r="F444">
        <v>1</v>
      </c>
      <c r="G444" t="str" cm="1">
        <f t="array" ref="G444">IFERROR(INDEX(ReferenceCard, MATCH(1, (INDEX(ReferenceCard,,1)=Table1[[#This Row],[SAP No]]) * (INDEX(ReferenceCard,,2)=Table1[[#This Row],[Mould No]]), 0), 3),)</f>
        <v>BC28-0090-D-APH-5180-3538-PP-6 NOTCHES-MOLD1</v>
      </c>
      <c r="H444">
        <v>0</v>
      </c>
      <c r="I444" cm="1">
        <f t="array" ref="I444">IFERROR(INDEX(ReferenceCard, MATCH(1, (INDEX(ReferenceCard,,1)=Table1[[#This Row],[SAP No]]) * (INDEX(ReferenceCard,,2)=Table1[[#This Row],[Mould No]]), 0), 4),)</f>
        <v>6</v>
      </c>
      <c r="J444" s="4" cm="1">
        <f t="array" ref="J444">IFERROR(INDEX(ReferenceCard, MATCH(1, (INDEX(ReferenceCard,,1)=Table1[[#This Row],[SAP No]]) * (INDEX(ReferenceCard,,2)=Table1[[#This Row],[Mould No]]), 0), 9),)</f>
        <v>18.8</v>
      </c>
      <c r="K444" s="4" cm="1">
        <f t="array" ref="K444">IFERROR(INDEX(ReferenceCard, MATCH(1, (INDEX(ReferenceCard,,1)=Table1[[#This Row],[SAP No]]) * (INDEX(ReferenceCard,,2)=Table1[[#This Row],[Mould No]]), 0), 7),)</f>
        <v>18.8</v>
      </c>
      <c r="L444">
        <v>2489</v>
      </c>
      <c r="M444">
        <v>0</v>
      </c>
      <c r="N444">
        <v>0</v>
      </c>
      <c r="O444">
        <v>0</v>
      </c>
      <c r="P444">
        <f>Table1[[#This Row],[Shot]]*Table1[[#This Row],[Cav]]</f>
        <v>14934</v>
      </c>
      <c r="Q444">
        <v>0</v>
      </c>
      <c r="R444">
        <f>(Table1[[#This Row],[Part Weight (gm)]]*Table1[[#This Row],[Finish Good]])/1000</f>
        <v>0</v>
      </c>
      <c r="S444">
        <v>0</v>
      </c>
      <c r="T444">
        <f>IF(Table1[[#This Row],[Qty Order]]="Sample","-",IF(Table1[[#This Row],[Qty Order]]="RTFN","-",Table1[[#This Row],[Qty Order]]-Table1[[#This Row],[Qty Accumulate]]))</f>
        <v>0</v>
      </c>
      <c r="U444">
        <f>((Table1[[#This Row],[Shift Output]]*Table1[[#This Row],[Part Weight (gm)]])/1000)+Table1[[#This Row],[Reject Startup (kg)]]+Table1[[#This Row],[Reject Purging (kg)]]+Table1[[#This Row],[Reject Preform (kg)]]</f>
        <v>280.75920000000002</v>
      </c>
      <c r="V444" s="37">
        <f>(Table1[[#This Row],[Gross Weight (gm)]]-Table1[[#This Row],[Part Weight (gm)]])*Table1[[#This Row],[Shift Output]]/1000</f>
        <v>0</v>
      </c>
      <c r="W444" s="3">
        <v>0</v>
      </c>
      <c r="X444" s="36">
        <f>Table1[[#This Row],[Reject Startup (kg)]]/Table1[[#This Row],[Material Used]]</f>
        <v>0</v>
      </c>
      <c r="Y444" s="3">
        <v>0</v>
      </c>
      <c r="Z444" s="36">
        <f>Table1[[#This Row],[Reject Prod (kg)]]/Table1[[#This Row],[Material Used]]</f>
        <v>0</v>
      </c>
      <c r="AA444" s="4">
        <v>31.9745979309082</v>
      </c>
      <c r="AB444" s="5">
        <v>11.98</v>
      </c>
      <c r="AC444" s="4" cm="1">
        <f t="array" ref="AC444">IFERROR(INDEX(ReferenceCard, MATCH(1, (INDEX(ReferenceCard,,1)=Table1[[#This Row],[SAP No]]) * (INDEX(ReferenceCard,,2)=Table1[[#This Row],[Mould No]]), 0), 9),)</f>
        <v>18.8</v>
      </c>
      <c r="AD444" s="5">
        <v>0</v>
      </c>
      <c r="AE444" s="5">
        <v>0</v>
      </c>
      <c r="AF444" s="5">
        <v>0</v>
      </c>
      <c r="AG444" s="5">
        <v>0</v>
      </c>
      <c r="AH444" s="5">
        <v>0.02</v>
      </c>
      <c r="AI444" s="5">
        <v>0</v>
      </c>
      <c r="AJ444" s="5">
        <v>0</v>
      </c>
      <c r="AL444" s="2"/>
      <c r="AM444" s="2"/>
      <c r="AN444" s="3">
        <v>0</v>
      </c>
      <c r="AO444" s="3">
        <v>0</v>
      </c>
      <c r="AP44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5" spans="1:42" x14ac:dyDescent="0.35">
      <c r="A445" s="1">
        <v>46009</v>
      </c>
      <c r="B445">
        <v>1</v>
      </c>
      <c r="C445" t="s">
        <v>18</v>
      </c>
      <c r="D445" t="str" cm="1">
        <f t="array" ref="D445">IFERROR(INDEX(ReferenceCard, MATCH(1, (INDEX(ReferenceCard,,1)=Table1[[#This Row],[SAP No]]) * (INDEX(ReferenceCard,,2)=Table1[[#This Row],[Mould No]]), 0), 6),)</f>
        <v>PPSB520Y</v>
      </c>
      <c r="E445">
        <v>555979</v>
      </c>
      <c r="F445">
        <v>4</v>
      </c>
      <c r="G445" t="str" cm="1">
        <f t="array" ref="G445">IFERROR(INDEX(ReferenceCard, MATCH(1, (INDEX(ReferenceCard,,1)=Table1[[#This Row],[SAP No]]) * (INDEX(ReferenceCard,,2)=Table1[[#This Row],[Mould No]]), 0), 3),)</f>
        <v>BC28-0170-D-APH-5180-3539-PP-6 NOTCHES-MOLD4</v>
      </c>
      <c r="H445">
        <v>0</v>
      </c>
      <c r="I445" cm="1">
        <f t="array" ref="I445">IFERROR(INDEX(ReferenceCard, MATCH(1, (INDEX(ReferenceCard,,1)=Table1[[#This Row],[SAP No]]) * (INDEX(ReferenceCard,,2)=Table1[[#This Row],[Mould No]]), 0), 4),)</f>
        <v>6</v>
      </c>
      <c r="J445" s="4" cm="1">
        <f t="array" ref="J445">IFERROR(INDEX(ReferenceCard, MATCH(1, (INDEX(ReferenceCard,,1)=Table1[[#This Row],[SAP No]]) * (INDEX(ReferenceCard,,2)=Table1[[#This Row],[Mould No]]), 0), 9),)</f>
        <v>28</v>
      </c>
      <c r="K445" s="4" cm="1">
        <f t="array" ref="K445">IFERROR(INDEX(ReferenceCard, MATCH(1, (INDEX(ReferenceCard,,1)=Table1[[#This Row],[SAP No]]) * (INDEX(ReferenceCard,,2)=Table1[[#This Row],[Mould No]]), 0), 7),)</f>
        <v>28</v>
      </c>
      <c r="L445">
        <v>967</v>
      </c>
      <c r="M445">
        <v>0</v>
      </c>
      <c r="N445">
        <v>0</v>
      </c>
      <c r="O445">
        <v>0</v>
      </c>
      <c r="P445">
        <f>Table1[[#This Row],[Shot]]*Table1[[#This Row],[Cav]]</f>
        <v>5802</v>
      </c>
      <c r="Q445">
        <v>0</v>
      </c>
      <c r="R445">
        <f>(Table1[[#This Row],[Part Weight (gm)]]*Table1[[#This Row],[Finish Good]])/1000</f>
        <v>0</v>
      </c>
      <c r="S445">
        <v>0</v>
      </c>
      <c r="T445">
        <f>IF(Table1[[#This Row],[Qty Order]]="Sample","-",IF(Table1[[#This Row],[Qty Order]]="RTFN","-",Table1[[#This Row],[Qty Order]]-Table1[[#This Row],[Qty Accumulate]]))</f>
        <v>0</v>
      </c>
      <c r="U445">
        <f>((Table1[[#This Row],[Shift Output]]*Table1[[#This Row],[Part Weight (gm)]])/1000)+Table1[[#This Row],[Reject Startup (kg)]]+Table1[[#This Row],[Reject Purging (kg)]]+Table1[[#This Row],[Reject Preform (kg)]]</f>
        <v>162.45599999999999</v>
      </c>
      <c r="V445" s="37">
        <f>(Table1[[#This Row],[Gross Weight (gm)]]-Table1[[#This Row],[Part Weight (gm)]])*Table1[[#This Row],[Shift Output]]/1000</f>
        <v>0</v>
      </c>
      <c r="W445" s="3">
        <v>0</v>
      </c>
      <c r="X445" s="36">
        <f>Table1[[#This Row],[Reject Startup (kg)]]/Table1[[#This Row],[Material Used]]</f>
        <v>0</v>
      </c>
      <c r="Y445" s="3">
        <v>0</v>
      </c>
      <c r="Z445" s="36">
        <f>Table1[[#This Row],[Reject Prod (kg)]]/Table1[[#This Row],[Material Used]]</f>
        <v>0</v>
      </c>
      <c r="AA445" s="4">
        <v>43.5</v>
      </c>
      <c r="AB445" s="5">
        <v>12</v>
      </c>
      <c r="AC445" s="4" cm="1">
        <f t="array" ref="AC445">IFERROR(INDEX(ReferenceCard, MATCH(1, (INDEX(ReferenceCard,,1)=Table1[[#This Row],[SAP No]]) * (INDEX(ReferenceCard,,2)=Table1[[#This Row],[Mould No]]), 0), 9),)</f>
        <v>28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L445" s="2"/>
      <c r="AM445" s="2"/>
      <c r="AN445" s="3">
        <v>0</v>
      </c>
      <c r="AO445" s="3">
        <v>0</v>
      </c>
      <c r="AP44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6" spans="1:42" x14ac:dyDescent="0.35">
      <c r="A446" s="1">
        <v>46009</v>
      </c>
      <c r="B446">
        <v>1</v>
      </c>
      <c r="C446" t="s">
        <v>0</v>
      </c>
      <c r="D446" t="str" cm="1">
        <f t="array" ref="D446">IFERROR(INDEX(ReferenceCard, MATCH(1, (INDEX(ReferenceCard,,1)=Table1[[#This Row],[SAP No]]) * (INDEX(ReferenceCard,,2)=Table1[[#This Row],[Mould No]]), 0), 6),)</f>
        <v>PET</v>
      </c>
      <c r="E446">
        <v>347623</v>
      </c>
      <c r="F446">
        <v>0</v>
      </c>
      <c r="G446" t="str" cm="1">
        <f t="array" ref="G446">IFERROR(INDEX(ReferenceCard, MATCH(1, (INDEX(ReferenceCard,,1)=Table1[[#This Row],[SAP No]]) * (INDEX(ReferenceCard,,2)=Table1[[#This Row],[Mould No]]), 0), 3),)</f>
        <v>BC28-0375-K-R-CL</v>
      </c>
      <c r="H446">
        <v>0</v>
      </c>
      <c r="I446" cm="1">
        <f t="array" ref="I446">IFERROR(INDEX(ReferenceCard, MATCH(1, (INDEX(ReferenceCard,,1)=Table1[[#This Row],[SAP No]]) * (INDEX(ReferenceCard,,2)=Table1[[#This Row],[Mould No]]), 0), 4),)</f>
        <v>4</v>
      </c>
      <c r="J446" s="4" cm="1">
        <f t="array" ref="J446">IFERROR(INDEX(ReferenceCard, MATCH(1, (INDEX(ReferenceCard,,1)=Table1[[#This Row],[SAP No]]) * (INDEX(ReferenceCard,,2)=Table1[[#This Row],[Mould No]]), 0), 9),)</f>
        <v>35.6</v>
      </c>
      <c r="K446" s="4" cm="1">
        <f t="array" ref="K446">IFERROR(INDEX(ReferenceCard, MATCH(1, (INDEX(ReferenceCard,,1)=Table1[[#This Row],[SAP No]]) * (INDEX(ReferenceCard,,2)=Table1[[#This Row],[Mould No]]), 0), 7),)</f>
        <v>35.6</v>
      </c>
      <c r="L446">
        <v>534</v>
      </c>
      <c r="M446">
        <v>0</v>
      </c>
      <c r="N446">
        <v>0</v>
      </c>
      <c r="O446">
        <v>0</v>
      </c>
      <c r="P446">
        <f>Table1[[#This Row],[Shot]]*Table1[[#This Row],[Cav]]</f>
        <v>2136</v>
      </c>
      <c r="Q446">
        <v>0</v>
      </c>
      <c r="R446">
        <f>(Table1[[#This Row],[Part Weight (gm)]]*Table1[[#This Row],[Finish Good]])/1000</f>
        <v>0</v>
      </c>
      <c r="S446">
        <v>0</v>
      </c>
      <c r="T446">
        <f>IF(Table1[[#This Row],[Qty Order]]="Sample","-",IF(Table1[[#This Row],[Qty Order]]="RTFN","-",Table1[[#This Row],[Qty Order]]-Table1[[#This Row],[Qty Accumulate]]))</f>
        <v>0</v>
      </c>
      <c r="U446">
        <f>((Table1[[#This Row],[Shift Output]]*Table1[[#This Row],[Part Weight (gm)]])/1000)+Table1[[#This Row],[Reject Startup (kg)]]+Table1[[#This Row],[Reject Purging (kg)]]+Table1[[#This Row],[Reject Preform (kg)]]</f>
        <v>76.041600000000003</v>
      </c>
      <c r="V446" s="37">
        <f>(Table1[[#This Row],[Gross Weight (gm)]]-Table1[[#This Row],[Part Weight (gm)]])*Table1[[#This Row],[Shift Output]]/1000</f>
        <v>0</v>
      </c>
      <c r="W446" s="3">
        <v>0</v>
      </c>
      <c r="X446" s="36">
        <f>Table1[[#This Row],[Reject Startup (kg)]]/Table1[[#This Row],[Material Used]]</f>
        <v>0</v>
      </c>
      <c r="Y446" s="3">
        <v>0</v>
      </c>
      <c r="Z446" s="36">
        <f>Table1[[#This Row],[Reject Prod (kg)]]/Table1[[#This Row],[Material Used]]</f>
        <v>0</v>
      </c>
      <c r="AA446" s="4">
        <v>0</v>
      </c>
      <c r="AB446" s="5">
        <v>0</v>
      </c>
      <c r="AC446" s="4" cm="1">
        <f t="array" ref="AC446">IFERROR(INDEX(ReferenceCard, MATCH(1, (INDEX(ReferenceCard,,1)=Table1[[#This Row],[SAP No]]) * (INDEX(ReferenceCard,,2)=Table1[[#This Row],[Mould No]]), 0), 9),)</f>
        <v>35.6</v>
      </c>
      <c r="AD446" s="5">
        <v>0</v>
      </c>
      <c r="AE446" s="5">
        <v>0</v>
      </c>
      <c r="AF446" s="5">
        <v>0</v>
      </c>
      <c r="AG446" s="5">
        <v>0</v>
      </c>
      <c r="AH446" s="5">
        <v>12</v>
      </c>
      <c r="AI446" s="5">
        <v>0</v>
      </c>
      <c r="AJ446" s="5">
        <v>0</v>
      </c>
      <c r="AK446" t="s">
        <v>97</v>
      </c>
      <c r="AL446" s="2"/>
      <c r="AM446" s="2"/>
      <c r="AN446" s="3">
        <v>0</v>
      </c>
      <c r="AO446" s="3">
        <v>0</v>
      </c>
      <c r="AP44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7" spans="1:42" x14ac:dyDescent="0.35">
      <c r="A447" s="1">
        <v>46009</v>
      </c>
      <c r="B447">
        <v>1</v>
      </c>
      <c r="C447" t="s">
        <v>3</v>
      </c>
      <c r="D447" t="str" cm="1">
        <f t="array" ref="D447">IFERROR(INDEX(ReferenceCard, MATCH(1, (INDEX(ReferenceCard,,1)=Table1[[#This Row],[SAP No]]) * (INDEX(ReferenceCard,,2)=Table1[[#This Row],[Mould No]]), 0), 6),)</f>
        <v>PET</v>
      </c>
      <c r="E447">
        <v>580324</v>
      </c>
      <c r="F447">
        <v>0</v>
      </c>
      <c r="G447" t="str" cm="1">
        <f t="array" ref="G447">IFERROR(INDEX(ReferenceCard, MATCH(1, (INDEX(ReferenceCard,,1)=Table1[[#This Row],[SAP No]]) * (INDEX(ReferenceCard,,2)=Table1[[#This Row],[Mould No]]), 0), 3),)</f>
        <v>BC28-0060-M-R-AM-LW</v>
      </c>
      <c r="H447">
        <v>0</v>
      </c>
      <c r="I447" cm="1">
        <f t="array" ref="I447">IFERROR(INDEX(ReferenceCard, MATCH(1, (INDEX(ReferenceCard,,1)=Table1[[#This Row],[SAP No]]) * (INDEX(ReferenceCard,,2)=Table1[[#This Row],[Mould No]]), 0), 4),)</f>
        <v>4</v>
      </c>
      <c r="J447" s="4" cm="1">
        <f t="array" ref="J447">IFERROR(INDEX(ReferenceCard, MATCH(1, (INDEX(ReferenceCard,,1)=Table1[[#This Row],[SAP No]]) * (INDEX(ReferenceCard,,2)=Table1[[#This Row],[Mould No]]), 0), 9),)</f>
        <v>11.3</v>
      </c>
      <c r="K447" s="4" cm="1">
        <f t="array" ref="K447">IFERROR(INDEX(ReferenceCard, MATCH(1, (INDEX(ReferenceCard,,1)=Table1[[#This Row],[SAP No]]) * (INDEX(ReferenceCard,,2)=Table1[[#This Row],[Mould No]]), 0), 7),)</f>
        <v>11.3</v>
      </c>
      <c r="L447">
        <v>1621</v>
      </c>
      <c r="M447">
        <v>0</v>
      </c>
      <c r="N447">
        <v>0</v>
      </c>
      <c r="O447">
        <v>0</v>
      </c>
      <c r="P447">
        <f>Table1[[#This Row],[Shot]]*Table1[[#This Row],[Cav]]</f>
        <v>6484</v>
      </c>
      <c r="Q447">
        <v>0</v>
      </c>
      <c r="R447">
        <f>(Table1[[#This Row],[Part Weight (gm)]]*Table1[[#This Row],[Finish Good]])/1000</f>
        <v>0</v>
      </c>
      <c r="S447">
        <v>0</v>
      </c>
      <c r="T447">
        <f>IF(Table1[[#This Row],[Qty Order]]="Sample","-",IF(Table1[[#This Row],[Qty Order]]="RTFN","-",Table1[[#This Row],[Qty Order]]-Table1[[#This Row],[Qty Accumulate]]))</f>
        <v>0</v>
      </c>
      <c r="U447">
        <f>((Table1[[#This Row],[Shift Output]]*Table1[[#This Row],[Part Weight (gm)]])/1000)+Table1[[#This Row],[Reject Startup (kg)]]+Table1[[#This Row],[Reject Purging (kg)]]+Table1[[#This Row],[Reject Preform (kg)]]</f>
        <v>73.269200000000012</v>
      </c>
      <c r="V447" s="37">
        <f>(Table1[[#This Row],[Gross Weight (gm)]]-Table1[[#This Row],[Part Weight (gm)]])*Table1[[#This Row],[Shift Output]]/1000</f>
        <v>0</v>
      </c>
      <c r="W447" s="3">
        <v>0</v>
      </c>
      <c r="X447" s="36">
        <f>Table1[[#This Row],[Reject Startup (kg)]]/Table1[[#This Row],[Material Used]]</f>
        <v>0</v>
      </c>
      <c r="Y447" s="3">
        <v>0</v>
      </c>
      <c r="Z447" s="36">
        <f>Table1[[#This Row],[Reject Prod (kg)]]/Table1[[#This Row],[Material Used]]</f>
        <v>0</v>
      </c>
      <c r="AA447" s="4">
        <v>0</v>
      </c>
      <c r="AB447" s="5">
        <v>10.24</v>
      </c>
      <c r="AC447" s="4" cm="1">
        <f t="array" ref="AC447">IFERROR(INDEX(ReferenceCard, MATCH(1, (INDEX(ReferenceCard,,1)=Table1[[#This Row],[SAP No]]) * (INDEX(ReferenceCard,,2)=Table1[[#This Row],[Mould No]]), 0), 9),)</f>
        <v>11.3</v>
      </c>
      <c r="AD447" s="5">
        <v>0</v>
      </c>
      <c r="AE447" s="5">
        <v>0</v>
      </c>
      <c r="AF447" s="5">
        <v>0</v>
      </c>
      <c r="AG447" s="5">
        <v>0</v>
      </c>
      <c r="AH447" s="5">
        <v>1.3999999999999899</v>
      </c>
      <c r="AI447" s="5">
        <v>0</v>
      </c>
      <c r="AJ447" s="5">
        <v>0</v>
      </c>
      <c r="AL447" s="2"/>
      <c r="AM447" s="2"/>
      <c r="AN447" s="3">
        <v>0</v>
      </c>
      <c r="AO447" s="3">
        <v>0</v>
      </c>
      <c r="AP44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8" spans="1:42" x14ac:dyDescent="0.35">
      <c r="A448" s="1">
        <v>46009</v>
      </c>
      <c r="B448">
        <v>1</v>
      </c>
      <c r="C448" t="s">
        <v>5</v>
      </c>
      <c r="D448" t="str" cm="1">
        <f t="array" ref="D448">IFERROR(INDEX(ReferenceCard, MATCH(1, (INDEX(ReferenceCard,,1)=Table1[[#This Row],[SAP No]]) * (INDEX(ReferenceCard,,2)=Table1[[#This Row],[Mould No]]), 0), 6),)</f>
        <v>PET</v>
      </c>
      <c r="E448">
        <v>543590</v>
      </c>
      <c r="F448">
        <v>0</v>
      </c>
      <c r="G448" t="str" cm="1">
        <f t="array" ref="G448">IFERROR(INDEX(ReferenceCard, MATCH(1, (INDEX(ReferenceCard,,1)=Table1[[#This Row],[SAP No]]) * (INDEX(ReferenceCard,,2)=Table1[[#This Row],[Mould No]]), 0), 3),)</f>
        <v>BC28-0130-R-R-AM</v>
      </c>
      <c r="H448">
        <v>0</v>
      </c>
      <c r="I448" cm="1">
        <f t="array" ref="I448">IFERROR(INDEX(ReferenceCard, MATCH(1, (INDEX(ReferenceCard,,1)=Table1[[#This Row],[SAP No]]) * (INDEX(ReferenceCard,,2)=Table1[[#This Row],[Mould No]]), 0), 4),)</f>
        <v>4</v>
      </c>
      <c r="J448" s="4" cm="1">
        <f t="array" ref="J448">IFERROR(INDEX(ReferenceCard, MATCH(1, (INDEX(ReferenceCard,,1)=Table1[[#This Row],[SAP No]]) * (INDEX(ReferenceCard,,2)=Table1[[#This Row],[Mould No]]), 0), 9),)</f>
        <v>19</v>
      </c>
      <c r="K448" s="4" cm="1">
        <f t="array" ref="K448">IFERROR(INDEX(ReferenceCard, MATCH(1, (INDEX(ReferenceCard,,1)=Table1[[#This Row],[SAP No]]) * (INDEX(ReferenceCard,,2)=Table1[[#This Row],[Mould No]]), 0), 7),)</f>
        <v>19</v>
      </c>
      <c r="L448">
        <v>3516</v>
      </c>
      <c r="M448">
        <v>0</v>
      </c>
      <c r="N448">
        <v>0</v>
      </c>
      <c r="O448">
        <v>0</v>
      </c>
      <c r="P448">
        <f>Table1[[#This Row],[Shot]]*Table1[[#This Row],[Cav]]</f>
        <v>14064</v>
      </c>
      <c r="Q448">
        <v>0</v>
      </c>
      <c r="R448">
        <f>(Table1[[#This Row],[Part Weight (gm)]]*Table1[[#This Row],[Finish Good]])/1000</f>
        <v>0</v>
      </c>
      <c r="S448">
        <v>0</v>
      </c>
      <c r="T448">
        <f>IF(Table1[[#This Row],[Qty Order]]="Sample","-",IF(Table1[[#This Row],[Qty Order]]="RTFN","-",Table1[[#This Row],[Qty Order]]-Table1[[#This Row],[Qty Accumulate]]))</f>
        <v>0</v>
      </c>
      <c r="U448">
        <f>((Table1[[#This Row],[Shift Output]]*Table1[[#This Row],[Part Weight (gm)]])/1000)+Table1[[#This Row],[Reject Startup (kg)]]+Table1[[#This Row],[Reject Purging (kg)]]+Table1[[#This Row],[Reject Preform (kg)]]</f>
        <v>267.21600000000001</v>
      </c>
      <c r="V448" s="37">
        <f>(Table1[[#This Row],[Gross Weight (gm)]]-Table1[[#This Row],[Part Weight (gm)]])*Table1[[#This Row],[Shift Output]]/1000</f>
        <v>0</v>
      </c>
      <c r="W448" s="3">
        <v>0</v>
      </c>
      <c r="X448" s="36">
        <f>Table1[[#This Row],[Reject Startup (kg)]]/Table1[[#This Row],[Material Used]]</f>
        <v>0</v>
      </c>
      <c r="Y448" s="3">
        <v>0</v>
      </c>
      <c r="Z448" s="36">
        <f>Table1[[#This Row],[Reject Prod (kg)]]/Table1[[#This Row],[Material Used]]</f>
        <v>0</v>
      </c>
      <c r="AA448" s="4">
        <v>22.685279846191399</v>
      </c>
      <c r="AB448" s="5">
        <v>11.08</v>
      </c>
      <c r="AC448" s="4" cm="1">
        <f t="array" ref="AC448">IFERROR(INDEX(ReferenceCard, MATCH(1, (INDEX(ReferenceCard,,1)=Table1[[#This Row],[SAP No]]) * (INDEX(ReferenceCard,,2)=Table1[[#This Row],[Mould No]]), 0), 9),)</f>
        <v>19</v>
      </c>
      <c r="AD448" s="5">
        <v>0</v>
      </c>
      <c r="AE448" s="5">
        <v>0.92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t="s">
        <v>98</v>
      </c>
      <c r="AL448" s="2"/>
      <c r="AM448" s="2"/>
      <c r="AN448" s="3">
        <v>0</v>
      </c>
      <c r="AO448" s="3">
        <v>0</v>
      </c>
      <c r="AP44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49" spans="1:42" x14ac:dyDescent="0.35">
      <c r="A449" s="1">
        <v>46009</v>
      </c>
      <c r="B449">
        <v>1</v>
      </c>
      <c r="C449" t="s">
        <v>7</v>
      </c>
      <c r="D449" t="str" cm="1">
        <f t="array" ref="D449">IFERROR(INDEX(ReferenceCard, MATCH(1, (INDEX(ReferenceCard,,1)=Table1[[#This Row],[SAP No]]) * (INDEX(ReferenceCard,,2)=Table1[[#This Row],[Mould No]]), 0), 6),)</f>
        <v>PET</v>
      </c>
      <c r="E449">
        <v>451191</v>
      </c>
      <c r="F449">
        <v>0</v>
      </c>
      <c r="G449" t="str" cm="1">
        <f t="array" ref="G449">IFERROR(INDEX(ReferenceCard, MATCH(1, (INDEX(ReferenceCard,,1)=Table1[[#This Row],[SAP No]]) * (INDEX(ReferenceCard,,2)=Table1[[#This Row],[Mould No]]), 0), 3),)</f>
        <v>BX38-0350-Z-C-CL</v>
      </c>
      <c r="H449">
        <v>0</v>
      </c>
      <c r="I449" cm="1">
        <f t="array" ref="I449">IFERROR(INDEX(ReferenceCard, MATCH(1, (INDEX(ReferenceCard,,1)=Table1[[#This Row],[SAP No]]) * (INDEX(ReferenceCard,,2)=Table1[[#This Row],[Mould No]]), 0), 4),)</f>
        <v>4</v>
      </c>
      <c r="J449" s="4" cm="1">
        <f t="array" ref="J449">IFERROR(INDEX(ReferenceCard, MATCH(1, (INDEX(ReferenceCard,,1)=Table1[[#This Row],[SAP No]]) * (INDEX(ReferenceCard,,2)=Table1[[#This Row],[Mould No]]), 0), 9),)</f>
        <v>29</v>
      </c>
      <c r="K449" s="4" cm="1">
        <f t="array" ref="K449">IFERROR(INDEX(ReferenceCard, MATCH(1, (INDEX(ReferenceCard,,1)=Table1[[#This Row],[SAP No]]) * (INDEX(ReferenceCard,,2)=Table1[[#This Row],[Mould No]]), 0), 7),)</f>
        <v>29</v>
      </c>
      <c r="L449">
        <v>1682</v>
      </c>
      <c r="M449">
        <v>0</v>
      </c>
      <c r="N449">
        <v>0</v>
      </c>
      <c r="O449">
        <v>0</v>
      </c>
      <c r="P449">
        <f>Table1[[#This Row],[Shot]]*Table1[[#This Row],[Cav]]</f>
        <v>6728</v>
      </c>
      <c r="Q449">
        <v>0</v>
      </c>
      <c r="R449">
        <f>(Table1[[#This Row],[Part Weight (gm)]]*Table1[[#This Row],[Finish Good]])/1000</f>
        <v>0</v>
      </c>
      <c r="S449">
        <v>0</v>
      </c>
      <c r="T449">
        <f>IF(Table1[[#This Row],[Qty Order]]="Sample","-",IF(Table1[[#This Row],[Qty Order]]="RTFN","-",Table1[[#This Row],[Qty Order]]-Table1[[#This Row],[Qty Accumulate]]))</f>
        <v>0</v>
      </c>
      <c r="U449">
        <f>((Table1[[#This Row],[Shift Output]]*Table1[[#This Row],[Part Weight (gm)]])/1000)+Table1[[#This Row],[Reject Startup (kg)]]+Table1[[#This Row],[Reject Purging (kg)]]+Table1[[#This Row],[Reject Preform (kg)]]</f>
        <v>195.11199999999999</v>
      </c>
      <c r="V449" s="37">
        <f>(Table1[[#This Row],[Gross Weight (gm)]]-Table1[[#This Row],[Part Weight (gm)]])*Table1[[#This Row],[Shift Output]]/1000</f>
        <v>0</v>
      </c>
      <c r="W449" s="3">
        <v>0</v>
      </c>
      <c r="X449" s="36">
        <f>Table1[[#This Row],[Reject Startup (kg)]]/Table1[[#This Row],[Material Used]]</f>
        <v>0</v>
      </c>
      <c r="Y449" s="3">
        <v>0</v>
      </c>
      <c r="Z449" s="36">
        <f>Table1[[#This Row],[Reject Prod (kg)]]/Table1[[#This Row],[Material Used]]</f>
        <v>0</v>
      </c>
      <c r="AA449" s="4">
        <v>25.6837844848632</v>
      </c>
      <c r="AB449" s="5">
        <v>12</v>
      </c>
      <c r="AC449" s="4" cm="1">
        <f t="array" ref="AC449">IFERROR(INDEX(ReferenceCard, MATCH(1, (INDEX(ReferenceCard,,1)=Table1[[#This Row],[SAP No]]) * (INDEX(ReferenceCard,,2)=Table1[[#This Row],[Mould No]]), 0), 9),)</f>
        <v>29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L449" s="2"/>
      <c r="AM449" s="2"/>
      <c r="AN449" s="3">
        <v>0</v>
      </c>
      <c r="AO449" s="3">
        <v>0</v>
      </c>
      <c r="AP44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0" spans="1:42" x14ac:dyDescent="0.35">
      <c r="A450" s="1">
        <v>46009</v>
      </c>
      <c r="B450">
        <v>1</v>
      </c>
      <c r="C450" t="s">
        <v>9</v>
      </c>
      <c r="D450" t="str" cm="1">
        <f t="array" ref="D450">IFERROR(INDEX(ReferenceCard, MATCH(1, (INDEX(ReferenceCard,,1)=Table1[[#This Row],[SAP No]]) * (INDEX(ReferenceCard,,2)=Table1[[#This Row],[Mould No]]), 0), 6),)</f>
        <v>rPET</v>
      </c>
      <c r="E450">
        <v>593537</v>
      </c>
      <c r="F450">
        <v>0</v>
      </c>
      <c r="G450" t="str" cm="1">
        <f t="array" ref="G450">IFERROR(INDEX(ReferenceCard, MATCH(1, (INDEX(ReferenceCard,,1)=Table1[[#This Row],[SAP No]]) * (INDEX(ReferenceCard,,2)=Table1[[#This Row],[Mould No]]), 0), 3),)</f>
        <v>BX38-1000-RN-R-CL-rPET</v>
      </c>
      <c r="H450">
        <v>0</v>
      </c>
      <c r="I450" cm="1">
        <f t="array" ref="I450">IFERROR(INDEX(ReferenceCard, MATCH(1, (INDEX(ReferenceCard,,1)=Table1[[#This Row],[SAP No]]) * (INDEX(ReferenceCard,,2)=Table1[[#This Row],[Mould No]]), 0), 4),)</f>
        <v>4</v>
      </c>
      <c r="J450" s="4" cm="1">
        <f t="array" ref="J450">IFERROR(INDEX(ReferenceCard, MATCH(1, (INDEX(ReferenceCard,,1)=Table1[[#This Row],[SAP No]]) * (INDEX(ReferenceCard,,2)=Table1[[#This Row],[Mould No]]), 0), 9),)</f>
        <v>56.5</v>
      </c>
      <c r="K450" s="4" cm="1">
        <f t="array" ref="K450">IFERROR(INDEX(ReferenceCard, MATCH(1, (INDEX(ReferenceCard,,1)=Table1[[#This Row],[SAP No]]) * (INDEX(ReferenceCard,,2)=Table1[[#This Row],[Mould No]]), 0), 7),)</f>
        <v>56.8</v>
      </c>
      <c r="L450">
        <v>1978</v>
      </c>
      <c r="M450">
        <v>0</v>
      </c>
      <c r="N450">
        <v>0</v>
      </c>
      <c r="O450">
        <v>0</v>
      </c>
      <c r="P450">
        <f>Table1[[#This Row],[Shot]]*Table1[[#This Row],[Cav]]</f>
        <v>7912</v>
      </c>
      <c r="Q450">
        <v>0</v>
      </c>
      <c r="R450">
        <f>(Table1[[#This Row],[Part Weight (gm)]]*Table1[[#This Row],[Finish Good]])/1000</f>
        <v>0</v>
      </c>
      <c r="S450">
        <v>0</v>
      </c>
      <c r="T450">
        <f>IF(Table1[[#This Row],[Qty Order]]="Sample","-",IF(Table1[[#This Row],[Qty Order]]="RTFN","-",Table1[[#This Row],[Qty Order]]-Table1[[#This Row],[Qty Accumulate]]))</f>
        <v>0</v>
      </c>
      <c r="U450">
        <f>((Table1[[#This Row],[Shift Output]]*Table1[[#This Row],[Part Weight (gm)]])/1000)+Table1[[#This Row],[Reject Startup (kg)]]+Table1[[#This Row],[Reject Purging (kg)]]+Table1[[#This Row],[Reject Preform (kg)]]</f>
        <v>449.40159999999997</v>
      </c>
      <c r="V450" s="37">
        <f>(Table1[[#This Row],[Gross Weight (gm)]]-Table1[[#This Row],[Part Weight (gm)]])*Table1[[#This Row],[Shift Output]]/1000</f>
        <v>-2.3735999999999775</v>
      </c>
      <c r="W450" s="3">
        <v>0</v>
      </c>
      <c r="X450" s="36">
        <f>Table1[[#This Row],[Reject Startup (kg)]]/Table1[[#This Row],[Material Used]]</f>
        <v>0</v>
      </c>
      <c r="Y450" s="3">
        <v>0</v>
      </c>
      <c r="Z450" s="36">
        <f>Table1[[#This Row],[Reject Prod (kg)]]/Table1[[#This Row],[Material Used]]</f>
        <v>0</v>
      </c>
      <c r="AA450" s="4">
        <v>33.6338081359863</v>
      </c>
      <c r="AB450" s="5">
        <v>11.57</v>
      </c>
      <c r="AC450" s="4" cm="1">
        <f t="array" ref="AC450">IFERROR(INDEX(ReferenceCard, MATCH(1, (INDEX(ReferenceCard,,1)=Table1[[#This Row],[SAP No]]) * (INDEX(ReferenceCard,,2)=Table1[[#This Row],[Mould No]]), 0), 9),)</f>
        <v>56.5</v>
      </c>
      <c r="AD450" s="5">
        <v>0</v>
      </c>
      <c r="AE450" s="5">
        <v>0</v>
      </c>
      <c r="AF450" s="5">
        <v>0</v>
      </c>
      <c r="AG450" s="5">
        <v>0</v>
      </c>
      <c r="AH450" s="5">
        <v>0.08</v>
      </c>
      <c r="AI450" s="5">
        <v>0</v>
      </c>
      <c r="AJ450" s="5">
        <v>0</v>
      </c>
      <c r="AL450" s="2"/>
      <c r="AM450" s="2"/>
      <c r="AN450" s="3">
        <v>0</v>
      </c>
      <c r="AO450" s="3">
        <v>0</v>
      </c>
      <c r="AP45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1" spans="1:42" x14ac:dyDescent="0.35">
      <c r="A451" s="1">
        <v>46009</v>
      </c>
      <c r="B451">
        <v>1</v>
      </c>
      <c r="C451" t="s">
        <v>11</v>
      </c>
      <c r="D451" t="str" cm="1">
        <f t="array" ref="D451">IFERROR(INDEX(ReferenceCard, MATCH(1, (INDEX(ReferenceCard,,1)=Table1[[#This Row],[SAP No]]) * (INDEX(ReferenceCard,,2)=Table1[[#This Row],[Mould No]]), 0), 6),)</f>
        <v>rPET</v>
      </c>
      <c r="E451">
        <v>620994</v>
      </c>
      <c r="F451">
        <v>0</v>
      </c>
      <c r="G451" t="str" cm="1">
        <f t="array" ref="G451">IFERROR(INDEX(ReferenceCard, MATCH(1, (INDEX(ReferenceCard,,1)=Table1[[#This Row],[SAP No]]) * (INDEX(ReferenceCard,,2)=Table1[[#This Row],[Mould No]]), 0), 3),)</f>
        <v>JJ63-0400-SH-S-CL-rPET</v>
      </c>
      <c r="H451">
        <v>0</v>
      </c>
      <c r="I451" cm="1">
        <f t="array" ref="I451">IFERROR(INDEX(ReferenceCard, MATCH(1, (INDEX(ReferenceCard,,1)=Table1[[#This Row],[SAP No]]) * (INDEX(ReferenceCard,,2)=Table1[[#This Row],[Mould No]]), 0), 4),)</f>
        <v>4</v>
      </c>
      <c r="J451" s="4" cm="1">
        <f t="array" ref="J451">IFERROR(INDEX(ReferenceCard, MATCH(1, (INDEX(ReferenceCard,,1)=Table1[[#This Row],[SAP No]]) * (INDEX(ReferenceCard,,2)=Table1[[#This Row],[Mould No]]), 0), 9),)</f>
        <v>32.74</v>
      </c>
      <c r="K451" s="4" cm="1">
        <f t="array" ref="K451">IFERROR(INDEX(ReferenceCard, MATCH(1, (INDEX(ReferenceCard,,1)=Table1[[#This Row],[SAP No]]) * (INDEX(ReferenceCard,,2)=Table1[[#This Row],[Mould No]]), 0), 7),)</f>
        <v>33</v>
      </c>
      <c r="L451">
        <v>1904</v>
      </c>
      <c r="M451">
        <v>0</v>
      </c>
      <c r="N451">
        <v>0</v>
      </c>
      <c r="O451">
        <v>0</v>
      </c>
      <c r="P451">
        <f>Table1[[#This Row],[Shot]]*Table1[[#This Row],[Cav]]</f>
        <v>7616</v>
      </c>
      <c r="Q451">
        <v>0</v>
      </c>
      <c r="R451">
        <f>(Table1[[#This Row],[Part Weight (gm)]]*Table1[[#This Row],[Finish Good]])/1000</f>
        <v>0</v>
      </c>
      <c r="S451">
        <v>0</v>
      </c>
      <c r="T451">
        <f>IF(Table1[[#This Row],[Qty Order]]="Sample","-",IF(Table1[[#This Row],[Qty Order]]="RTFN","-",Table1[[#This Row],[Qty Order]]-Table1[[#This Row],[Qty Accumulate]]))</f>
        <v>0</v>
      </c>
      <c r="U451">
        <f>((Table1[[#This Row],[Shift Output]]*Table1[[#This Row],[Part Weight (gm)]])/1000)+Table1[[#This Row],[Reject Startup (kg)]]+Table1[[#This Row],[Reject Purging (kg)]]+Table1[[#This Row],[Reject Preform (kg)]]</f>
        <v>251.328</v>
      </c>
      <c r="V451" s="37">
        <f>(Table1[[#This Row],[Gross Weight (gm)]]-Table1[[#This Row],[Part Weight (gm)]])*Table1[[#This Row],[Shift Output]]/1000</f>
        <v>-1.9801599999999848</v>
      </c>
      <c r="W451" s="3">
        <v>0</v>
      </c>
      <c r="X451" s="36">
        <f>Table1[[#This Row],[Reject Startup (kg)]]/Table1[[#This Row],[Material Used]]</f>
        <v>0</v>
      </c>
      <c r="Y451" s="3">
        <v>0</v>
      </c>
      <c r="Z451" s="36">
        <f>Table1[[#This Row],[Reject Prod (kg)]]/Table1[[#This Row],[Material Used]]</f>
        <v>0</v>
      </c>
      <c r="AA451" s="4">
        <v>22.681917190551701</v>
      </c>
      <c r="AB451" s="5">
        <v>12</v>
      </c>
      <c r="AC451" s="4" cm="1">
        <f t="array" ref="AC451">IFERROR(INDEX(ReferenceCard, MATCH(1, (INDEX(ReferenceCard,,1)=Table1[[#This Row],[SAP No]]) * (INDEX(ReferenceCard,,2)=Table1[[#This Row],[Mould No]]), 0), 9),)</f>
        <v>32.74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L451" s="2"/>
      <c r="AM451" s="2"/>
      <c r="AN451" s="3">
        <v>0</v>
      </c>
      <c r="AO451" s="3">
        <v>0</v>
      </c>
      <c r="AP45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2" spans="1:42" x14ac:dyDescent="0.35">
      <c r="A452" s="1">
        <v>46009</v>
      </c>
      <c r="B452">
        <v>1</v>
      </c>
      <c r="C452" t="s">
        <v>14</v>
      </c>
      <c r="D452" t="str" cm="1">
        <f t="array" ref="D452">IFERROR(INDEX(ReferenceCard, MATCH(1, (INDEX(ReferenceCard,,1)=Table1[[#This Row],[SAP No]]) * (INDEX(ReferenceCard,,2)=Table1[[#This Row],[Mould No]]), 0), 6),)</f>
        <v>PET</v>
      </c>
      <c r="E452">
        <v>324165</v>
      </c>
      <c r="F452">
        <v>0</v>
      </c>
      <c r="G452" t="str" cm="1">
        <f t="array" ref="G452">IFERROR(INDEX(ReferenceCard, MATCH(1, (INDEX(ReferenceCard,,1)=Table1[[#This Row],[SAP No]]) * (INDEX(ReferenceCard,,2)=Table1[[#This Row],[Mould No]]), 0), 3),)</f>
        <v>JJ63-0400-SH-S-WH</v>
      </c>
      <c r="H452">
        <v>0</v>
      </c>
      <c r="I452" cm="1">
        <f t="array" ref="I452">IFERROR(INDEX(ReferenceCard, MATCH(1, (INDEX(ReferenceCard,,1)=Table1[[#This Row],[SAP No]]) * (INDEX(ReferenceCard,,2)=Table1[[#This Row],[Mould No]]), 0), 4),)</f>
        <v>4</v>
      </c>
      <c r="J452" s="4" cm="1">
        <f t="array" ref="J452">IFERROR(INDEX(ReferenceCard, MATCH(1, (INDEX(ReferenceCard,,1)=Table1[[#This Row],[SAP No]]) * (INDEX(ReferenceCard,,2)=Table1[[#This Row],[Mould No]]), 0), 9),)</f>
        <v>32.56</v>
      </c>
      <c r="K452" s="4" cm="1">
        <f t="array" ref="K452">IFERROR(INDEX(ReferenceCard, MATCH(1, (INDEX(ReferenceCard,,1)=Table1[[#This Row],[SAP No]]) * (INDEX(ReferenceCard,,2)=Table1[[#This Row],[Mould No]]), 0), 7),)</f>
        <v>33</v>
      </c>
      <c r="L452">
        <v>5343</v>
      </c>
      <c r="M452">
        <v>0</v>
      </c>
      <c r="N452">
        <v>0</v>
      </c>
      <c r="O452">
        <v>0</v>
      </c>
      <c r="P452">
        <f>Table1[[#This Row],[Shot]]*Table1[[#This Row],[Cav]]</f>
        <v>21372</v>
      </c>
      <c r="Q452">
        <v>0</v>
      </c>
      <c r="R452">
        <f>(Table1[[#This Row],[Part Weight (gm)]]*Table1[[#This Row],[Finish Good]])/1000</f>
        <v>0</v>
      </c>
      <c r="S452">
        <v>0</v>
      </c>
      <c r="T452">
        <f>IF(Table1[[#This Row],[Qty Order]]="Sample","-",IF(Table1[[#This Row],[Qty Order]]="RTFN","-",Table1[[#This Row],[Qty Order]]-Table1[[#This Row],[Qty Accumulate]]))</f>
        <v>0</v>
      </c>
      <c r="U452">
        <f>((Table1[[#This Row],[Shift Output]]*Table1[[#This Row],[Part Weight (gm)]])/1000)+Table1[[#This Row],[Reject Startup (kg)]]+Table1[[#This Row],[Reject Purging (kg)]]+Table1[[#This Row],[Reject Preform (kg)]]</f>
        <v>705.27599999999995</v>
      </c>
      <c r="V452" s="37">
        <f>(Table1[[#This Row],[Gross Weight (gm)]]-Table1[[#This Row],[Part Weight (gm)]])*Table1[[#This Row],[Shift Output]]/1000</f>
        <v>-9.4036799999999516</v>
      </c>
      <c r="W452" s="3">
        <v>0</v>
      </c>
      <c r="X452" s="36">
        <f>Table1[[#This Row],[Reject Startup (kg)]]/Table1[[#This Row],[Material Used]]</f>
        <v>0</v>
      </c>
      <c r="Y452" s="3">
        <v>0</v>
      </c>
      <c r="Z452" s="36">
        <f>Table1[[#This Row],[Reject Prod (kg)]]/Table1[[#This Row],[Material Used]]</f>
        <v>0</v>
      </c>
      <c r="AA452" s="4">
        <v>22.370319366455</v>
      </c>
      <c r="AB452" s="5">
        <v>7.04</v>
      </c>
      <c r="AC452" s="4" cm="1">
        <f t="array" ref="AC452">IFERROR(INDEX(ReferenceCard, MATCH(1, (INDEX(ReferenceCard,,1)=Table1[[#This Row],[SAP No]]) * (INDEX(ReferenceCard,,2)=Table1[[#This Row],[Mould No]]), 0), 9),)</f>
        <v>32.56</v>
      </c>
      <c r="AD452" s="5">
        <v>0</v>
      </c>
      <c r="AE452" s="5">
        <v>0</v>
      </c>
      <c r="AF452" s="5">
        <v>0</v>
      </c>
      <c r="AG452" s="5">
        <v>4.5499999999999901</v>
      </c>
      <c r="AH452" s="5">
        <v>5.9999999999999901E-2</v>
      </c>
      <c r="AI452" s="5">
        <v>0</v>
      </c>
      <c r="AJ452" s="5">
        <v>0</v>
      </c>
      <c r="AK452" t="s">
        <v>99</v>
      </c>
      <c r="AL452" s="2"/>
      <c r="AM452" s="2"/>
      <c r="AN452" s="3">
        <v>0</v>
      </c>
      <c r="AO452" s="3">
        <v>0</v>
      </c>
      <c r="AP45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3" spans="1:42" x14ac:dyDescent="0.35">
      <c r="A453" s="1">
        <v>46009</v>
      </c>
      <c r="B453">
        <v>1</v>
      </c>
      <c r="C453" t="s">
        <v>16</v>
      </c>
      <c r="D453" t="str" cm="1">
        <f t="array" ref="D453">IFERROR(INDEX(ReferenceCard, MATCH(1, (INDEX(ReferenceCard,,1)=Table1[[#This Row],[SAP No]]) * (INDEX(ReferenceCard,,2)=Table1[[#This Row],[Mould No]]), 0), 6),)</f>
        <v>PET</v>
      </c>
      <c r="E453">
        <v>324206</v>
      </c>
      <c r="F453">
        <v>0</v>
      </c>
      <c r="G453" t="str" cm="1">
        <f t="array" ref="G453">IFERROR(INDEX(ReferenceCard, MATCH(1, (INDEX(ReferenceCard,,1)=Table1[[#This Row],[SAP No]]) * (INDEX(ReferenceCard,,2)=Table1[[#This Row],[Mould No]]), 0), 3),)</f>
        <v>BX38-1000-HC-S-CL</v>
      </c>
      <c r="H453">
        <v>0</v>
      </c>
      <c r="I453" cm="1">
        <f t="array" ref="I453">IFERROR(INDEX(ReferenceCard, MATCH(1, (INDEX(ReferenceCard,,1)=Table1[[#This Row],[SAP No]]) * (INDEX(ReferenceCard,,2)=Table1[[#This Row],[Mould No]]), 0), 4),)</f>
        <v>4</v>
      </c>
      <c r="J453" s="4" cm="1">
        <f t="array" ref="J453">IFERROR(INDEX(ReferenceCard, MATCH(1, (INDEX(ReferenceCard,,1)=Table1[[#This Row],[SAP No]]) * (INDEX(ReferenceCard,,2)=Table1[[#This Row],[Mould No]]), 0), 9),)</f>
        <v>49</v>
      </c>
      <c r="K453" s="4" cm="1">
        <f t="array" ref="K453">IFERROR(INDEX(ReferenceCard, MATCH(1, (INDEX(ReferenceCard,,1)=Table1[[#This Row],[SAP No]]) * (INDEX(ReferenceCard,,2)=Table1[[#This Row],[Mould No]]), 0), 7),)</f>
        <v>48</v>
      </c>
      <c r="L453">
        <v>0</v>
      </c>
      <c r="M453">
        <v>0</v>
      </c>
      <c r="N453">
        <v>0</v>
      </c>
      <c r="O453">
        <v>0</v>
      </c>
      <c r="P453">
        <f>Table1[[#This Row],[Shot]]*Table1[[#This Row],[Cav]]</f>
        <v>0</v>
      </c>
      <c r="Q453">
        <v>0</v>
      </c>
      <c r="R453">
        <f>(Table1[[#This Row],[Part Weight (gm)]]*Table1[[#This Row],[Finish Good]])/1000</f>
        <v>0</v>
      </c>
      <c r="S453">
        <v>0</v>
      </c>
      <c r="T453">
        <f>IF(Table1[[#This Row],[Qty Order]]="Sample","-",IF(Table1[[#This Row],[Qty Order]]="RTFN","-",Table1[[#This Row],[Qty Order]]-Table1[[#This Row],[Qty Accumulate]]))</f>
        <v>0</v>
      </c>
      <c r="U453">
        <f>((Table1[[#This Row],[Shift Output]]*Table1[[#This Row],[Part Weight (gm)]])/1000)+Table1[[#This Row],[Reject Startup (kg)]]+Table1[[#This Row],[Reject Purging (kg)]]+Table1[[#This Row],[Reject Preform (kg)]]</f>
        <v>0</v>
      </c>
      <c r="V453" s="37">
        <f>(Table1[[#This Row],[Gross Weight (gm)]]-Table1[[#This Row],[Part Weight (gm)]])*Table1[[#This Row],[Shift Output]]/1000</f>
        <v>0</v>
      </c>
      <c r="W453" s="3">
        <v>0</v>
      </c>
      <c r="X453" s="36" t="e">
        <f>Table1[[#This Row],[Reject Startup (kg)]]/Table1[[#This Row],[Material Used]]</f>
        <v>#DIV/0!</v>
      </c>
      <c r="Y453" s="3">
        <v>0</v>
      </c>
      <c r="Z453" s="36" t="e">
        <f>Table1[[#This Row],[Reject Prod (kg)]]/Table1[[#This Row],[Material Used]]</f>
        <v>#DIV/0!</v>
      </c>
      <c r="AA453" s="4">
        <v>0</v>
      </c>
      <c r="AB453" s="5">
        <v>0</v>
      </c>
      <c r="AC453" s="4" cm="1">
        <f t="array" ref="AC453">IFERROR(INDEX(ReferenceCard, MATCH(1, (INDEX(ReferenceCard,,1)=Table1[[#This Row],[SAP No]]) * (INDEX(ReferenceCard,,2)=Table1[[#This Row],[Mould No]]), 0), 9),)</f>
        <v>49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12</v>
      </c>
      <c r="AJ453" s="5">
        <v>0</v>
      </c>
      <c r="AK453" t="s">
        <v>100</v>
      </c>
      <c r="AL453" s="2"/>
      <c r="AM453" s="2"/>
      <c r="AN453" s="3">
        <v>0</v>
      </c>
      <c r="AO453" s="3">
        <v>0</v>
      </c>
      <c r="AP45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4" spans="1:42" x14ac:dyDescent="0.35">
      <c r="A454" s="1">
        <v>46009</v>
      </c>
      <c r="B454">
        <v>1</v>
      </c>
      <c r="C454" t="s">
        <v>23</v>
      </c>
      <c r="D454" t="str" cm="1">
        <f t="array" ref="D454">IFERROR(INDEX(ReferenceCard, MATCH(1, (INDEX(ReferenceCard,,1)=Table1[[#This Row],[SAP No]]) * (INDEX(ReferenceCard,,2)=Table1[[#This Row],[Mould No]]), 0), 6),)</f>
        <v>PPSB520Y</v>
      </c>
      <c r="E454">
        <v>586276</v>
      </c>
      <c r="F454">
        <v>2</v>
      </c>
      <c r="G454" t="str" cm="1">
        <f t="array" ref="G454">IFERROR(INDEX(ReferenceCard, MATCH(1, (INDEX(ReferenceCard,,1)=Table1[[#This Row],[SAP No]]) * (INDEX(ReferenceCard,,2)=Table1[[#This Row],[Mould No]]), 0), 3),)</f>
        <v>BC28-0056-D-APH-LEB-604001-MOLD2</v>
      </c>
      <c r="H454">
        <v>0</v>
      </c>
      <c r="I454" cm="1">
        <f t="array" ref="I454">IFERROR(INDEX(ReferenceCard, MATCH(1, (INDEX(ReferenceCard,,1)=Table1[[#This Row],[SAP No]]) * (INDEX(ReferenceCard,,2)=Table1[[#This Row],[Mould No]]), 0), 4),)</f>
        <v>6</v>
      </c>
      <c r="J454" s="4" cm="1">
        <f t="array" ref="J454">IFERROR(INDEX(ReferenceCard, MATCH(1, (INDEX(ReferenceCard,,1)=Table1[[#This Row],[SAP No]]) * (INDEX(ReferenceCard,,2)=Table1[[#This Row],[Mould No]]), 0), 9),)</f>
        <v>12.3</v>
      </c>
      <c r="K454" s="4" cm="1">
        <f t="array" ref="K454">IFERROR(INDEX(ReferenceCard, MATCH(1, (INDEX(ReferenceCard,,1)=Table1[[#This Row],[SAP No]]) * (INDEX(ReferenceCard,,2)=Table1[[#This Row],[Mould No]]), 0), 7),)</f>
        <v>12.3</v>
      </c>
      <c r="L454">
        <v>1693</v>
      </c>
      <c r="M454">
        <v>0</v>
      </c>
      <c r="N454">
        <v>0</v>
      </c>
      <c r="O454">
        <v>0</v>
      </c>
      <c r="P454">
        <f>Table1[[#This Row],[Shot]]*Table1[[#This Row],[Cav]]</f>
        <v>10158</v>
      </c>
      <c r="Q454">
        <v>0</v>
      </c>
      <c r="R454">
        <f>(Table1[[#This Row],[Part Weight (gm)]]*Table1[[#This Row],[Finish Good]])/1000</f>
        <v>0</v>
      </c>
      <c r="S454">
        <v>0</v>
      </c>
      <c r="T454">
        <f>IF(Table1[[#This Row],[Qty Order]]="Sample","-",IF(Table1[[#This Row],[Qty Order]]="RTFN","-",Table1[[#This Row],[Qty Order]]-Table1[[#This Row],[Qty Accumulate]]))</f>
        <v>0</v>
      </c>
      <c r="U454">
        <f>((Table1[[#This Row],[Shift Output]]*Table1[[#This Row],[Part Weight (gm)]])/1000)+Table1[[#This Row],[Reject Startup (kg)]]+Table1[[#This Row],[Reject Purging (kg)]]+Table1[[#This Row],[Reject Preform (kg)]]</f>
        <v>124.94340000000001</v>
      </c>
      <c r="V454" s="37">
        <f>(Table1[[#This Row],[Gross Weight (gm)]]-Table1[[#This Row],[Part Weight (gm)]])*Table1[[#This Row],[Shift Output]]/1000</f>
        <v>0</v>
      </c>
      <c r="W454" s="3">
        <v>0</v>
      </c>
      <c r="X454" s="36">
        <f>Table1[[#This Row],[Reject Startup (kg)]]/Table1[[#This Row],[Material Used]]</f>
        <v>0</v>
      </c>
      <c r="Y454" s="3">
        <v>0</v>
      </c>
      <c r="Z454" s="36">
        <f>Table1[[#This Row],[Reject Prod (kg)]]/Table1[[#This Row],[Material Used]]</f>
        <v>0</v>
      </c>
      <c r="AA454" s="4">
        <v>25.512062072753899</v>
      </c>
      <c r="AB454" s="5">
        <v>12</v>
      </c>
      <c r="AC454" s="4" cm="1">
        <f t="array" ref="AC454">IFERROR(INDEX(ReferenceCard, MATCH(1, (INDEX(ReferenceCard,,1)=Table1[[#This Row],[SAP No]]) * (INDEX(ReferenceCard,,2)=Table1[[#This Row],[Mould No]]), 0), 9),)</f>
        <v>12.3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L454" s="2"/>
      <c r="AM454" s="2"/>
      <c r="AN454" s="3">
        <v>0</v>
      </c>
      <c r="AO454" s="3">
        <v>0</v>
      </c>
      <c r="AP45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5" spans="1:42" x14ac:dyDescent="0.35">
      <c r="A455" s="1">
        <v>46009</v>
      </c>
      <c r="B455">
        <v>1</v>
      </c>
      <c r="C455" t="s">
        <v>25</v>
      </c>
      <c r="D455" t="str" cm="1">
        <f t="array" ref="D455">IFERROR(INDEX(ReferenceCard, MATCH(1, (INDEX(ReferenceCard,,1)=Table1[[#This Row],[SAP No]]) * (INDEX(ReferenceCard,,2)=Table1[[#This Row],[Mould No]]), 0), 6),)</f>
        <v>PET</v>
      </c>
      <c r="E455">
        <v>323133</v>
      </c>
      <c r="F455">
        <v>0</v>
      </c>
      <c r="G455" t="str" cm="1">
        <f t="array" ref="G455">IFERROR(INDEX(ReferenceCard, MATCH(1, (INDEX(ReferenceCard,,1)=Table1[[#This Row],[SAP No]]) * (INDEX(ReferenceCard,,2)=Table1[[#This Row],[Mould No]]), 0), 3),)</f>
        <v>BX38-2000-RH-R-CL(GREEN) (ASEM)</v>
      </c>
      <c r="H455">
        <v>0</v>
      </c>
      <c r="I455" cm="1">
        <f t="array" ref="I455">IFERROR(INDEX(ReferenceCard, MATCH(1, (INDEX(ReferenceCard,,1)=Table1[[#This Row],[SAP No]]) * (INDEX(ReferenceCard,,2)=Table1[[#This Row],[Mould No]]), 0), 4),)</f>
        <v>4</v>
      </c>
      <c r="J455" s="4" cm="1">
        <f t="array" ref="J455">IFERROR(INDEX(ReferenceCard, MATCH(1, (INDEX(ReferenceCard,,1)=Table1[[#This Row],[SAP No]]) * (INDEX(ReferenceCard,,2)=Table1[[#This Row],[Mould No]]), 0), 9),)</f>
        <v>77</v>
      </c>
      <c r="K455" s="4" cm="1">
        <f t="array" ref="K455">IFERROR(INDEX(ReferenceCard, MATCH(1, (INDEX(ReferenceCard,,1)=Table1[[#This Row],[SAP No]]) * (INDEX(ReferenceCard,,2)=Table1[[#This Row],[Mould No]]), 0), 7),)</f>
        <v>77</v>
      </c>
      <c r="L455">
        <v>0</v>
      </c>
      <c r="M455">
        <v>0</v>
      </c>
      <c r="N455">
        <v>0</v>
      </c>
      <c r="O455">
        <v>0</v>
      </c>
      <c r="P455">
        <f>Table1[[#This Row],[Shot]]*Table1[[#This Row],[Cav]]</f>
        <v>0</v>
      </c>
      <c r="Q455">
        <v>0</v>
      </c>
      <c r="R455">
        <f>(Table1[[#This Row],[Part Weight (gm)]]*Table1[[#This Row],[Finish Good]])/1000</f>
        <v>0</v>
      </c>
      <c r="S455">
        <v>0</v>
      </c>
      <c r="T455">
        <f>IF(Table1[[#This Row],[Qty Order]]="Sample","-",IF(Table1[[#This Row],[Qty Order]]="RTFN","-",Table1[[#This Row],[Qty Order]]-Table1[[#This Row],[Qty Accumulate]]))</f>
        <v>0</v>
      </c>
      <c r="U455">
        <f>((Table1[[#This Row],[Shift Output]]*Table1[[#This Row],[Part Weight (gm)]])/1000)+Table1[[#This Row],[Reject Startup (kg)]]+Table1[[#This Row],[Reject Purging (kg)]]+Table1[[#This Row],[Reject Preform (kg)]]</f>
        <v>0</v>
      </c>
      <c r="V455" s="37">
        <f>(Table1[[#This Row],[Gross Weight (gm)]]-Table1[[#This Row],[Part Weight (gm)]])*Table1[[#This Row],[Shift Output]]/1000</f>
        <v>0</v>
      </c>
      <c r="W455" s="3">
        <v>0</v>
      </c>
      <c r="X455" s="36" t="e">
        <f>Table1[[#This Row],[Reject Startup (kg)]]/Table1[[#This Row],[Material Used]]</f>
        <v>#DIV/0!</v>
      </c>
      <c r="Y455" s="3">
        <v>0</v>
      </c>
      <c r="Z455" s="36" t="e">
        <f>Table1[[#This Row],[Reject Prod (kg)]]/Table1[[#This Row],[Material Used]]</f>
        <v>#DIV/0!</v>
      </c>
      <c r="AA455" s="4">
        <v>0</v>
      </c>
      <c r="AB455" s="5">
        <v>0</v>
      </c>
      <c r="AC455" s="4" cm="1">
        <f t="array" ref="AC455">IFERROR(INDEX(ReferenceCard, MATCH(1, (INDEX(ReferenceCard,,1)=Table1[[#This Row],[SAP No]]) * (INDEX(ReferenceCard,,2)=Table1[[#This Row],[Mould No]]), 0), 9),)</f>
        <v>77</v>
      </c>
      <c r="AD455" s="5">
        <v>0</v>
      </c>
      <c r="AE455" s="5">
        <v>0</v>
      </c>
      <c r="AF455" s="5">
        <v>0</v>
      </c>
      <c r="AG455" s="5">
        <v>12</v>
      </c>
      <c r="AH455" s="5">
        <v>0</v>
      </c>
      <c r="AI455" s="5">
        <v>0</v>
      </c>
      <c r="AJ455" s="5">
        <v>0</v>
      </c>
      <c r="AK455" t="s">
        <v>81</v>
      </c>
      <c r="AL455" s="2"/>
      <c r="AM455" s="2"/>
      <c r="AN455" s="3">
        <v>0</v>
      </c>
      <c r="AO455" s="3">
        <v>0</v>
      </c>
      <c r="AP45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6" spans="1:42" x14ac:dyDescent="0.35">
      <c r="A456" s="1">
        <v>46009</v>
      </c>
      <c r="B456">
        <v>1</v>
      </c>
      <c r="C456" t="s">
        <v>27</v>
      </c>
      <c r="D456" t="str" cm="1">
        <f t="array" ref="D456">IFERROR(INDEX(ReferenceCard, MATCH(1, (INDEX(ReferenceCard,,1)=Table1[[#This Row],[SAP No]]) * (INDEX(ReferenceCard,,2)=Table1[[#This Row],[Mould No]]), 0), 6),)</f>
        <v>PPSB520Y</v>
      </c>
      <c r="E456">
        <v>552181</v>
      </c>
      <c r="F456">
        <v>4</v>
      </c>
      <c r="G456" t="str" cm="1">
        <f t="array" ref="G456">IFERROR(INDEX(ReferenceCard, MATCH(1, (INDEX(ReferenceCard,,1)=Table1[[#This Row],[SAP No]]) * (INDEX(ReferenceCard,,2)=Table1[[#This Row],[Mould No]]), 0), 3),)</f>
        <v>BC28-0090-D-APH-5180-3538-PP-6 NOTCHES-MOLD4</v>
      </c>
      <c r="H456">
        <v>0</v>
      </c>
      <c r="I456" cm="1">
        <f t="array" ref="I456">IFERROR(INDEX(ReferenceCard, MATCH(1, (INDEX(ReferenceCard,,1)=Table1[[#This Row],[SAP No]]) * (INDEX(ReferenceCard,,2)=Table1[[#This Row],[Mould No]]), 0), 4),)</f>
        <v>6</v>
      </c>
      <c r="J456" s="4" cm="1">
        <f t="array" ref="J456">IFERROR(INDEX(ReferenceCard, MATCH(1, (INDEX(ReferenceCard,,1)=Table1[[#This Row],[SAP No]]) * (INDEX(ReferenceCard,,2)=Table1[[#This Row],[Mould No]]), 0), 9),)</f>
        <v>18.8</v>
      </c>
      <c r="K456" s="4" cm="1">
        <f t="array" ref="K456">IFERROR(INDEX(ReferenceCard, MATCH(1, (INDEX(ReferenceCard,,1)=Table1[[#This Row],[SAP No]]) * (INDEX(ReferenceCard,,2)=Table1[[#This Row],[Mould No]]), 0), 7),)</f>
        <v>18.8</v>
      </c>
      <c r="L456">
        <v>319</v>
      </c>
      <c r="M456">
        <v>0</v>
      </c>
      <c r="N456">
        <v>0</v>
      </c>
      <c r="O456">
        <v>0</v>
      </c>
      <c r="P456">
        <f>Table1[[#This Row],[Shot]]*Table1[[#This Row],[Cav]]</f>
        <v>1914</v>
      </c>
      <c r="Q456">
        <v>0</v>
      </c>
      <c r="R456">
        <f>(Table1[[#This Row],[Part Weight (gm)]]*Table1[[#This Row],[Finish Good]])/1000</f>
        <v>0</v>
      </c>
      <c r="S456">
        <v>0</v>
      </c>
      <c r="T456">
        <f>IF(Table1[[#This Row],[Qty Order]]="Sample","-",IF(Table1[[#This Row],[Qty Order]]="RTFN","-",Table1[[#This Row],[Qty Order]]-Table1[[#This Row],[Qty Accumulate]]))</f>
        <v>0</v>
      </c>
      <c r="U456">
        <f>((Table1[[#This Row],[Shift Output]]*Table1[[#This Row],[Part Weight (gm)]])/1000)+Table1[[#This Row],[Reject Startup (kg)]]+Table1[[#This Row],[Reject Purging (kg)]]+Table1[[#This Row],[Reject Preform (kg)]]</f>
        <v>35.983200000000004</v>
      </c>
      <c r="V456" s="37">
        <f>(Table1[[#This Row],[Gross Weight (gm)]]-Table1[[#This Row],[Part Weight (gm)]])*Table1[[#This Row],[Shift Output]]/1000</f>
        <v>0</v>
      </c>
      <c r="W456" s="3">
        <v>0</v>
      </c>
      <c r="X456" s="36">
        <f>Table1[[#This Row],[Reject Startup (kg)]]/Table1[[#This Row],[Material Used]]</f>
        <v>0</v>
      </c>
      <c r="Y456" s="3">
        <v>0</v>
      </c>
      <c r="Z456" s="36">
        <f>Table1[[#This Row],[Reject Prod (kg)]]/Table1[[#This Row],[Material Used]]</f>
        <v>0</v>
      </c>
      <c r="AA456" s="4">
        <v>0</v>
      </c>
      <c r="AB456" s="5">
        <v>0</v>
      </c>
      <c r="AC456" s="4" cm="1">
        <f t="array" ref="AC456">IFERROR(INDEX(ReferenceCard, MATCH(1, (INDEX(ReferenceCard,,1)=Table1[[#This Row],[SAP No]]) * (INDEX(ReferenceCard,,2)=Table1[[#This Row],[Mould No]]), 0), 9),)</f>
        <v>18.8</v>
      </c>
      <c r="AD456" s="5">
        <v>0</v>
      </c>
      <c r="AE456" s="5">
        <v>0</v>
      </c>
      <c r="AF456" s="5">
        <v>0</v>
      </c>
      <c r="AG456" s="5">
        <v>12</v>
      </c>
      <c r="AH456" s="5">
        <v>0</v>
      </c>
      <c r="AI456" s="5">
        <v>0</v>
      </c>
      <c r="AJ456" s="5">
        <v>0</v>
      </c>
      <c r="AK456" t="s">
        <v>101</v>
      </c>
      <c r="AL456" s="2"/>
      <c r="AM456" s="2"/>
      <c r="AN456" s="3">
        <v>0</v>
      </c>
      <c r="AO456" s="3">
        <v>0</v>
      </c>
      <c r="AP45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7" spans="1:42" x14ac:dyDescent="0.35">
      <c r="A457" s="1">
        <v>46009</v>
      </c>
      <c r="B457">
        <v>1</v>
      </c>
      <c r="C457" t="s">
        <v>29</v>
      </c>
      <c r="D457" t="str" cm="1">
        <f t="array" ref="D457">IFERROR(INDEX(ReferenceCard, MATCH(1, (INDEX(ReferenceCard,,1)=Table1[[#This Row],[SAP No]]) * (INDEX(ReferenceCard,,2)=Table1[[#This Row],[Mould No]]), 0), 6),)</f>
        <v>PET</v>
      </c>
      <c r="E457">
        <v>620599</v>
      </c>
      <c r="F457">
        <v>0</v>
      </c>
      <c r="G457" t="str" cm="1">
        <f t="array" ref="G457">IFERROR(INDEX(ReferenceCard, MATCH(1, (INDEX(ReferenceCard,,1)=Table1[[#This Row],[SAP No]]) * (INDEX(ReferenceCard,,2)=Table1[[#This Row],[Mould No]]), 0), 3),)</f>
        <v>BC28-0750-K4-R-CL (55g)</v>
      </c>
      <c r="H457">
        <v>0</v>
      </c>
      <c r="I457" cm="1">
        <f t="array" ref="I457">IFERROR(INDEX(ReferenceCard, MATCH(1, (INDEX(ReferenceCard,,1)=Table1[[#This Row],[SAP No]]) * (INDEX(ReferenceCard,,2)=Table1[[#This Row],[Mould No]]), 0), 4),)</f>
        <v>4</v>
      </c>
      <c r="J457" s="4" cm="1">
        <f t="array" ref="J457">IFERROR(INDEX(ReferenceCard, MATCH(1, (INDEX(ReferenceCard,,1)=Table1[[#This Row],[SAP No]]) * (INDEX(ReferenceCard,,2)=Table1[[#This Row],[Mould No]]), 0), 9),)</f>
        <v>55</v>
      </c>
      <c r="K457" s="4" cm="1">
        <f t="array" ref="K457">IFERROR(INDEX(ReferenceCard, MATCH(1, (INDEX(ReferenceCard,,1)=Table1[[#This Row],[SAP No]]) * (INDEX(ReferenceCard,,2)=Table1[[#This Row],[Mould No]]), 0), 7),)</f>
        <v>55</v>
      </c>
      <c r="L457">
        <v>1547</v>
      </c>
      <c r="M457">
        <v>0</v>
      </c>
      <c r="N457">
        <v>0</v>
      </c>
      <c r="O457">
        <v>0</v>
      </c>
      <c r="P457">
        <f>Table1[[#This Row],[Shot]]*Table1[[#This Row],[Cav]]</f>
        <v>6188</v>
      </c>
      <c r="Q457">
        <v>0</v>
      </c>
      <c r="R457">
        <f>(Table1[[#This Row],[Part Weight (gm)]]*Table1[[#This Row],[Finish Good]])/1000</f>
        <v>0</v>
      </c>
      <c r="S457">
        <v>0</v>
      </c>
      <c r="T457">
        <f>IF(Table1[[#This Row],[Qty Order]]="Sample","-",IF(Table1[[#This Row],[Qty Order]]="RTFN","-",Table1[[#This Row],[Qty Order]]-Table1[[#This Row],[Qty Accumulate]]))</f>
        <v>0</v>
      </c>
      <c r="U457">
        <f>((Table1[[#This Row],[Shift Output]]*Table1[[#This Row],[Part Weight (gm)]])/1000)+Table1[[#This Row],[Reject Startup (kg)]]+Table1[[#This Row],[Reject Purging (kg)]]+Table1[[#This Row],[Reject Preform (kg)]]</f>
        <v>340.34</v>
      </c>
      <c r="V457" s="37">
        <f>(Table1[[#This Row],[Gross Weight (gm)]]-Table1[[#This Row],[Part Weight (gm)]])*Table1[[#This Row],[Shift Output]]/1000</f>
        <v>0</v>
      </c>
      <c r="W457" s="3">
        <v>0</v>
      </c>
      <c r="X457" s="36">
        <f>Table1[[#This Row],[Reject Startup (kg)]]/Table1[[#This Row],[Material Used]]</f>
        <v>0</v>
      </c>
      <c r="Y457" s="3">
        <v>0</v>
      </c>
      <c r="Z457" s="36">
        <f>Table1[[#This Row],[Reject Prod (kg)]]/Table1[[#This Row],[Material Used]]</f>
        <v>0</v>
      </c>
      <c r="AA457" s="4">
        <v>27.9309902191162</v>
      </c>
      <c r="AB457" s="5">
        <v>12</v>
      </c>
      <c r="AC457" s="4" cm="1">
        <f t="array" ref="AC457">IFERROR(INDEX(ReferenceCard, MATCH(1, (INDEX(ReferenceCard,,1)=Table1[[#This Row],[SAP No]]) * (INDEX(ReferenceCard,,2)=Table1[[#This Row],[Mould No]]), 0), 9),)</f>
        <v>55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L457" s="2"/>
      <c r="AM457" s="2"/>
      <c r="AN457" s="3">
        <v>0</v>
      </c>
      <c r="AO457" s="3">
        <v>0</v>
      </c>
      <c r="AP45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8" spans="1:42" x14ac:dyDescent="0.35">
      <c r="A458" s="1">
        <v>46009</v>
      </c>
      <c r="B458">
        <v>1</v>
      </c>
      <c r="C458" t="s">
        <v>31</v>
      </c>
      <c r="D458" t="str" cm="1">
        <f t="array" ref="D458">IFERROR(INDEX(ReferenceCard, MATCH(1, (INDEX(ReferenceCard,,1)=Table1[[#This Row],[SAP No]]) * (INDEX(ReferenceCard,,2)=Table1[[#This Row],[Mould No]]), 0), 6),)</f>
        <v>PPSB520Y</v>
      </c>
      <c r="E458">
        <v>586276</v>
      </c>
      <c r="F458">
        <v>4</v>
      </c>
      <c r="G458" t="str" cm="1">
        <f t="array" ref="G458">IFERROR(INDEX(ReferenceCard, MATCH(1, (INDEX(ReferenceCard,,1)=Table1[[#This Row],[SAP No]]) * (INDEX(ReferenceCard,,2)=Table1[[#This Row],[Mould No]]), 0), 3),)</f>
        <v>BC28-0056-D-APH-LEB-604001-MOLD4</v>
      </c>
      <c r="H458">
        <v>0</v>
      </c>
      <c r="I458" cm="1">
        <f t="array" ref="I458">IFERROR(INDEX(ReferenceCard, MATCH(1, (INDEX(ReferenceCard,,1)=Table1[[#This Row],[SAP No]]) * (INDEX(ReferenceCard,,2)=Table1[[#This Row],[Mould No]]), 0), 4),)</f>
        <v>6</v>
      </c>
      <c r="J458" s="4" cm="1">
        <f t="array" ref="J458">IFERROR(INDEX(ReferenceCard, MATCH(1, (INDEX(ReferenceCard,,1)=Table1[[#This Row],[SAP No]]) * (INDEX(ReferenceCard,,2)=Table1[[#This Row],[Mould No]]), 0), 9),)</f>
        <v>12.3</v>
      </c>
      <c r="K458" s="4" cm="1">
        <f t="array" ref="K458">IFERROR(INDEX(ReferenceCard, MATCH(1, (INDEX(ReferenceCard,,1)=Table1[[#This Row],[SAP No]]) * (INDEX(ReferenceCard,,2)=Table1[[#This Row],[Mould No]]), 0), 7),)</f>
        <v>12.3</v>
      </c>
      <c r="L458">
        <v>1651</v>
      </c>
      <c r="M458">
        <v>0</v>
      </c>
      <c r="N458">
        <v>0</v>
      </c>
      <c r="O458">
        <v>0</v>
      </c>
      <c r="P458">
        <f>Table1[[#This Row],[Shot]]*Table1[[#This Row],[Cav]]</f>
        <v>9906</v>
      </c>
      <c r="Q458">
        <v>0</v>
      </c>
      <c r="R458">
        <f>(Table1[[#This Row],[Part Weight (gm)]]*Table1[[#This Row],[Finish Good]])/1000</f>
        <v>0</v>
      </c>
      <c r="S458">
        <v>0</v>
      </c>
      <c r="T458">
        <f>IF(Table1[[#This Row],[Qty Order]]="Sample","-",IF(Table1[[#This Row],[Qty Order]]="RTFN","-",Table1[[#This Row],[Qty Order]]-Table1[[#This Row],[Qty Accumulate]]))</f>
        <v>0</v>
      </c>
      <c r="U458">
        <f>((Table1[[#This Row],[Shift Output]]*Table1[[#This Row],[Part Weight (gm)]])/1000)+Table1[[#This Row],[Reject Startup (kg)]]+Table1[[#This Row],[Reject Purging (kg)]]+Table1[[#This Row],[Reject Preform (kg)]]</f>
        <v>121.8438</v>
      </c>
      <c r="V458" s="37">
        <f>(Table1[[#This Row],[Gross Weight (gm)]]-Table1[[#This Row],[Part Weight (gm)]])*Table1[[#This Row],[Shift Output]]/1000</f>
        <v>0</v>
      </c>
      <c r="W458" s="3">
        <v>0</v>
      </c>
      <c r="X458" s="36">
        <f>Table1[[#This Row],[Reject Startup (kg)]]/Table1[[#This Row],[Material Used]]</f>
        <v>0</v>
      </c>
      <c r="Y458" s="3">
        <v>0</v>
      </c>
      <c r="Z458" s="36">
        <f>Table1[[#This Row],[Reject Prod (kg)]]/Table1[[#This Row],[Material Used]]</f>
        <v>0</v>
      </c>
      <c r="AA458" s="4">
        <v>26.157686233520501</v>
      </c>
      <c r="AB458" s="5">
        <v>12</v>
      </c>
      <c r="AC458" s="4" cm="1">
        <f t="array" ref="AC458">IFERROR(INDEX(ReferenceCard, MATCH(1, (INDEX(ReferenceCard,,1)=Table1[[#This Row],[SAP No]]) * (INDEX(ReferenceCard,,2)=Table1[[#This Row],[Mould No]]), 0), 9),)</f>
        <v>12.3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L458" s="2"/>
      <c r="AM458" s="2"/>
      <c r="AN458" s="3">
        <v>0</v>
      </c>
      <c r="AO458" s="3">
        <v>0</v>
      </c>
      <c r="AP45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59" spans="1:42" x14ac:dyDescent="0.35">
      <c r="A459" s="1">
        <v>46009</v>
      </c>
      <c r="B459">
        <v>1</v>
      </c>
      <c r="C459" t="s">
        <v>33</v>
      </c>
      <c r="D459" t="str" cm="1">
        <f t="array" ref="D459">IFERROR(INDEX(ReferenceCard, MATCH(1, (INDEX(ReferenceCard,,1)=Table1[[#This Row],[SAP No]]) * (INDEX(ReferenceCard,,2)=Table1[[#This Row],[Mould No]]), 0), 6),)</f>
        <v>PET</v>
      </c>
      <c r="E459">
        <v>541381</v>
      </c>
      <c r="F459">
        <v>0</v>
      </c>
      <c r="G459" t="str" cm="1">
        <f t="array" ref="G459">IFERROR(INDEX(ReferenceCard, MATCH(1, (INDEX(ReferenceCard,,1)=Table1[[#This Row],[SAP No]]) * (INDEX(ReferenceCard,,2)=Table1[[#This Row],[Mould No]]), 0), 3),)</f>
        <v>BC28-1200-K-R-CL</v>
      </c>
      <c r="H459">
        <v>0</v>
      </c>
      <c r="I459" cm="1">
        <f t="array" ref="I459">IFERROR(INDEX(ReferenceCard, MATCH(1, (INDEX(ReferenceCard,,1)=Table1[[#This Row],[SAP No]]) * (INDEX(ReferenceCard,,2)=Table1[[#This Row],[Mould No]]), 0), 4),)</f>
        <v>4</v>
      </c>
      <c r="J459" s="4" cm="1">
        <f t="array" ref="J459">IFERROR(INDEX(ReferenceCard, MATCH(1, (INDEX(ReferenceCard,,1)=Table1[[#This Row],[SAP No]]) * (INDEX(ReferenceCard,,2)=Table1[[#This Row],[Mould No]]), 0), 9),)</f>
        <v>55</v>
      </c>
      <c r="K459" s="4" cm="1">
        <f t="array" ref="K459">IFERROR(INDEX(ReferenceCard, MATCH(1, (INDEX(ReferenceCard,,1)=Table1[[#This Row],[SAP No]]) * (INDEX(ReferenceCard,,2)=Table1[[#This Row],[Mould No]]), 0), 7),)</f>
        <v>55</v>
      </c>
      <c r="L459">
        <v>1053</v>
      </c>
      <c r="M459">
        <v>0</v>
      </c>
      <c r="N459">
        <v>0</v>
      </c>
      <c r="O459">
        <v>0</v>
      </c>
      <c r="P459">
        <f>Table1[[#This Row],[Shot]]*Table1[[#This Row],[Cav]]</f>
        <v>4212</v>
      </c>
      <c r="Q459">
        <v>0</v>
      </c>
      <c r="R459">
        <f>(Table1[[#This Row],[Part Weight (gm)]]*Table1[[#This Row],[Finish Good]])/1000</f>
        <v>0</v>
      </c>
      <c r="S459">
        <v>0</v>
      </c>
      <c r="T459">
        <f>IF(Table1[[#This Row],[Qty Order]]="Sample","-",IF(Table1[[#This Row],[Qty Order]]="RTFN","-",Table1[[#This Row],[Qty Order]]-Table1[[#This Row],[Qty Accumulate]]))</f>
        <v>0</v>
      </c>
      <c r="U459">
        <f>((Table1[[#This Row],[Shift Output]]*Table1[[#This Row],[Part Weight (gm)]])/1000)+Table1[[#This Row],[Reject Startup (kg)]]+Table1[[#This Row],[Reject Purging (kg)]]+Table1[[#This Row],[Reject Preform (kg)]]</f>
        <v>231.66</v>
      </c>
      <c r="V459" s="37">
        <f>(Table1[[#This Row],[Gross Weight (gm)]]-Table1[[#This Row],[Part Weight (gm)]])*Table1[[#This Row],[Shift Output]]/1000</f>
        <v>0</v>
      </c>
      <c r="W459" s="3">
        <v>0</v>
      </c>
      <c r="X459" s="36">
        <f>Table1[[#This Row],[Reject Startup (kg)]]/Table1[[#This Row],[Material Used]]</f>
        <v>0</v>
      </c>
      <c r="Y459" s="3">
        <v>0</v>
      </c>
      <c r="Z459" s="36">
        <f>Table1[[#This Row],[Reject Prod (kg)]]/Table1[[#This Row],[Material Used]]</f>
        <v>0</v>
      </c>
      <c r="AA459" s="4">
        <v>0</v>
      </c>
      <c r="AB459" s="5">
        <v>0</v>
      </c>
      <c r="AC459" s="4" cm="1">
        <f t="array" ref="AC459">IFERROR(INDEX(ReferenceCard, MATCH(1, (INDEX(ReferenceCard,,1)=Table1[[#This Row],[SAP No]]) * (INDEX(ReferenceCard,,2)=Table1[[#This Row],[Mould No]]), 0), 9),)</f>
        <v>55</v>
      </c>
      <c r="AD459" s="5">
        <v>0</v>
      </c>
      <c r="AE459" s="5">
        <v>0</v>
      </c>
      <c r="AF459" s="5">
        <v>0</v>
      </c>
      <c r="AG459" s="5">
        <v>0</v>
      </c>
      <c r="AH459" s="5">
        <v>12</v>
      </c>
      <c r="AI459" s="5">
        <v>0</v>
      </c>
      <c r="AJ459" s="5">
        <v>0</v>
      </c>
      <c r="AL459" s="2"/>
      <c r="AM459" s="2"/>
      <c r="AN459" s="3">
        <v>0</v>
      </c>
      <c r="AO459" s="3">
        <v>0</v>
      </c>
      <c r="AP45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0" spans="1:42" x14ac:dyDescent="0.35">
      <c r="A460" s="1">
        <v>46008</v>
      </c>
      <c r="B460">
        <v>2</v>
      </c>
      <c r="C460" t="s">
        <v>0</v>
      </c>
      <c r="D460" t="str" cm="1">
        <f t="array" ref="D460">IFERROR(INDEX(ReferenceCard, MATCH(1, (INDEX(ReferenceCard,,1)=Table1[[#This Row],[SAP No]]) * (INDEX(ReferenceCard,,2)=Table1[[#This Row],[Mould No]]), 0), 6),)</f>
        <v>PET</v>
      </c>
      <c r="E460">
        <v>347623</v>
      </c>
      <c r="F460">
        <v>0</v>
      </c>
      <c r="G460" t="str" cm="1">
        <f t="array" ref="G460">IFERROR(INDEX(ReferenceCard, MATCH(1, (INDEX(ReferenceCard,,1)=Table1[[#This Row],[SAP No]]) * (INDEX(ReferenceCard,,2)=Table1[[#This Row],[Mould No]]), 0), 3),)</f>
        <v>BC28-0375-K-R-CL</v>
      </c>
      <c r="H460">
        <v>0</v>
      </c>
      <c r="I460" cm="1">
        <f t="array" ref="I460">IFERROR(INDEX(ReferenceCard, MATCH(1, (INDEX(ReferenceCard,,1)=Table1[[#This Row],[SAP No]]) * (INDEX(ReferenceCard,,2)=Table1[[#This Row],[Mould No]]), 0), 4),)</f>
        <v>4</v>
      </c>
      <c r="J460" s="4" cm="1">
        <f t="array" ref="J460">IFERROR(INDEX(ReferenceCard, MATCH(1, (INDEX(ReferenceCard,,1)=Table1[[#This Row],[SAP No]]) * (INDEX(ReferenceCard,,2)=Table1[[#This Row],[Mould No]]), 0), 9),)</f>
        <v>35.6</v>
      </c>
      <c r="K460" s="4" cm="1">
        <f t="array" ref="K460">IFERROR(INDEX(ReferenceCard, MATCH(1, (INDEX(ReferenceCard,,1)=Table1[[#This Row],[SAP No]]) * (INDEX(ReferenceCard,,2)=Table1[[#This Row],[Mould No]]), 0), 7),)</f>
        <v>35.6</v>
      </c>
      <c r="L460">
        <v>0</v>
      </c>
      <c r="M460">
        <v>0</v>
      </c>
      <c r="N460">
        <v>0</v>
      </c>
      <c r="O460">
        <v>0</v>
      </c>
      <c r="P460">
        <f>Table1[[#This Row],[Shot]]*Table1[[#This Row],[Cav]]</f>
        <v>0</v>
      </c>
      <c r="Q460">
        <v>0</v>
      </c>
      <c r="R460">
        <f>(Table1[[#This Row],[Part Weight (gm)]]*Table1[[#This Row],[Finish Good]])/1000</f>
        <v>0</v>
      </c>
      <c r="S460">
        <v>0</v>
      </c>
      <c r="T460">
        <f>IF(Table1[[#This Row],[Qty Order]]="Sample","-",IF(Table1[[#This Row],[Qty Order]]="RTFN","-",Table1[[#This Row],[Qty Order]]-Table1[[#This Row],[Qty Accumulate]]))</f>
        <v>0</v>
      </c>
      <c r="U460">
        <f>((Table1[[#This Row],[Shift Output]]*Table1[[#This Row],[Part Weight (gm)]])/1000)+Table1[[#This Row],[Reject Startup (kg)]]+Table1[[#This Row],[Reject Purging (kg)]]+Table1[[#This Row],[Reject Preform (kg)]]</f>
        <v>0</v>
      </c>
      <c r="V460" s="37">
        <f>(Table1[[#This Row],[Gross Weight (gm)]]-Table1[[#This Row],[Part Weight (gm)]])*Table1[[#This Row],[Shift Output]]/1000</f>
        <v>0</v>
      </c>
      <c r="W460" s="3">
        <v>0</v>
      </c>
      <c r="X460" s="36" t="e">
        <f>Table1[[#This Row],[Reject Startup (kg)]]/Table1[[#This Row],[Material Used]]</f>
        <v>#DIV/0!</v>
      </c>
      <c r="Y460" s="3">
        <v>0</v>
      </c>
      <c r="Z460" s="36" t="e">
        <f>Table1[[#This Row],[Reject Prod (kg)]]/Table1[[#This Row],[Material Used]]</f>
        <v>#DIV/0!</v>
      </c>
      <c r="AA460" s="4">
        <v>0</v>
      </c>
      <c r="AB460" s="5">
        <v>0</v>
      </c>
      <c r="AC460" s="4" cm="1">
        <f t="array" ref="AC460">IFERROR(INDEX(ReferenceCard, MATCH(1, (INDEX(ReferenceCard,,1)=Table1[[#This Row],[SAP No]]) * (INDEX(ReferenceCard,,2)=Table1[[#This Row],[Mould No]]), 0), 9),)</f>
        <v>35.6</v>
      </c>
      <c r="AD460" s="5">
        <v>0</v>
      </c>
      <c r="AE460" s="5">
        <v>0</v>
      </c>
      <c r="AF460" s="5">
        <v>0</v>
      </c>
      <c r="AG460" s="5">
        <v>0</v>
      </c>
      <c r="AH460" s="5">
        <v>12</v>
      </c>
      <c r="AI460" s="5">
        <v>0</v>
      </c>
      <c r="AJ460" s="5">
        <v>0</v>
      </c>
      <c r="AK460" t="s">
        <v>102</v>
      </c>
      <c r="AL460" s="2"/>
      <c r="AM460" s="2"/>
      <c r="AN460" s="3">
        <v>0</v>
      </c>
      <c r="AO460" s="3">
        <v>0</v>
      </c>
      <c r="AP46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1" spans="1:42" x14ac:dyDescent="0.35">
      <c r="A461" s="1">
        <v>46008</v>
      </c>
      <c r="B461">
        <v>2</v>
      </c>
      <c r="C461" t="s">
        <v>3</v>
      </c>
      <c r="D461" t="str" cm="1">
        <f t="array" ref="D461">IFERROR(INDEX(ReferenceCard, MATCH(1, (INDEX(ReferenceCard,,1)=Table1[[#This Row],[SAP No]]) * (INDEX(ReferenceCard,,2)=Table1[[#This Row],[Mould No]]), 0), 6),)</f>
        <v>PET</v>
      </c>
      <c r="E461">
        <v>580324</v>
      </c>
      <c r="F461">
        <v>0</v>
      </c>
      <c r="G461" t="str" cm="1">
        <f t="array" ref="G461">IFERROR(INDEX(ReferenceCard, MATCH(1, (INDEX(ReferenceCard,,1)=Table1[[#This Row],[SAP No]]) * (INDEX(ReferenceCard,,2)=Table1[[#This Row],[Mould No]]), 0), 3),)</f>
        <v>BC28-0060-M-R-AM-LW</v>
      </c>
      <c r="H461">
        <v>0</v>
      </c>
      <c r="I461" cm="1">
        <f t="array" ref="I461">IFERROR(INDEX(ReferenceCard, MATCH(1, (INDEX(ReferenceCard,,1)=Table1[[#This Row],[SAP No]]) * (INDEX(ReferenceCard,,2)=Table1[[#This Row],[Mould No]]), 0), 4),)</f>
        <v>4</v>
      </c>
      <c r="J461" s="4" cm="1">
        <f t="array" ref="J461">IFERROR(INDEX(ReferenceCard, MATCH(1, (INDEX(ReferenceCard,,1)=Table1[[#This Row],[SAP No]]) * (INDEX(ReferenceCard,,2)=Table1[[#This Row],[Mould No]]), 0), 9),)</f>
        <v>11.3</v>
      </c>
      <c r="K461" s="4" cm="1">
        <f t="array" ref="K461">IFERROR(INDEX(ReferenceCard, MATCH(1, (INDEX(ReferenceCard,,1)=Table1[[#This Row],[SAP No]]) * (INDEX(ReferenceCard,,2)=Table1[[#This Row],[Mould No]]), 0), 7),)</f>
        <v>11.3</v>
      </c>
      <c r="L461">
        <v>2485</v>
      </c>
      <c r="M461">
        <v>0</v>
      </c>
      <c r="N461">
        <v>0</v>
      </c>
      <c r="O461">
        <v>0</v>
      </c>
      <c r="P461">
        <f>Table1[[#This Row],[Shot]]*Table1[[#This Row],[Cav]]</f>
        <v>9940</v>
      </c>
      <c r="Q461">
        <v>0</v>
      </c>
      <c r="R461">
        <f>(Table1[[#This Row],[Part Weight (gm)]]*Table1[[#This Row],[Finish Good]])/1000</f>
        <v>0</v>
      </c>
      <c r="S461">
        <v>0</v>
      </c>
      <c r="T461">
        <f>IF(Table1[[#This Row],[Qty Order]]="Sample","-",IF(Table1[[#This Row],[Qty Order]]="RTFN","-",Table1[[#This Row],[Qty Order]]-Table1[[#This Row],[Qty Accumulate]]))</f>
        <v>0</v>
      </c>
      <c r="U461">
        <f>((Table1[[#This Row],[Shift Output]]*Table1[[#This Row],[Part Weight (gm)]])/1000)+Table1[[#This Row],[Reject Startup (kg)]]+Table1[[#This Row],[Reject Purging (kg)]]+Table1[[#This Row],[Reject Preform (kg)]]</f>
        <v>112.322</v>
      </c>
      <c r="V461" s="37">
        <f>(Table1[[#This Row],[Gross Weight (gm)]]-Table1[[#This Row],[Part Weight (gm)]])*Table1[[#This Row],[Shift Output]]/1000</f>
        <v>0</v>
      </c>
      <c r="W461" s="3">
        <v>0</v>
      </c>
      <c r="X461" s="36">
        <f>Table1[[#This Row],[Reject Startup (kg)]]/Table1[[#This Row],[Material Used]]</f>
        <v>0</v>
      </c>
      <c r="Y461" s="3">
        <v>0</v>
      </c>
      <c r="Z461" s="36">
        <f>Table1[[#This Row],[Reject Prod (kg)]]/Table1[[#This Row],[Material Used]]</f>
        <v>0</v>
      </c>
      <c r="AA461" s="4">
        <v>0</v>
      </c>
      <c r="AB461" s="5">
        <v>6.4</v>
      </c>
      <c r="AC461" s="4" cm="1">
        <f t="array" ref="AC461">IFERROR(INDEX(ReferenceCard, MATCH(1, (INDEX(ReferenceCard,,1)=Table1[[#This Row],[SAP No]]) * (INDEX(ReferenceCard,,2)=Table1[[#This Row],[Mould No]]), 0), 9),)</f>
        <v>11.3</v>
      </c>
      <c r="AD461" s="5">
        <v>5.5999999999999899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t="s">
        <v>104</v>
      </c>
      <c r="AL461" s="2" t="s">
        <v>105</v>
      </c>
      <c r="AM461" s="2" t="s">
        <v>106</v>
      </c>
      <c r="AN461" s="3">
        <v>0</v>
      </c>
      <c r="AO461" s="3">
        <v>0</v>
      </c>
      <c r="AP46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2" spans="1:42" x14ac:dyDescent="0.35">
      <c r="A462" s="1">
        <v>46008</v>
      </c>
      <c r="B462">
        <v>2</v>
      </c>
      <c r="C462" t="s">
        <v>5</v>
      </c>
      <c r="D462" t="str" cm="1">
        <f t="array" ref="D462">IFERROR(INDEX(ReferenceCard, MATCH(1, (INDEX(ReferenceCard,,1)=Table1[[#This Row],[SAP No]]) * (INDEX(ReferenceCard,,2)=Table1[[#This Row],[Mould No]]), 0), 6),)</f>
        <v>PET</v>
      </c>
      <c r="E462">
        <v>543590</v>
      </c>
      <c r="F462">
        <v>0</v>
      </c>
      <c r="G462" t="str" cm="1">
        <f t="array" ref="G462">IFERROR(INDEX(ReferenceCard, MATCH(1, (INDEX(ReferenceCard,,1)=Table1[[#This Row],[SAP No]]) * (INDEX(ReferenceCard,,2)=Table1[[#This Row],[Mould No]]), 0), 3),)</f>
        <v>BC28-0130-R-R-AM</v>
      </c>
      <c r="H462">
        <v>0</v>
      </c>
      <c r="I462" cm="1">
        <f t="array" ref="I462">IFERROR(INDEX(ReferenceCard, MATCH(1, (INDEX(ReferenceCard,,1)=Table1[[#This Row],[SAP No]]) * (INDEX(ReferenceCard,,2)=Table1[[#This Row],[Mould No]]), 0), 4),)</f>
        <v>4</v>
      </c>
      <c r="J462" s="4" cm="1">
        <f t="array" ref="J462">IFERROR(INDEX(ReferenceCard, MATCH(1, (INDEX(ReferenceCard,,1)=Table1[[#This Row],[SAP No]]) * (INDEX(ReferenceCard,,2)=Table1[[#This Row],[Mould No]]), 0), 9),)</f>
        <v>19</v>
      </c>
      <c r="K462" s="4" cm="1">
        <f t="array" ref="K462">IFERROR(INDEX(ReferenceCard, MATCH(1, (INDEX(ReferenceCard,,1)=Table1[[#This Row],[SAP No]]) * (INDEX(ReferenceCard,,2)=Table1[[#This Row],[Mould No]]), 0), 7),)</f>
        <v>19</v>
      </c>
      <c r="L462">
        <v>1907</v>
      </c>
      <c r="M462">
        <v>0</v>
      </c>
      <c r="N462">
        <v>0</v>
      </c>
      <c r="O462">
        <v>0</v>
      </c>
      <c r="P462">
        <f>Table1[[#This Row],[Shot]]*Table1[[#This Row],[Cav]]</f>
        <v>7628</v>
      </c>
      <c r="Q462">
        <v>0</v>
      </c>
      <c r="R462">
        <f>(Table1[[#This Row],[Part Weight (gm)]]*Table1[[#This Row],[Finish Good]])/1000</f>
        <v>0</v>
      </c>
      <c r="S462">
        <v>0</v>
      </c>
      <c r="T462">
        <f>IF(Table1[[#This Row],[Qty Order]]="Sample","-",IF(Table1[[#This Row],[Qty Order]]="RTFN","-",Table1[[#This Row],[Qty Order]]-Table1[[#This Row],[Qty Accumulate]]))</f>
        <v>0</v>
      </c>
      <c r="U462">
        <f>((Table1[[#This Row],[Shift Output]]*Table1[[#This Row],[Part Weight (gm)]])/1000)+Table1[[#This Row],[Reject Startup (kg)]]+Table1[[#This Row],[Reject Purging (kg)]]+Table1[[#This Row],[Reject Preform (kg)]]</f>
        <v>144.93199999999999</v>
      </c>
      <c r="V462" s="37">
        <f>(Table1[[#This Row],[Gross Weight (gm)]]-Table1[[#This Row],[Part Weight (gm)]])*Table1[[#This Row],[Shift Output]]/1000</f>
        <v>0</v>
      </c>
      <c r="W462" s="3">
        <v>0</v>
      </c>
      <c r="X462" s="36">
        <f>Table1[[#This Row],[Reject Startup (kg)]]/Table1[[#This Row],[Material Used]]</f>
        <v>0</v>
      </c>
      <c r="Y462" s="3">
        <v>0</v>
      </c>
      <c r="Z462" s="36">
        <f>Table1[[#This Row],[Reject Prod (kg)]]/Table1[[#This Row],[Material Used]]</f>
        <v>0</v>
      </c>
      <c r="AA462" s="4">
        <v>22.644657135009702</v>
      </c>
      <c r="AB462" s="5">
        <v>12</v>
      </c>
      <c r="AC462" s="4" cm="1">
        <f t="array" ref="AC462">IFERROR(INDEX(ReferenceCard, MATCH(1, (INDEX(ReferenceCard,,1)=Table1[[#This Row],[SAP No]]) * (INDEX(ReferenceCard,,2)=Table1[[#This Row],[Mould No]]), 0), 9),)</f>
        <v>19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L462" s="2"/>
      <c r="AM462" s="2"/>
      <c r="AN462" s="3">
        <v>0</v>
      </c>
      <c r="AO462" s="3">
        <v>0</v>
      </c>
      <c r="AP46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3" spans="1:42" x14ac:dyDescent="0.35">
      <c r="A463" s="1">
        <v>46008</v>
      </c>
      <c r="B463">
        <v>2</v>
      </c>
      <c r="C463" t="s">
        <v>7</v>
      </c>
      <c r="D463" t="str" cm="1">
        <f t="array" ref="D463">IFERROR(INDEX(ReferenceCard, MATCH(1, (INDEX(ReferenceCard,,1)=Table1[[#This Row],[SAP No]]) * (INDEX(ReferenceCard,,2)=Table1[[#This Row],[Mould No]]), 0), 6),)</f>
        <v>PET</v>
      </c>
      <c r="E463">
        <v>451191</v>
      </c>
      <c r="F463">
        <v>0</v>
      </c>
      <c r="G463" t="str" cm="1">
        <f t="array" ref="G463">IFERROR(INDEX(ReferenceCard, MATCH(1, (INDEX(ReferenceCard,,1)=Table1[[#This Row],[SAP No]]) * (INDEX(ReferenceCard,,2)=Table1[[#This Row],[Mould No]]), 0), 3),)</f>
        <v>BX38-0350-Z-C-CL</v>
      </c>
      <c r="H463">
        <v>0</v>
      </c>
      <c r="I463" cm="1">
        <f t="array" ref="I463">IFERROR(INDEX(ReferenceCard, MATCH(1, (INDEX(ReferenceCard,,1)=Table1[[#This Row],[SAP No]]) * (INDEX(ReferenceCard,,2)=Table1[[#This Row],[Mould No]]), 0), 4),)</f>
        <v>4</v>
      </c>
      <c r="J463" s="4" cm="1">
        <f t="array" ref="J463">IFERROR(INDEX(ReferenceCard, MATCH(1, (INDEX(ReferenceCard,,1)=Table1[[#This Row],[SAP No]]) * (INDEX(ReferenceCard,,2)=Table1[[#This Row],[Mould No]]), 0), 9),)</f>
        <v>29</v>
      </c>
      <c r="K463" s="4" cm="1">
        <f t="array" ref="K463">IFERROR(INDEX(ReferenceCard, MATCH(1, (INDEX(ReferenceCard,,1)=Table1[[#This Row],[SAP No]]) * (INDEX(ReferenceCard,,2)=Table1[[#This Row],[Mould No]]), 0), 7),)</f>
        <v>29</v>
      </c>
      <c r="L463">
        <v>1683</v>
      </c>
      <c r="M463">
        <v>0</v>
      </c>
      <c r="N463">
        <v>0</v>
      </c>
      <c r="O463">
        <v>0</v>
      </c>
      <c r="P463">
        <f>Table1[[#This Row],[Shot]]*Table1[[#This Row],[Cav]]</f>
        <v>6732</v>
      </c>
      <c r="Q463">
        <v>0</v>
      </c>
      <c r="R463">
        <f>(Table1[[#This Row],[Part Weight (gm)]]*Table1[[#This Row],[Finish Good]])/1000</f>
        <v>0</v>
      </c>
      <c r="S463">
        <v>0</v>
      </c>
      <c r="T463">
        <f>IF(Table1[[#This Row],[Qty Order]]="Sample","-",IF(Table1[[#This Row],[Qty Order]]="RTFN","-",Table1[[#This Row],[Qty Order]]-Table1[[#This Row],[Qty Accumulate]]))</f>
        <v>0</v>
      </c>
      <c r="U463">
        <f>((Table1[[#This Row],[Shift Output]]*Table1[[#This Row],[Part Weight (gm)]])/1000)+Table1[[#This Row],[Reject Startup (kg)]]+Table1[[#This Row],[Reject Purging (kg)]]+Table1[[#This Row],[Reject Preform (kg)]]</f>
        <v>195.22800000000001</v>
      </c>
      <c r="V463" s="37">
        <f>(Table1[[#This Row],[Gross Weight (gm)]]-Table1[[#This Row],[Part Weight (gm)]])*Table1[[#This Row],[Shift Output]]/1000</f>
        <v>0</v>
      </c>
      <c r="W463" s="3">
        <v>0</v>
      </c>
      <c r="X463" s="36">
        <f>Table1[[#This Row],[Reject Startup (kg)]]/Table1[[#This Row],[Material Used]]</f>
        <v>0</v>
      </c>
      <c r="Y463" s="3">
        <v>0</v>
      </c>
      <c r="Z463" s="36">
        <f>Table1[[#This Row],[Reject Prod (kg)]]/Table1[[#This Row],[Material Used]]</f>
        <v>0</v>
      </c>
      <c r="AA463" s="4">
        <v>25.6575527191162</v>
      </c>
      <c r="AB463" s="5">
        <v>12</v>
      </c>
      <c r="AC463" s="4" cm="1">
        <f t="array" ref="AC463">IFERROR(INDEX(ReferenceCard, MATCH(1, (INDEX(ReferenceCard,,1)=Table1[[#This Row],[SAP No]]) * (INDEX(ReferenceCard,,2)=Table1[[#This Row],[Mould No]]), 0), 9),)</f>
        <v>29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L463" s="2"/>
      <c r="AM463" s="2"/>
      <c r="AN463" s="3">
        <v>0</v>
      </c>
      <c r="AO463" s="3">
        <v>0</v>
      </c>
      <c r="AP46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4" spans="1:42" x14ac:dyDescent="0.35">
      <c r="A464" s="1">
        <v>46008</v>
      </c>
      <c r="B464">
        <v>2</v>
      </c>
      <c r="C464" t="s">
        <v>9</v>
      </c>
      <c r="D464" t="str" cm="1">
        <f t="array" ref="D464">IFERROR(INDEX(ReferenceCard, MATCH(1, (INDEX(ReferenceCard,,1)=Table1[[#This Row],[SAP No]]) * (INDEX(ReferenceCard,,2)=Table1[[#This Row],[Mould No]]), 0), 6),)</f>
        <v>rPET</v>
      </c>
      <c r="E464">
        <v>593537</v>
      </c>
      <c r="F464">
        <v>0</v>
      </c>
      <c r="G464" t="str" cm="1">
        <f t="array" ref="G464">IFERROR(INDEX(ReferenceCard, MATCH(1, (INDEX(ReferenceCard,,1)=Table1[[#This Row],[SAP No]]) * (INDEX(ReferenceCard,,2)=Table1[[#This Row],[Mould No]]), 0), 3),)</f>
        <v>BX38-1000-RN-R-CL-rPET</v>
      </c>
      <c r="H464">
        <v>0</v>
      </c>
      <c r="I464" cm="1">
        <f t="array" ref="I464">IFERROR(INDEX(ReferenceCard, MATCH(1, (INDEX(ReferenceCard,,1)=Table1[[#This Row],[SAP No]]) * (INDEX(ReferenceCard,,2)=Table1[[#This Row],[Mould No]]), 0), 4),)</f>
        <v>4</v>
      </c>
      <c r="J464" s="4" cm="1">
        <f t="array" ref="J464">IFERROR(INDEX(ReferenceCard, MATCH(1, (INDEX(ReferenceCard,,1)=Table1[[#This Row],[SAP No]]) * (INDEX(ReferenceCard,,2)=Table1[[#This Row],[Mould No]]), 0), 9),)</f>
        <v>56.5</v>
      </c>
      <c r="K464" s="4" cm="1">
        <f t="array" ref="K464">IFERROR(INDEX(ReferenceCard, MATCH(1, (INDEX(ReferenceCard,,1)=Table1[[#This Row],[SAP No]]) * (INDEX(ReferenceCard,,2)=Table1[[#This Row],[Mould No]]), 0), 7),)</f>
        <v>56.8</v>
      </c>
      <c r="L464">
        <v>1358</v>
      </c>
      <c r="M464">
        <v>0</v>
      </c>
      <c r="N464">
        <v>0</v>
      </c>
      <c r="O464">
        <v>0</v>
      </c>
      <c r="P464">
        <f>Table1[[#This Row],[Shot]]*Table1[[#This Row],[Cav]]</f>
        <v>5432</v>
      </c>
      <c r="Q464">
        <v>0</v>
      </c>
      <c r="R464">
        <f>(Table1[[#This Row],[Part Weight (gm)]]*Table1[[#This Row],[Finish Good]])/1000</f>
        <v>0</v>
      </c>
      <c r="S464">
        <v>0</v>
      </c>
      <c r="T464">
        <f>IF(Table1[[#This Row],[Qty Order]]="Sample","-",IF(Table1[[#This Row],[Qty Order]]="RTFN","-",Table1[[#This Row],[Qty Order]]-Table1[[#This Row],[Qty Accumulate]]))</f>
        <v>0</v>
      </c>
      <c r="U464">
        <f>((Table1[[#This Row],[Shift Output]]*Table1[[#This Row],[Part Weight (gm)]])/1000)+Table1[[#This Row],[Reject Startup (kg)]]+Table1[[#This Row],[Reject Purging (kg)]]+Table1[[#This Row],[Reject Preform (kg)]]</f>
        <v>308.5376</v>
      </c>
      <c r="V464" s="37">
        <f>(Table1[[#This Row],[Gross Weight (gm)]]-Table1[[#This Row],[Part Weight (gm)]])*Table1[[#This Row],[Shift Output]]/1000</f>
        <v>-1.6295999999999844</v>
      </c>
      <c r="W464" s="3">
        <v>0</v>
      </c>
      <c r="X464" s="36">
        <f>Table1[[#This Row],[Reject Startup (kg)]]/Table1[[#This Row],[Material Used]]</f>
        <v>0</v>
      </c>
      <c r="Y464" s="3">
        <v>0</v>
      </c>
      <c r="Z464" s="36">
        <f>Table1[[#This Row],[Reject Prod (kg)]]/Table1[[#This Row],[Material Used]]</f>
        <v>0</v>
      </c>
      <c r="AA464" s="4">
        <v>33.640495300292898</v>
      </c>
      <c r="AB464" s="5">
        <v>12</v>
      </c>
      <c r="AC464" s="4" cm="1">
        <f t="array" ref="AC464">IFERROR(INDEX(ReferenceCard, MATCH(1, (INDEX(ReferenceCard,,1)=Table1[[#This Row],[SAP No]]) * (INDEX(ReferenceCard,,2)=Table1[[#This Row],[Mould No]]), 0), 9),)</f>
        <v>56.5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L464" s="2"/>
      <c r="AM464" s="2"/>
      <c r="AN464" s="3">
        <v>0</v>
      </c>
      <c r="AO464" s="3">
        <v>0</v>
      </c>
      <c r="AP46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5" spans="1:42" x14ac:dyDescent="0.35">
      <c r="A465" s="1">
        <v>46008</v>
      </c>
      <c r="B465">
        <v>2</v>
      </c>
      <c r="C465" t="s">
        <v>11</v>
      </c>
      <c r="D465" t="str" cm="1">
        <f t="array" ref="D465">IFERROR(INDEX(ReferenceCard, MATCH(1, (INDEX(ReferenceCard,,1)=Table1[[#This Row],[SAP No]]) * (INDEX(ReferenceCard,,2)=Table1[[#This Row],[Mould No]]), 0), 6),)</f>
        <v>rPET</v>
      </c>
      <c r="E465">
        <v>620994</v>
      </c>
      <c r="F465">
        <v>0</v>
      </c>
      <c r="G465" t="str" cm="1">
        <f t="array" ref="G465">IFERROR(INDEX(ReferenceCard, MATCH(1, (INDEX(ReferenceCard,,1)=Table1[[#This Row],[SAP No]]) * (INDEX(ReferenceCard,,2)=Table1[[#This Row],[Mould No]]), 0), 3),)</f>
        <v>JJ63-0400-SH-S-CL-rPET</v>
      </c>
      <c r="H465">
        <v>0</v>
      </c>
      <c r="I465" cm="1">
        <f t="array" ref="I465">IFERROR(INDEX(ReferenceCard, MATCH(1, (INDEX(ReferenceCard,,1)=Table1[[#This Row],[SAP No]]) * (INDEX(ReferenceCard,,2)=Table1[[#This Row],[Mould No]]), 0), 4),)</f>
        <v>4</v>
      </c>
      <c r="J465" s="4" cm="1">
        <f t="array" ref="J465">IFERROR(INDEX(ReferenceCard, MATCH(1, (INDEX(ReferenceCard,,1)=Table1[[#This Row],[SAP No]]) * (INDEX(ReferenceCard,,2)=Table1[[#This Row],[Mould No]]), 0), 9),)</f>
        <v>32.74</v>
      </c>
      <c r="K465" s="4" cm="1">
        <f t="array" ref="K465">IFERROR(INDEX(ReferenceCard, MATCH(1, (INDEX(ReferenceCard,,1)=Table1[[#This Row],[SAP No]]) * (INDEX(ReferenceCard,,2)=Table1[[#This Row],[Mould No]]), 0), 7),)</f>
        <v>33</v>
      </c>
      <c r="L465">
        <v>1905</v>
      </c>
      <c r="M465">
        <v>0</v>
      </c>
      <c r="N465">
        <v>0</v>
      </c>
      <c r="O465">
        <v>0</v>
      </c>
      <c r="P465">
        <f>Table1[[#This Row],[Shot]]*Table1[[#This Row],[Cav]]</f>
        <v>7620</v>
      </c>
      <c r="Q465">
        <v>0</v>
      </c>
      <c r="R465">
        <f>(Table1[[#This Row],[Part Weight (gm)]]*Table1[[#This Row],[Finish Good]])/1000</f>
        <v>0</v>
      </c>
      <c r="S465">
        <v>0</v>
      </c>
      <c r="T465">
        <f>IF(Table1[[#This Row],[Qty Order]]="Sample","-",IF(Table1[[#This Row],[Qty Order]]="RTFN","-",Table1[[#This Row],[Qty Order]]-Table1[[#This Row],[Qty Accumulate]]))</f>
        <v>0</v>
      </c>
      <c r="U465">
        <f>((Table1[[#This Row],[Shift Output]]*Table1[[#This Row],[Part Weight (gm)]])/1000)+Table1[[#This Row],[Reject Startup (kg)]]+Table1[[#This Row],[Reject Purging (kg)]]+Table1[[#This Row],[Reject Preform (kg)]]</f>
        <v>251.46</v>
      </c>
      <c r="V465" s="37">
        <f>(Table1[[#This Row],[Gross Weight (gm)]]-Table1[[#This Row],[Part Weight (gm)]])*Table1[[#This Row],[Shift Output]]/1000</f>
        <v>-1.9811999999999848</v>
      </c>
      <c r="W465" s="3">
        <v>0</v>
      </c>
      <c r="X465" s="36">
        <f>Table1[[#This Row],[Reject Startup (kg)]]/Table1[[#This Row],[Material Used]]</f>
        <v>0</v>
      </c>
      <c r="Y465" s="3">
        <v>0</v>
      </c>
      <c r="Z465" s="36">
        <f>Table1[[#This Row],[Reject Prod (kg)]]/Table1[[#This Row],[Material Used]]</f>
        <v>0</v>
      </c>
      <c r="AA465" s="4">
        <v>22.671165466308501</v>
      </c>
      <c r="AB465" s="5">
        <v>12</v>
      </c>
      <c r="AC465" s="4" cm="1">
        <f t="array" ref="AC465">IFERROR(INDEX(ReferenceCard, MATCH(1, (INDEX(ReferenceCard,,1)=Table1[[#This Row],[SAP No]]) * (INDEX(ReferenceCard,,2)=Table1[[#This Row],[Mould No]]), 0), 9),)</f>
        <v>32.74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L465" s="2"/>
      <c r="AM465" s="2"/>
      <c r="AN465" s="3">
        <v>0</v>
      </c>
      <c r="AO465" s="3">
        <v>0</v>
      </c>
      <c r="AP46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6" spans="1:42" x14ac:dyDescent="0.35">
      <c r="A466" s="1">
        <v>46008</v>
      </c>
      <c r="B466">
        <v>2</v>
      </c>
      <c r="C466" t="s">
        <v>14</v>
      </c>
      <c r="D466" t="str" cm="1">
        <f t="array" ref="D466">IFERROR(INDEX(ReferenceCard, MATCH(1, (INDEX(ReferenceCard,,1)=Table1[[#This Row],[SAP No]]) * (INDEX(ReferenceCard,,2)=Table1[[#This Row],[Mould No]]), 0), 6),)</f>
        <v>PET</v>
      </c>
      <c r="E466">
        <v>324165</v>
      </c>
      <c r="F466">
        <v>0</v>
      </c>
      <c r="G466" t="str" cm="1">
        <f t="array" ref="G466">IFERROR(INDEX(ReferenceCard, MATCH(1, (INDEX(ReferenceCard,,1)=Table1[[#This Row],[SAP No]]) * (INDEX(ReferenceCard,,2)=Table1[[#This Row],[Mould No]]), 0), 3),)</f>
        <v>JJ63-0400-SH-S-WH</v>
      </c>
      <c r="H466">
        <v>0</v>
      </c>
      <c r="I466" cm="1">
        <f t="array" ref="I466">IFERROR(INDEX(ReferenceCard, MATCH(1, (INDEX(ReferenceCard,,1)=Table1[[#This Row],[SAP No]]) * (INDEX(ReferenceCard,,2)=Table1[[#This Row],[Mould No]]), 0), 4),)</f>
        <v>4</v>
      </c>
      <c r="J466" s="4" cm="1">
        <f t="array" ref="J466">IFERROR(INDEX(ReferenceCard, MATCH(1, (INDEX(ReferenceCard,,1)=Table1[[#This Row],[SAP No]]) * (INDEX(ReferenceCard,,2)=Table1[[#This Row],[Mould No]]), 0), 9),)</f>
        <v>32.56</v>
      </c>
      <c r="K466" s="4" cm="1">
        <f t="array" ref="K466">IFERROR(INDEX(ReferenceCard, MATCH(1, (INDEX(ReferenceCard,,1)=Table1[[#This Row],[SAP No]]) * (INDEX(ReferenceCard,,2)=Table1[[#This Row],[Mould No]]), 0), 7),)</f>
        <v>33</v>
      </c>
      <c r="L466">
        <v>1091</v>
      </c>
      <c r="M466">
        <v>0</v>
      </c>
      <c r="N466">
        <v>0</v>
      </c>
      <c r="O466">
        <v>0</v>
      </c>
      <c r="P466">
        <f>Table1[[#This Row],[Shot]]*Table1[[#This Row],[Cav]]</f>
        <v>4364</v>
      </c>
      <c r="Q466">
        <v>0</v>
      </c>
      <c r="R466">
        <f>(Table1[[#This Row],[Part Weight (gm)]]*Table1[[#This Row],[Finish Good]])/1000</f>
        <v>0</v>
      </c>
      <c r="S466">
        <v>0</v>
      </c>
      <c r="T466">
        <f>IF(Table1[[#This Row],[Qty Order]]="Sample","-",IF(Table1[[#This Row],[Qty Order]]="RTFN","-",Table1[[#This Row],[Qty Order]]-Table1[[#This Row],[Qty Accumulate]]))</f>
        <v>0</v>
      </c>
      <c r="U466">
        <f>((Table1[[#This Row],[Shift Output]]*Table1[[#This Row],[Part Weight (gm)]])/1000)+Table1[[#This Row],[Reject Startup (kg)]]+Table1[[#This Row],[Reject Purging (kg)]]+Table1[[#This Row],[Reject Preform (kg)]]</f>
        <v>144.012</v>
      </c>
      <c r="V466" s="37">
        <f>(Table1[[#This Row],[Gross Weight (gm)]]-Table1[[#This Row],[Part Weight (gm)]])*Table1[[#This Row],[Shift Output]]/1000</f>
        <v>-1.9201599999999901</v>
      </c>
      <c r="W466" s="3">
        <v>0</v>
      </c>
      <c r="X466" s="36">
        <f>Table1[[#This Row],[Reject Startup (kg)]]/Table1[[#This Row],[Material Used]]</f>
        <v>0</v>
      </c>
      <c r="Y466" s="3">
        <v>0</v>
      </c>
      <c r="Z466" s="36">
        <f>Table1[[#This Row],[Reject Prod (kg)]]/Table1[[#This Row],[Material Used]]</f>
        <v>0</v>
      </c>
      <c r="AA466" s="4">
        <v>22.071081161498999</v>
      </c>
      <c r="AB466" s="5">
        <v>6.19</v>
      </c>
      <c r="AC466" s="4" cm="1">
        <f t="array" ref="AC466">IFERROR(INDEX(ReferenceCard, MATCH(1, (INDEX(ReferenceCard,,1)=Table1[[#This Row],[SAP No]]) * (INDEX(ReferenceCard,,2)=Table1[[#This Row],[Mould No]]), 0), 9),)</f>
        <v>32.56</v>
      </c>
      <c r="AD466" s="5">
        <v>0</v>
      </c>
      <c r="AE466" s="5">
        <v>0</v>
      </c>
      <c r="AF466" s="5">
        <v>1.48</v>
      </c>
      <c r="AG466" s="5">
        <v>4.3399999999999901</v>
      </c>
      <c r="AH466" s="5">
        <v>0</v>
      </c>
      <c r="AI466" s="5">
        <v>0</v>
      </c>
      <c r="AJ466" s="5">
        <v>0</v>
      </c>
      <c r="AK466" t="s">
        <v>108</v>
      </c>
      <c r="AL466" s="2" t="s">
        <v>109</v>
      </c>
      <c r="AM466" s="2"/>
      <c r="AN466" s="3"/>
      <c r="AO466" s="3">
        <v>0</v>
      </c>
      <c r="AP46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7" spans="1:42" x14ac:dyDescent="0.35">
      <c r="A467" s="1">
        <v>46008</v>
      </c>
      <c r="B467">
        <v>2</v>
      </c>
      <c r="C467" t="s">
        <v>16</v>
      </c>
      <c r="D467" t="str" cm="1">
        <f t="array" ref="D467">IFERROR(INDEX(ReferenceCard, MATCH(1, (INDEX(ReferenceCard,,1)=Table1[[#This Row],[SAP No]]) * (INDEX(ReferenceCard,,2)=Table1[[#This Row],[Mould No]]), 0), 6),)</f>
        <v>PET</v>
      </c>
      <c r="E467">
        <v>324206</v>
      </c>
      <c r="F467">
        <v>0</v>
      </c>
      <c r="G467" t="str" cm="1">
        <f t="array" ref="G467">IFERROR(INDEX(ReferenceCard, MATCH(1, (INDEX(ReferenceCard,,1)=Table1[[#This Row],[SAP No]]) * (INDEX(ReferenceCard,,2)=Table1[[#This Row],[Mould No]]), 0), 3),)</f>
        <v>BX38-1000-HC-S-CL</v>
      </c>
      <c r="H467">
        <v>0</v>
      </c>
      <c r="I467" cm="1">
        <f t="array" ref="I467">IFERROR(INDEX(ReferenceCard, MATCH(1, (INDEX(ReferenceCard,,1)=Table1[[#This Row],[SAP No]]) * (INDEX(ReferenceCard,,2)=Table1[[#This Row],[Mould No]]), 0), 4),)</f>
        <v>4</v>
      </c>
      <c r="J467" s="4" cm="1">
        <f t="array" ref="J467">IFERROR(INDEX(ReferenceCard, MATCH(1, (INDEX(ReferenceCard,,1)=Table1[[#This Row],[SAP No]]) * (INDEX(ReferenceCard,,2)=Table1[[#This Row],[Mould No]]), 0), 9),)</f>
        <v>49</v>
      </c>
      <c r="K467" s="4" cm="1">
        <f t="array" ref="K467">IFERROR(INDEX(ReferenceCard, MATCH(1, (INDEX(ReferenceCard,,1)=Table1[[#This Row],[SAP No]]) * (INDEX(ReferenceCard,,2)=Table1[[#This Row],[Mould No]]), 0), 7),)</f>
        <v>48</v>
      </c>
      <c r="L467">
        <v>0</v>
      </c>
      <c r="M467">
        <v>0</v>
      </c>
      <c r="N467">
        <v>0</v>
      </c>
      <c r="O467">
        <v>0</v>
      </c>
      <c r="P467">
        <f>Table1[[#This Row],[Shot]]*Table1[[#This Row],[Cav]]</f>
        <v>0</v>
      </c>
      <c r="Q467">
        <v>0</v>
      </c>
      <c r="R467">
        <f>(Table1[[#This Row],[Part Weight (gm)]]*Table1[[#This Row],[Finish Good]])/1000</f>
        <v>0</v>
      </c>
      <c r="S467">
        <v>0</v>
      </c>
      <c r="T467">
        <f>IF(Table1[[#This Row],[Qty Order]]="Sample","-",IF(Table1[[#This Row],[Qty Order]]="RTFN","-",Table1[[#This Row],[Qty Order]]-Table1[[#This Row],[Qty Accumulate]]))</f>
        <v>0</v>
      </c>
      <c r="U467">
        <f>((Table1[[#This Row],[Shift Output]]*Table1[[#This Row],[Part Weight (gm)]])/1000)+Table1[[#This Row],[Reject Startup (kg)]]+Table1[[#This Row],[Reject Purging (kg)]]+Table1[[#This Row],[Reject Preform (kg)]]</f>
        <v>0</v>
      </c>
      <c r="V467" s="37">
        <f>(Table1[[#This Row],[Gross Weight (gm)]]-Table1[[#This Row],[Part Weight (gm)]])*Table1[[#This Row],[Shift Output]]/1000</f>
        <v>0</v>
      </c>
      <c r="W467" s="3">
        <v>0</v>
      </c>
      <c r="X467" s="36" t="e">
        <f>Table1[[#This Row],[Reject Startup (kg)]]/Table1[[#This Row],[Material Used]]</f>
        <v>#DIV/0!</v>
      </c>
      <c r="Y467" s="3">
        <v>0</v>
      </c>
      <c r="Z467" s="36" t="e">
        <f>Table1[[#This Row],[Reject Prod (kg)]]/Table1[[#This Row],[Material Used]]</f>
        <v>#DIV/0!</v>
      </c>
      <c r="AA467" s="4">
        <v>0</v>
      </c>
      <c r="AB467" s="5">
        <v>0</v>
      </c>
      <c r="AC467" s="4" cm="1">
        <f t="array" ref="AC467">IFERROR(INDEX(ReferenceCard, MATCH(1, (INDEX(ReferenceCard,,1)=Table1[[#This Row],[SAP No]]) * (INDEX(ReferenceCard,,2)=Table1[[#This Row],[Mould No]]), 0), 9),)</f>
        <v>49</v>
      </c>
      <c r="AD467" s="5">
        <v>0</v>
      </c>
      <c r="AE467" s="5">
        <v>0</v>
      </c>
      <c r="AF467" s="5">
        <v>0</v>
      </c>
      <c r="AG467" s="5">
        <v>0</v>
      </c>
      <c r="AH467" s="5">
        <v>12</v>
      </c>
      <c r="AI467" s="5">
        <v>0</v>
      </c>
      <c r="AJ467" s="5">
        <v>0</v>
      </c>
      <c r="AK467" t="s">
        <v>110</v>
      </c>
      <c r="AL467" s="2"/>
      <c r="AM467" s="2"/>
      <c r="AN467" s="3">
        <v>0</v>
      </c>
      <c r="AO467" s="3">
        <v>0</v>
      </c>
      <c r="AP46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8" spans="1:42" x14ac:dyDescent="0.35">
      <c r="A468" s="1">
        <v>46008</v>
      </c>
      <c r="B468">
        <v>2</v>
      </c>
      <c r="C468" t="s">
        <v>23</v>
      </c>
      <c r="D468" t="str" cm="1">
        <f t="array" ref="D468">IFERROR(INDEX(ReferenceCard, MATCH(1, (INDEX(ReferenceCard,,1)=Table1[[#This Row],[SAP No]]) * (INDEX(ReferenceCard,,2)=Table1[[#This Row],[Mould No]]), 0), 6),)</f>
        <v>PPSB520Y</v>
      </c>
      <c r="E468">
        <v>586276</v>
      </c>
      <c r="F468">
        <v>2</v>
      </c>
      <c r="G468" t="str" cm="1">
        <f t="array" ref="G468">IFERROR(INDEX(ReferenceCard, MATCH(1, (INDEX(ReferenceCard,,1)=Table1[[#This Row],[SAP No]]) * (INDEX(ReferenceCard,,2)=Table1[[#This Row],[Mould No]]), 0), 3),)</f>
        <v>BC28-0056-D-APH-LEB-604001-MOLD2</v>
      </c>
      <c r="H468">
        <v>0</v>
      </c>
      <c r="I468" cm="1">
        <f t="array" ref="I468">IFERROR(INDEX(ReferenceCard, MATCH(1, (INDEX(ReferenceCard,,1)=Table1[[#This Row],[SAP No]]) * (INDEX(ReferenceCard,,2)=Table1[[#This Row],[Mould No]]), 0), 4),)</f>
        <v>6</v>
      </c>
      <c r="J468" s="4" cm="1">
        <f t="array" ref="J468">IFERROR(INDEX(ReferenceCard, MATCH(1, (INDEX(ReferenceCard,,1)=Table1[[#This Row],[SAP No]]) * (INDEX(ReferenceCard,,2)=Table1[[#This Row],[Mould No]]), 0), 9),)</f>
        <v>12.3</v>
      </c>
      <c r="K468" s="4" cm="1">
        <f t="array" ref="K468">IFERROR(INDEX(ReferenceCard, MATCH(1, (INDEX(ReferenceCard,,1)=Table1[[#This Row],[SAP No]]) * (INDEX(ReferenceCard,,2)=Table1[[#This Row],[Mould No]]), 0), 7),)</f>
        <v>12.3</v>
      </c>
      <c r="L468">
        <v>1417</v>
      </c>
      <c r="M468">
        <v>0</v>
      </c>
      <c r="N468">
        <v>0</v>
      </c>
      <c r="O468">
        <v>0</v>
      </c>
      <c r="P468">
        <f>Table1[[#This Row],[Shot]]*Table1[[#This Row],[Cav]]</f>
        <v>8502</v>
      </c>
      <c r="Q468">
        <v>0</v>
      </c>
      <c r="R468">
        <f>(Table1[[#This Row],[Part Weight (gm)]]*Table1[[#This Row],[Finish Good]])/1000</f>
        <v>0</v>
      </c>
      <c r="S468">
        <v>0</v>
      </c>
      <c r="T468">
        <f>IF(Table1[[#This Row],[Qty Order]]="Sample","-",IF(Table1[[#This Row],[Qty Order]]="RTFN","-",Table1[[#This Row],[Qty Order]]-Table1[[#This Row],[Qty Accumulate]]))</f>
        <v>0</v>
      </c>
      <c r="U468">
        <f>((Table1[[#This Row],[Shift Output]]*Table1[[#This Row],[Part Weight (gm)]])/1000)+Table1[[#This Row],[Reject Startup (kg)]]+Table1[[#This Row],[Reject Purging (kg)]]+Table1[[#This Row],[Reject Preform (kg)]]</f>
        <v>104.5746</v>
      </c>
      <c r="V468" s="37">
        <f>(Table1[[#This Row],[Gross Weight (gm)]]-Table1[[#This Row],[Part Weight (gm)]])*Table1[[#This Row],[Shift Output]]/1000</f>
        <v>0</v>
      </c>
      <c r="W468" s="3">
        <v>0</v>
      </c>
      <c r="X468" s="36">
        <f>Table1[[#This Row],[Reject Startup (kg)]]/Table1[[#This Row],[Material Used]]</f>
        <v>0</v>
      </c>
      <c r="Y468" s="3">
        <v>0</v>
      </c>
      <c r="Z468" s="36">
        <f>Table1[[#This Row],[Reject Prod (kg)]]/Table1[[#This Row],[Material Used]]</f>
        <v>0</v>
      </c>
      <c r="AA468" s="4">
        <v>25.543376922607401</v>
      </c>
      <c r="AB468" s="5">
        <v>11.99</v>
      </c>
      <c r="AC468" s="4" cm="1">
        <f t="array" ref="AC468">IFERROR(INDEX(ReferenceCard, MATCH(1, (INDEX(ReferenceCard,,1)=Table1[[#This Row],[SAP No]]) * (INDEX(ReferenceCard,,2)=Table1[[#This Row],[Mould No]]), 0), 9),)</f>
        <v>12.3</v>
      </c>
      <c r="AD468" s="5">
        <v>0</v>
      </c>
      <c r="AE468" s="5">
        <v>0</v>
      </c>
      <c r="AF468" s="5">
        <v>0</v>
      </c>
      <c r="AG468" s="5">
        <v>0</v>
      </c>
      <c r="AH468" s="5">
        <v>0.01</v>
      </c>
      <c r="AI468" s="5">
        <v>0</v>
      </c>
      <c r="AJ468" s="5">
        <v>0</v>
      </c>
      <c r="AL468" s="2"/>
      <c r="AM468" s="2"/>
      <c r="AN468" s="3">
        <v>0</v>
      </c>
      <c r="AO468" s="3">
        <v>0</v>
      </c>
      <c r="AP46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69" spans="1:42" x14ac:dyDescent="0.35">
      <c r="A469" s="1">
        <v>46008</v>
      </c>
      <c r="B469">
        <v>2</v>
      </c>
      <c r="C469" t="s">
        <v>25</v>
      </c>
      <c r="D469" t="str" cm="1">
        <f t="array" ref="D469">IFERROR(INDEX(ReferenceCard, MATCH(1, (INDEX(ReferenceCard,,1)=Table1[[#This Row],[SAP No]]) * (INDEX(ReferenceCard,,2)=Table1[[#This Row],[Mould No]]), 0), 6),)</f>
        <v>PET</v>
      </c>
      <c r="E469">
        <v>323133</v>
      </c>
      <c r="F469">
        <v>0</v>
      </c>
      <c r="G469" t="str" cm="1">
        <f t="array" ref="G469">IFERROR(INDEX(ReferenceCard, MATCH(1, (INDEX(ReferenceCard,,1)=Table1[[#This Row],[SAP No]]) * (INDEX(ReferenceCard,,2)=Table1[[#This Row],[Mould No]]), 0), 3),)</f>
        <v>BX38-2000-RH-R-CL(GREEN) (ASEM)</v>
      </c>
      <c r="H469">
        <v>0</v>
      </c>
      <c r="I469" cm="1">
        <f t="array" ref="I469">IFERROR(INDEX(ReferenceCard, MATCH(1, (INDEX(ReferenceCard,,1)=Table1[[#This Row],[SAP No]]) * (INDEX(ReferenceCard,,2)=Table1[[#This Row],[Mould No]]), 0), 4),)</f>
        <v>4</v>
      </c>
      <c r="J469" s="4" cm="1">
        <f t="array" ref="J469">IFERROR(INDEX(ReferenceCard, MATCH(1, (INDEX(ReferenceCard,,1)=Table1[[#This Row],[SAP No]]) * (INDEX(ReferenceCard,,2)=Table1[[#This Row],[Mould No]]), 0), 9),)</f>
        <v>77</v>
      </c>
      <c r="K469" s="4" cm="1">
        <f t="array" ref="K469">IFERROR(INDEX(ReferenceCard, MATCH(1, (INDEX(ReferenceCard,,1)=Table1[[#This Row],[SAP No]]) * (INDEX(ReferenceCard,,2)=Table1[[#This Row],[Mould No]]), 0), 7),)</f>
        <v>77</v>
      </c>
      <c r="L469">
        <v>0</v>
      </c>
      <c r="M469">
        <v>0</v>
      </c>
      <c r="N469">
        <v>0</v>
      </c>
      <c r="O469">
        <v>0</v>
      </c>
      <c r="P469">
        <f>Table1[[#This Row],[Shot]]*Table1[[#This Row],[Cav]]</f>
        <v>0</v>
      </c>
      <c r="Q469">
        <v>0</v>
      </c>
      <c r="R469">
        <f>(Table1[[#This Row],[Part Weight (gm)]]*Table1[[#This Row],[Finish Good]])/1000</f>
        <v>0</v>
      </c>
      <c r="S469">
        <v>0</v>
      </c>
      <c r="T469">
        <f>IF(Table1[[#This Row],[Qty Order]]="Sample","-",IF(Table1[[#This Row],[Qty Order]]="RTFN","-",Table1[[#This Row],[Qty Order]]-Table1[[#This Row],[Qty Accumulate]]))</f>
        <v>0</v>
      </c>
      <c r="U469">
        <f>((Table1[[#This Row],[Shift Output]]*Table1[[#This Row],[Part Weight (gm)]])/1000)+Table1[[#This Row],[Reject Startup (kg)]]+Table1[[#This Row],[Reject Purging (kg)]]+Table1[[#This Row],[Reject Preform (kg)]]</f>
        <v>0</v>
      </c>
      <c r="V469" s="37">
        <f>(Table1[[#This Row],[Gross Weight (gm)]]-Table1[[#This Row],[Part Weight (gm)]])*Table1[[#This Row],[Shift Output]]/1000</f>
        <v>0</v>
      </c>
      <c r="W469" s="3">
        <v>0</v>
      </c>
      <c r="X469" s="36" t="e">
        <f>Table1[[#This Row],[Reject Startup (kg)]]/Table1[[#This Row],[Material Used]]</f>
        <v>#DIV/0!</v>
      </c>
      <c r="Y469" s="3">
        <v>0</v>
      </c>
      <c r="Z469" s="36" t="e">
        <f>Table1[[#This Row],[Reject Prod (kg)]]/Table1[[#This Row],[Material Used]]</f>
        <v>#DIV/0!</v>
      </c>
      <c r="AA469" s="4">
        <v>0</v>
      </c>
      <c r="AB469" s="5">
        <v>0</v>
      </c>
      <c r="AC469" s="4" cm="1">
        <f t="array" ref="AC469">IFERROR(INDEX(ReferenceCard, MATCH(1, (INDEX(ReferenceCard,,1)=Table1[[#This Row],[SAP No]]) * (INDEX(ReferenceCard,,2)=Table1[[#This Row],[Mould No]]), 0), 9),)</f>
        <v>77</v>
      </c>
      <c r="AD469" s="5">
        <v>0</v>
      </c>
      <c r="AE469" s="5">
        <v>0</v>
      </c>
      <c r="AF469" s="5">
        <v>0</v>
      </c>
      <c r="AG469" s="5">
        <v>12</v>
      </c>
      <c r="AH469" s="5">
        <v>0</v>
      </c>
      <c r="AI469" s="5">
        <v>0</v>
      </c>
      <c r="AJ469" s="5">
        <v>0</v>
      </c>
      <c r="AK469" t="s">
        <v>79</v>
      </c>
      <c r="AL469" s="2"/>
      <c r="AM469" s="2"/>
      <c r="AN469" s="3">
        <v>0</v>
      </c>
      <c r="AO469" s="3">
        <v>0</v>
      </c>
      <c r="AP46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0" spans="1:42" x14ac:dyDescent="0.35">
      <c r="A470" s="1">
        <v>46008</v>
      </c>
      <c r="B470">
        <v>2</v>
      </c>
      <c r="C470" t="s">
        <v>27</v>
      </c>
      <c r="D470" t="str" cm="1">
        <f t="array" ref="D470">IFERROR(INDEX(ReferenceCard, MATCH(1, (INDEX(ReferenceCard,,1)=Table1[[#This Row],[SAP No]]) * (INDEX(ReferenceCard,,2)=Table1[[#This Row],[Mould No]]), 0), 6),)</f>
        <v>PPSB520Y</v>
      </c>
      <c r="E470">
        <v>552181</v>
      </c>
      <c r="F470">
        <v>4</v>
      </c>
      <c r="G470" t="str" cm="1">
        <f t="array" ref="G470">IFERROR(INDEX(ReferenceCard, MATCH(1, (INDEX(ReferenceCard,,1)=Table1[[#This Row],[SAP No]]) * (INDEX(ReferenceCard,,2)=Table1[[#This Row],[Mould No]]), 0), 3),)</f>
        <v>BC28-0090-D-APH-5180-3538-PP-6 NOTCHES-MOLD4</v>
      </c>
      <c r="H470">
        <v>0</v>
      </c>
      <c r="I470" cm="1">
        <f t="array" ref="I470">IFERROR(INDEX(ReferenceCard, MATCH(1, (INDEX(ReferenceCard,,1)=Table1[[#This Row],[SAP No]]) * (INDEX(ReferenceCard,,2)=Table1[[#This Row],[Mould No]]), 0), 4),)</f>
        <v>6</v>
      </c>
      <c r="J470" s="4" cm="1">
        <f t="array" ref="J470">IFERROR(INDEX(ReferenceCard, MATCH(1, (INDEX(ReferenceCard,,1)=Table1[[#This Row],[SAP No]]) * (INDEX(ReferenceCard,,2)=Table1[[#This Row],[Mould No]]), 0), 9),)</f>
        <v>18.8</v>
      </c>
      <c r="K470" s="4" cm="1">
        <f t="array" ref="K470">IFERROR(INDEX(ReferenceCard, MATCH(1, (INDEX(ReferenceCard,,1)=Table1[[#This Row],[SAP No]]) * (INDEX(ReferenceCard,,2)=Table1[[#This Row],[Mould No]]), 0), 7),)</f>
        <v>18.8</v>
      </c>
      <c r="L470">
        <v>189</v>
      </c>
      <c r="M470">
        <v>0</v>
      </c>
      <c r="N470">
        <v>0</v>
      </c>
      <c r="O470">
        <v>0</v>
      </c>
      <c r="P470">
        <f>Table1[[#This Row],[Shot]]*Table1[[#This Row],[Cav]]</f>
        <v>1134</v>
      </c>
      <c r="Q470">
        <v>0</v>
      </c>
      <c r="R470">
        <f>(Table1[[#This Row],[Part Weight (gm)]]*Table1[[#This Row],[Finish Good]])/1000</f>
        <v>0</v>
      </c>
      <c r="S470">
        <v>0</v>
      </c>
      <c r="T470">
        <f>IF(Table1[[#This Row],[Qty Order]]="Sample","-",IF(Table1[[#This Row],[Qty Order]]="RTFN","-",Table1[[#This Row],[Qty Order]]-Table1[[#This Row],[Qty Accumulate]]))</f>
        <v>0</v>
      </c>
      <c r="U470">
        <f>((Table1[[#This Row],[Shift Output]]*Table1[[#This Row],[Part Weight (gm)]])/1000)+Table1[[#This Row],[Reject Startup (kg)]]+Table1[[#This Row],[Reject Purging (kg)]]+Table1[[#This Row],[Reject Preform (kg)]]</f>
        <v>21.319200000000002</v>
      </c>
      <c r="V470" s="37">
        <f>(Table1[[#This Row],[Gross Weight (gm)]]-Table1[[#This Row],[Part Weight (gm)]])*Table1[[#This Row],[Shift Output]]/1000</f>
        <v>0</v>
      </c>
      <c r="W470" s="3">
        <v>0</v>
      </c>
      <c r="X470" s="36">
        <f>Table1[[#This Row],[Reject Startup (kg)]]/Table1[[#This Row],[Material Used]]</f>
        <v>0</v>
      </c>
      <c r="Y470" s="3">
        <v>0</v>
      </c>
      <c r="Z470" s="36">
        <f>Table1[[#This Row],[Reject Prod (kg)]]/Table1[[#This Row],[Material Used]]</f>
        <v>0</v>
      </c>
      <c r="AA470" s="4">
        <v>0</v>
      </c>
      <c r="AB470" s="5">
        <v>0</v>
      </c>
      <c r="AC470" s="4" cm="1">
        <f t="array" ref="AC470">IFERROR(INDEX(ReferenceCard, MATCH(1, (INDEX(ReferenceCard,,1)=Table1[[#This Row],[SAP No]]) * (INDEX(ReferenceCard,,2)=Table1[[#This Row],[Mould No]]), 0), 9),)</f>
        <v>18.8</v>
      </c>
      <c r="AD470" s="5">
        <v>0</v>
      </c>
      <c r="AE470" s="5">
        <v>0</v>
      </c>
      <c r="AF470" s="5">
        <v>0</v>
      </c>
      <c r="AG470" s="5">
        <v>11.5299999999999</v>
      </c>
      <c r="AH470" s="5">
        <v>0.46999999999999897</v>
      </c>
      <c r="AI470" s="5">
        <v>0</v>
      </c>
      <c r="AJ470" s="5">
        <v>0</v>
      </c>
      <c r="AK470" t="s">
        <v>111</v>
      </c>
      <c r="AL470" s="2"/>
      <c r="AM470" s="2"/>
      <c r="AN470" s="3">
        <v>0</v>
      </c>
      <c r="AO470" s="3">
        <v>0</v>
      </c>
      <c r="AP47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1" spans="1:42" x14ac:dyDescent="0.35">
      <c r="A471" s="1">
        <v>46008</v>
      </c>
      <c r="B471">
        <v>2</v>
      </c>
      <c r="C471" t="s">
        <v>29</v>
      </c>
      <c r="D471" t="str" cm="1">
        <f t="array" ref="D471">IFERROR(INDEX(ReferenceCard, MATCH(1, (INDEX(ReferenceCard,,1)=Table1[[#This Row],[SAP No]]) * (INDEX(ReferenceCard,,2)=Table1[[#This Row],[Mould No]]), 0), 6),)</f>
        <v>PET</v>
      </c>
      <c r="E471">
        <v>620599</v>
      </c>
      <c r="F471">
        <v>0</v>
      </c>
      <c r="G471" t="str" cm="1">
        <f t="array" ref="G471">IFERROR(INDEX(ReferenceCard, MATCH(1, (INDEX(ReferenceCard,,1)=Table1[[#This Row],[SAP No]]) * (INDEX(ReferenceCard,,2)=Table1[[#This Row],[Mould No]]), 0), 3),)</f>
        <v>BC28-0750-K4-R-CL (55g)</v>
      </c>
      <c r="H471">
        <v>0</v>
      </c>
      <c r="I471" cm="1">
        <f t="array" ref="I471">IFERROR(INDEX(ReferenceCard, MATCH(1, (INDEX(ReferenceCard,,1)=Table1[[#This Row],[SAP No]]) * (INDEX(ReferenceCard,,2)=Table1[[#This Row],[Mould No]]), 0), 4),)</f>
        <v>4</v>
      </c>
      <c r="J471" s="4" cm="1">
        <f t="array" ref="J471">IFERROR(INDEX(ReferenceCard, MATCH(1, (INDEX(ReferenceCard,,1)=Table1[[#This Row],[SAP No]]) * (INDEX(ReferenceCard,,2)=Table1[[#This Row],[Mould No]]), 0), 9),)</f>
        <v>55</v>
      </c>
      <c r="K471" s="4" cm="1">
        <f t="array" ref="K471">IFERROR(INDEX(ReferenceCard, MATCH(1, (INDEX(ReferenceCard,,1)=Table1[[#This Row],[SAP No]]) * (INDEX(ReferenceCard,,2)=Table1[[#This Row],[Mould No]]), 0), 7),)</f>
        <v>55</v>
      </c>
      <c r="L471">
        <v>2864</v>
      </c>
      <c r="M471">
        <v>0</v>
      </c>
      <c r="N471">
        <v>0</v>
      </c>
      <c r="O471">
        <v>0</v>
      </c>
      <c r="P471">
        <f>Table1[[#This Row],[Shot]]*Table1[[#This Row],[Cav]]</f>
        <v>11456</v>
      </c>
      <c r="Q471">
        <v>0</v>
      </c>
      <c r="R471">
        <f>(Table1[[#This Row],[Part Weight (gm)]]*Table1[[#This Row],[Finish Good]])/1000</f>
        <v>0</v>
      </c>
      <c r="S471">
        <v>0</v>
      </c>
      <c r="T471">
        <f>IF(Table1[[#This Row],[Qty Order]]="Sample","-",IF(Table1[[#This Row],[Qty Order]]="RTFN","-",Table1[[#This Row],[Qty Order]]-Table1[[#This Row],[Qty Accumulate]]))</f>
        <v>0</v>
      </c>
      <c r="U471">
        <f>((Table1[[#This Row],[Shift Output]]*Table1[[#This Row],[Part Weight (gm)]])/1000)+Table1[[#This Row],[Reject Startup (kg)]]+Table1[[#This Row],[Reject Purging (kg)]]+Table1[[#This Row],[Reject Preform (kg)]]</f>
        <v>630.08000000000004</v>
      </c>
      <c r="V471" s="37">
        <f>(Table1[[#This Row],[Gross Weight (gm)]]-Table1[[#This Row],[Part Weight (gm)]])*Table1[[#This Row],[Shift Output]]/1000</f>
        <v>0</v>
      </c>
      <c r="W471" s="3">
        <v>0</v>
      </c>
      <c r="X471" s="36">
        <f>Table1[[#This Row],[Reject Startup (kg)]]/Table1[[#This Row],[Material Used]]</f>
        <v>0</v>
      </c>
      <c r="Y471" s="3">
        <v>0</v>
      </c>
      <c r="Z471" s="36">
        <f>Table1[[#This Row],[Reject Prod (kg)]]/Table1[[#This Row],[Material Used]]</f>
        <v>0</v>
      </c>
      <c r="AA471" s="4">
        <v>28.203182220458899</v>
      </c>
      <c r="AB471" s="5">
        <v>11.92</v>
      </c>
      <c r="AC471" s="4" cm="1">
        <f t="array" ref="AC471">IFERROR(INDEX(ReferenceCard, MATCH(1, (INDEX(ReferenceCard,,1)=Table1[[#This Row],[SAP No]]) * (INDEX(ReferenceCard,,2)=Table1[[#This Row],[Mould No]]), 0), 9),)</f>
        <v>55</v>
      </c>
      <c r="AD471" s="5">
        <v>0</v>
      </c>
      <c r="AE471" s="5">
        <v>0</v>
      </c>
      <c r="AF471" s="5">
        <v>0</v>
      </c>
      <c r="AG471" s="5">
        <v>7.0000000000000007E-2</v>
      </c>
      <c r="AH471" s="5">
        <v>0.02</v>
      </c>
      <c r="AI471" s="5">
        <v>0</v>
      </c>
      <c r="AJ471" s="5">
        <v>0</v>
      </c>
      <c r="AL471" s="2"/>
      <c r="AM471" s="2"/>
      <c r="AN471" s="3">
        <v>0</v>
      </c>
      <c r="AO471" s="3">
        <v>0</v>
      </c>
      <c r="AP47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2" spans="1:42" x14ac:dyDescent="0.35">
      <c r="A472" s="1">
        <v>46008</v>
      </c>
      <c r="B472">
        <v>2</v>
      </c>
      <c r="C472" t="s">
        <v>31</v>
      </c>
      <c r="D472" t="str" cm="1">
        <f t="array" ref="D472">IFERROR(INDEX(ReferenceCard, MATCH(1, (INDEX(ReferenceCard,,1)=Table1[[#This Row],[SAP No]]) * (INDEX(ReferenceCard,,2)=Table1[[#This Row],[Mould No]]), 0), 6),)</f>
        <v>PPSB520Y</v>
      </c>
      <c r="E472">
        <v>586276</v>
      </c>
      <c r="F472">
        <v>4</v>
      </c>
      <c r="G472" t="str" cm="1">
        <f t="array" ref="G472">IFERROR(INDEX(ReferenceCard, MATCH(1, (INDEX(ReferenceCard,,1)=Table1[[#This Row],[SAP No]]) * (INDEX(ReferenceCard,,2)=Table1[[#This Row],[Mould No]]), 0), 3),)</f>
        <v>BC28-0056-D-APH-LEB-604001-MOLD4</v>
      </c>
      <c r="H472">
        <v>0</v>
      </c>
      <c r="I472" cm="1">
        <f t="array" ref="I472">IFERROR(INDEX(ReferenceCard, MATCH(1, (INDEX(ReferenceCard,,1)=Table1[[#This Row],[SAP No]]) * (INDEX(ReferenceCard,,2)=Table1[[#This Row],[Mould No]]), 0), 4),)</f>
        <v>6</v>
      </c>
      <c r="J472" s="4" cm="1">
        <f t="array" ref="J472">IFERROR(INDEX(ReferenceCard, MATCH(1, (INDEX(ReferenceCard,,1)=Table1[[#This Row],[SAP No]]) * (INDEX(ReferenceCard,,2)=Table1[[#This Row],[Mould No]]), 0), 9),)</f>
        <v>12.3</v>
      </c>
      <c r="K472" s="4" cm="1">
        <f t="array" ref="K472">IFERROR(INDEX(ReferenceCard, MATCH(1, (INDEX(ReferenceCard,,1)=Table1[[#This Row],[SAP No]]) * (INDEX(ReferenceCard,,2)=Table1[[#This Row],[Mould No]]), 0), 7),)</f>
        <v>12.3</v>
      </c>
      <c r="L472">
        <v>1650</v>
      </c>
      <c r="M472">
        <v>0</v>
      </c>
      <c r="N472">
        <v>0</v>
      </c>
      <c r="O472">
        <v>0</v>
      </c>
      <c r="P472">
        <f>Table1[[#This Row],[Shot]]*Table1[[#This Row],[Cav]]</f>
        <v>9900</v>
      </c>
      <c r="Q472">
        <v>0</v>
      </c>
      <c r="R472">
        <f>(Table1[[#This Row],[Part Weight (gm)]]*Table1[[#This Row],[Finish Good]])/1000</f>
        <v>0</v>
      </c>
      <c r="S472">
        <v>0</v>
      </c>
      <c r="T472">
        <f>IF(Table1[[#This Row],[Qty Order]]="Sample","-",IF(Table1[[#This Row],[Qty Order]]="RTFN","-",Table1[[#This Row],[Qty Order]]-Table1[[#This Row],[Qty Accumulate]]))</f>
        <v>0</v>
      </c>
      <c r="U472">
        <f>((Table1[[#This Row],[Shift Output]]*Table1[[#This Row],[Part Weight (gm)]])/1000)+Table1[[#This Row],[Reject Startup (kg)]]+Table1[[#This Row],[Reject Purging (kg)]]+Table1[[#This Row],[Reject Preform (kg)]]</f>
        <v>121.77</v>
      </c>
      <c r="V472" s="37">
        <f>(Table1[[#This Row],[Gross Weight (gm)]]-Table1[[#This Row],[Part Weight (gm)]])*Table1[[#This Row],[Shift Output]]/1000</f>
        <v>0</v>
      </c>
      <c r="W472" s="3">
        <v>0</v>
      </c>
      <c r="X472" s="36">
        <f>Table1[[#This Row],[Reject Startup (kg)]]/Table1[[#This Row],[Material Used]]</f>
        <v>0</v>
      </c>
      <c r="Y472" s="3">
        <v>0</v>
      </c>
      <c r="Z472" s="36">
        <f>Table1[[#This Row],[Reject Prod (kg)]]/Table1[[#This Row],[Material Used]]</f>
        <v>0</v>
      </c>
      <c r="AA472" s="4">
        <v>26.160152435302699</v>
      </c>
      <c r="AB472" s="5">
        <v>12</v>
      </c>
      <c r="AC472" s="4" cm="1">
        <f t="array" ref="AC472">IFERROR(INDEX(ReferenceCard, MATCH(1, (INDEX(ReferenceCard,,1)=Table1[[#This Row],[SAP No]]) * (INDEX(ReferenceCard,,2)=Table1[[#This Row],[Mould No]]), 0), 9),)</f>
        <v>12.3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L472" s="2"/>
      <c r="AM472" s="2"/>
      <c r="AN472" s="3">
        <v>0</v>
      </c>
      <c r="AO472" s="3">
        <v>0</v>
      </c>
      <c r="AP47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3" spans="1:42" x14ac:dyDescent="0.35">
      <c r="A473" s="1">
        <v>46008</v>
      </c>
      <c r="B473">
        <v>2</v>
      </c>
      <c r="C473" t="s">
        <v>33</v>
      </c>
      <c r="D473" t="str" cm="1">
        <f t="array" ref="D473">IFERROR(INDEX(ReferenceCard, MATCH(1, (INDEX(ReferenceCard,,1)=Table1[[#This Row],[SAP No]]) * (INDEX(ReferenceCard,,2)=Table1[[#This Row],[Mould No]]), 0), 6),)</f>
        <v>PET</v>
      </c>
      <c r="E473">
        <v>541381</v>
      </c>
      <c r="F473">
        <v>0</v>
      </c>
      <c r="G473" t="str" cm="1">
        <f t="array" ref="G473">IFERROR(INDEX(ReferenceCard, MATCH(1, (INDEX(ReferenceCard,,1)=Table1[[#This Row],[SAP No]]) * (INDEX(ReferenceCard,,2)=Table1[[#This Row],[Mould No]]), 0), 3),)</f>
        <v>BC28-1200-K-R-CL</v>
      </c>
      <c r="H473">
        <v>0</v>
      </c>
      <c r="I473" cm="1">
        <f t="array" ref="I473">IFERROR(INDEX(ReferenceCard, MATCH(1, (INDEX(ReferenceCard,,1)=Table1[[#This Row],[SAP No]]) * (INDEX(ReferenceCard,,2)=Table1[[#This Row],[Mould No]]), 0), 4),)</f>
        <v>4</v>
      </c>
      <c r="J473" s="4" cm="1">
        <f t="array" ref="J473">IFERROR(INDEX(ReferenceCard, MATCH(1, (INDEX(ReferenceCard,,1)=Table1[[#This Row],[SAP No]]) * (INDEX(ReferenceCard,,2)=Table1[[#This Row],[Mould No]]), 0), 9),)</f>
        <v>55</v>
      </c>
      <c r="K473" s="4" cm="1">
        <f t="array" ref="K473">IFERROR(INDEX(ReferenceCard, MATCH(1, (INDEX(ReferenceCard,,1)=Table1[[#This Row],[SAP No]]) * (INDEX(ReferenceCard,,2)=Table1[[#This Row],[Mould No]]), 0), 7),)</f>
        <v>55</v>
      </c>
      <c r="L473">
        <v>336</v>
      </c>
      <c r="M473">
        <v>0</v>
      </c>
      <c r="N473">
        <v>0</v>
      </c>
      <c r="O473">
        <v>0</v>
      </c>
      <c r="P473">
        <f>Table1[[#This Row],[Shot]]*Table1[[#This Row],[Cav]]</f>
        <v>1344</v>
      </c>
      <c r="Q473">
        <v>0</v>
      </c>
      <c r="R473">
        <f>(Table1[[#This Row],[Part Weight (gm)]]*Table1[[#This Row],[Finish Good]])/1000</f>
        <v>0</v>
      </c>
      <c r="S473">
        <v>0</v>
      </c>
      <c r="T473">
        <f>IF(Table1[[#This Row],[Qty Order]]="Sample","-",IF(Table1[[#This Row],[Qty Order]]="RTFN","-",Table1[[#This Row],[Qty Order]]-Table1[[#This Row],[Qty Accumulate]]))</f>
        <v>0</v>
      </c>
      <c r="U473">
        <f>((Table1[[#This Row],[Shift Output]]*Table1[[#This Row],[Part Weight (gm)]])/1000)+Table1[[#This Row],[Reject Startup (kg)]]+Table1[[#This Row],[Reject Purging (kg)]]+Table1[[#This Row],[Reject Preform (kg)]]</f>
        <v>73.92</v>
      </c>
      <c r="V473" s="37">
        <f>(Table1[[#This Row],[Gross Weight (gm)]]-Table1[[#This Row],[Part Weight (gm)]])*Table1[[#This Row],[Shift Output]]/1000</f>
        <v>0</v>
      </c>
      <c r="W473" s="3">
        <v>0</v>
      </c>
      <c r="X473" s="36">
        <f>Table1[[#This Row],[Reject Startup (kg)]]/Table1[[#This Row],[Material Used]]</f>
        <v>0</v>
      </c>
      <c r="Y473" s="3">
        <v>0</v>
      </c>
      <c r="Z473" s="36">
        <f>Table1[[#This Row],[Reject Prod (kg)]]/Table1[[#This Row],[Material Used]]</f>
        <v>0</v>
      </c>
      <c r="AA473" s="4">
        <v>0</v>
      </c>
      <c r="AB473" s="5">
        <v>0</v>
      </c>
      <c r="AC473" s="4" cm="1">
        <f t="array" ref="AC473">IFERROR(INDEX(ReferenceCard, MATCH(1, (INDEX(ReferenceCard,,1)=Table1[[#This Row],[SAP No]]) * (INDEX(ReferenceCard,,2)=Table1[[#This Row],[Mould No]]), 0), 9),)</f>
        <v>55</v>
      </c>
      <c r="AD473" s="5">
        <v>0</v>
      </c>
      <c r="AE473" s="5">
        <v>0</v>
      </c>
      <c r="AF473" s="5">
        <v>0</v>
      </c>
      <c r="AG473" s="5">
        <v>0</v>
      </c>
      <c r="AH473" s="5">
        <v>12</v>
      </c>
      <c r="AI473" s="5">
        <v>0</v>
      </c>
      <c r="AJ473" s="5">
        <v>0</v>
      </c>
      <c r="AL473" s="2"/>
      <c r="AM473" s="2"/>
      <c r="AN473" s="3">
        <v>0</v>
      </c>
      <c r="AO473" s="3">
        <v>0</v>
      </c>
      <c r="AP47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4" spans="1:42" x14ac:dyDescent="0.35">
      <c r="A474" s="1">
        <v>46008</v>
      </c>
      <c r="B474">
        <v>2</v>
      </c>
      <c r="C474" t="s">
        <v>35</v>
      </c>
      <c r="D474" t="str" cm="1">
        <f t="array" ref="D474">IFERROR(INDEX(ReferenceCard, MATCH(1, (INDEX(ReferenceCard,,1)=Table1[[#This Row],[SAP No]]) * (INDEX(ReferenceCard,,2)=Table1[[#This Row],[Mould No]]), 0), 6),)</f>
        <v>PPSB520Y</v>
      </c>
      <c r="E474">
        <v>552181</v>
      </c>
      <c r="F474">
        <v>1</v>
      </c>
      <c r="G474" t="str" cm="1">
        <f t="array" ref="G474">IFERROR(INDEX(ReferenceCard, MATCH(1, (INDEX(ReferenceCard,,1)=Table1[[#This Row],[SAP No]]) * (INDEX(ReferenceCard,,2)=Table1[[#This Row],[Mould No]]), 0), 3),)</f>
        <v>BC28-0090-D-APH-5180-3538-PP-6 NOTCHES-MOLD1</v>
      </c>
      <c r="H474">
        <v>0</v>
      </c>
      <c r="I474" cm="1">
        <f t="array" ref="I474">IFERROR(INDEX(ReferenceCard, MATCH(1, (INDEX(ReferenceCard,,1)=Table1[[#This Row],[SAP No]]) * (INDEX(ReferenceCard,,2)=Table1[[#This Row],[Mould No]]), 0), 4),)</f>
        <v>6</v>
      </c>
      <c r="J474" s="4" cm="1">
        <f t="array" ref="J474">IFERROR(INDEX(ReferenceCard, MATCH(1, (INDEX(ReferenceCard,,1)=Table1[[#This Row],[SAP No]]) * (INDEX(ReferenceCard,,2)=Table1[[#This Row],[Mould No]]), 0), 9),)</f>
        <v>18.8</v>
      </c>
      <c r="K474" s="4" cm="1">
        <f t="array" ref="K474">IFERROR(INDEX(ReferenceCard, MATCH(1, (INDEX(ReferenceCard,,1)=Table1[[#This Row],[SAP No]]) * (INDEX(ReferenceCard,,2)=Table1[[#This Row],[Mould No]]), 0), 7),)</f>
        <v>18.8</v>
      </c>
      <c r="L474">
        <v>1446</v>
      </c>
      <c r="M474">
        <v>0</v>
      </c>
      <c r="N474">
        <v>0</v>
      </c>
      <c r="O474">
        <v>0</v>
      </c>
      <c r="P474">
        <f>Table1[[#This Row],[Shot]]*Table1[[#This Row],[Cav]]</f>
        <v>8676</v>
      </c>
      <c r="Q474">
        <v>0</v>
      </c>
      <c r="R474">
        <f>(Table1[[#This Row],[Part Weight (gm)]]*Table1[[#This Row],[Finish Good]])/1000</f>
        <v>0</v>
      </c>
      <c r="S474">
        <v>0</v>
      </c>
      <c r="T474">
        <f>IF(Table1[[#This Row],[Qty Order]]="Sample","-",IF(Table1[[#This Row],[Qty Order]]="RTFN","-",Table1[[#This Row],[Qty Order]]-Table1[[#This Row],[Qty Accumulate]]))</f>
        <v>0</v>
      </c>
      <c r="U474">
        <f>((Table1[[#This Row],[Shift Output]]*Table1[[#This Row],[Part Weight (gm)]])/1000)+Table1[[#This Row],[Reject Startup (kg)]]+Table1[[#This Row],[Reject Purging (kg)]]+Table1[[#This Row],[Reject Preform (kg)]]</f>
        <v>163.10880000000003</v>
      </c>
      <c r="V474" s="37">
        <f>(Table1[[#This Row],[Gross Weight (gm)]]-Table1[[#This Row],[Part Weight (gm)]])*Table1[[#This Row],[Shift Output]]/1000</f>
        <v>0</v>
      </c>
      <c r="W474" s="3">
        <v>0</v>
      </c>
      <c r="X474" s="36">
        <f>Table1[[#This Row],[Reject Startup (kg)]]/Table1[[#This Row],[Material Used]]</f>
        <v>0</v>
      </c>
      <c r="Y474" s="3">
        <v>0</v>
      </c>
      <c r="Z474" s="36">
        <f>Table1[[#This Row],[Reject Prod (kg)]]/Table1[[#This Row],[Material Used]]</f>
        <v>0</v>
      </c>
      <c r="AA474" s="4">
        <v>31.1307048797607</v>
      </c>
      <c r="AB474" s="5">
        <v>11.96</v>
      </c>
      <c r="AC474" s="4" cm="1">
        <f t="array" ref="AC474">IFERROR(INDEX(ReferenceCard, MATCH(1, (INDEX(ReferenceCard,,1)=Table1[[#This Row],[SAP No]]) * (INDEX(ReferenceCard,,2)=Table1[[#This Row],[Mould No]]), 0), 9),)</f>
        <v>18.8</v>
      </c>
      <c r="AD474" s="5">
        <v>0</v>
      </c>
      <c r="AE474" s="5">
        <v>0</v>
      </c>
      <c r="AF474" s="5">
        <v>0</v>
      </c>
      <c r="AG474" s="5">
        <v>0</v>
      </c>
      <c r="AH474" s="5">
        <v>0.04</v>
      </c>
      <c r="AI474" s="5">
        <v>0</v>
      </c>
      <c r="AJ474" s="5">
        <v>0</v>
      </c>
      <c r="AL474" s="2"/>
      <c r="AM474" s="2"/>
      <c r="AN474" s="3">
        <v>0</v>
      </c>
      <c r="AO474" s="3">
        <v>0</v>
      </c>
      <c r="AP47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5" spans="1:42" x14ac:dyDescent="0.35">
      <c r="A475" s="1">
        <v>46008</v>
      </c>
      <c r="B475">
        <v>2</v>
      </c>
      <c r="C475" t="s">
        <v>18</v>
      </c>
      <c r="D475" t="str" cm="1">
        <f t="array" ref="D475">IFERROR(INDEX(ReferenceCard, MATCH(1, (INDEX(ReferenceCard,,1)=Table1[[#This Row],[SAP No]]) * (INDEX(ReferenceCard,,2)=Table1[[#This Row],[Mould No]]), 0), 6),)</f>
        <v>PPSB520Y</v>
      </c>
      <c r="E475">
        <v>555979</v>
      </c>
      <c r="F475">
        <v>4</v>
      </c>
      <c r="G475" t="str" cm="1">
        <f t="array" ref="G475">IFERROR(INDEX(ReferenceCard, MATCH(1, (INDEX(ReferenceCard,,1)=Table1[[#This Row],[SAP No]]) * (INDEX(ReferenceCard,,2)=Table1[[#This Row],[Mould No]]), 0), 3),)</f>
        <v>BC28-0170-D-APH-5180-3539-PP-6 NOTCHES-MOLD4</v>
      </c>
      <c r="H475">
        <v>0</v>
      </c>
      <c r="I475" cm="1">
        <f t="array" ref="I475">IFERROR(INDEX(ReferenceCard, MATCH(1, (INDEX(ReferenceCard,,1)=Table1[[#This Row],[SAP No]]) * (INDEX(ReferenceCard,,2)=Table1[[#This Row],[Mould No]]), 0), 4),)</f>
        <v>6</v>
      </c>
      <c r="J475" s="4" cm="1">
        <f t="array" ref="J475">IFERROR(INDEX(ReferenceCard, MATCH(1, (INDEX(ReferenceCard,,1)=Table1[[#This Row],[SAP No]]) * (INDEX(ReferenceCard,,2)=Table1[[#This Row],[Mould No]]), 0), 9),)</f>
        <v>28</v>
      </c>
      <c r="K475" s="4" cm="1">
        <f t="array" ref="K475">IFERROR(INDEX(ReferenceCard, MATCH(1, (INDEX(ReferenceCard,,1)=Table1[[#This Row],[SAP No]]) * (INDEX(ReferenceCard,,2)=Table1[[#This Row],[Mould No]]), 0), 7),)</f>
        <v>28</v>
      </c>
      <c r="L475">
        <v>980</v>
      </c>
      <c r="M475">
        <v>0</v>
      </c>
      <c r="N475">
        <v>0</v>
      </c>
      <c r="O475">
        <v>0</v>
      </c>
      <c r="P475">
        <f>Table1[[#This Row],[Shot]]*Table1[[#This Row],[Cav]]</f>
        <v>5880</v>
      </c>
      <c r="Q475">
        <v>0</v>
      </c>
      <c r="R475">
        <f>(Table1[[#This Row],[Part Weight (gm)]]*Table1[[#This Row],[Finish Good]])/1000</f>
        <v>0</v>
      </c>
      <c r="S475">
        <v>0</v>
      </c>
      <c r="T475">
        <f>IF(Table1[[#This Row],[Qty Order]]="Sample","-",IF(Table1[[#This Row],[Qty Order]]="RTFN","-",Table1[[#This Row],[Qty Order]]-Table1[[#This Row],[Qty Accumulate]]))</f>
        <v>0</v>
      </c>
      <c r="U475">
        <f>((Table1[[#This Row],[Shift Output]]*Table1[[#This Row],[Part Weight (gm)]])/1000)+Table1[[#This Row],[Reject Startup (kg)]]+Table1[[#This Row],[Reject Purging (kg)]]+Table1[[#This Row],[Reject Preform (kg)]]</f>
        <v>164.64</v>
      </c>
      <c r="V475" s="37">
        <f>(Table1[[#This Row],[Gross Weight (gm)]]-Table1[[#This Row],[Part Weight (gm)]])*Table1[[#This Row],[Shift Output]]/1000</f>
        <v>0</v>
      </c>
      <c r="W475" s="3">
        <v>0</v>
      </c>
      <c r="X475" s="36">
        <f>Table1[[#This Row],[Reject Startup (kg)]]/Table1[[#This Row],[Material Used]]</f>
        <v>0</v>
      </c>
      <c r="Y475" s="3">
        <v>0</v>
      </c>
      <c r="Z475" s="36">
        <f>Table1[[#This Row],[Reject Prod (kg)]]/Table1[[#This Row],[Material Used]]</f>
        <v>0</v>
      </c>
      <c r="AA475" s="4">
        <v>43.5</v>
      </c>
      <c r="AB475" s="5">
        <v>12</v>
      </c>
      <c r="AC475" s="4" cm="1">
        <f t="array" ref="AC475">IFERROR(INDEX(ReferenceCard, MATCH(1, (INDEX(ReferenceCard,,1)=Table1[[#This Row],[SAP No]]) * (INDEX(ReferenceCard,,2)=Table1[[#This Row],[Mould No]]), 0), 9),)</f>
        <v>28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L475" s="2"/>
      <c r="AM475" s="2"/>
      <c r="AN475" s="3">
        <v>0</v>
      </c>
      <c r="AO475" s="3">
        <v>0</v>
      </c>
      <c r="AP47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6" spans="1:42" x14ac:dyDescent="0.35">
      <c r="A476" s="1">
        <v>46008</v>
      </c>
      <c r="B476">
        <v>1</v>
      </c>
      <c r="C476" t="s">
        <v>7</v>
      </c>
      <c r="D476" t="str" cm="1">
        <f t="array" ref="D476">IFERROR(INDEX(ReferenceCard, MATCH(1, (INDEX(ReferenceCard,,1)=Table1[[#This Row],[SAP No]]) * (INDEX(ReferenceCard,,2)=Table1[[#This Row],[Mould No]]), 0), 6),)</f>
        <v>PET</v>
      </c>
      <c r="E476">
        <v>451191</v>
      </c>
      <c r="F476">
        <v>0</v>
      </c>
      <c r="G476" t="str" cm="1">
        <f t="array" ref="G476">IFERROR(INDEX(ReferenceCard, MATCH(1, (INDEX(ReferenceCard,,1)=Table1[[#This Row],[SAP No]]) * (INDEX(ReferenceCard,,2)=Table1[[#This Row],[Mould No]]), 0), 3),)</f>
        <v>BX38-0350-Z-C-CL</v>
      </c>
      <c r="H476">
        <v>0</v>
      </c>
      <c r="I476" cm="1">
        <f t="array" ref="I476">IFERROR(INDEX(ReferenceCard, MATCH(1, (INDEX(ReferenceCard,,1)=Table1[[#This Row],[SAP No]]) * (INDEX(ReferenceCard,,2)=Table1[[#This Row],[Mould No]]), 0), 4),)</f>
        <v>4</v>
      </c>
      <c r="J476" s="4" cm="1">
        <f t="array" ref="J476">IFERROR(INDEX(ReferenceCard, MATCH(1, (INDEX(ReferenceCard,,1)=Table1[[#This Row],[SAP No]]) * (INDEX(ReferenceCard,,2)=Table1[[#This Row],[Mould No]]), 0), 9),)</f>
        <v>29</v>
      </c>
      <c r="K476" s="4" cm="1">
        <f t="array" ref="K476">IFERROR(INDEX(ReferenceCard, MATCH(1, (INDEX(ReferenceCard,,1)=Table1[[#This Row],[SAP No]]) * (INDEX(ReferenceCard,,2)=Table1[[#This Row],[Mould No]]), 0), 7),)</f>
        <v>29</v>
      </c>
      <c r="L476">
        <v>4743</v>
      </c>
      <c r="M476">
        <v>0</v>
      </c>
      <c r="N476">
        <v>0</v>
      </c>
      <c r="O476">
        <v>0</v>
      </c>
      <c r="P476">
        <f>Table1[[#This Row],[Shot]]*Table1[[#This Row],[Cav]]</f>
        <v>18972</v>
      </c>
      <c r="Q476">
        <v>0</v>
      </c>
      <c r="R476">
        <f>(Table1[[#This Row],[Part Weight (gm)]]*Table1[[#This Row],[Finish Good]])/1000</f>
        <v>0</v>
      </c>
      <c r="S476">
        <v>0</v>
      </c>
      <c r="T476">
        <f>IF(Table1[[#This Row],[Qty Order]]="Sample","-",IF(Table1[[#This Row],[Qty Order]]="RTFN","-",Table1[[#This Row],[Qty Order]]-Table1[[#This Row],[Qty Accumulate]]))</f>
        <v>0</v>
      </c>
      <c r="U476">
        <f>((Table1[[#This Row],[Shift Output]]*Table1[[#This Row],[Part Weight (gm)]])/1000)+Table1[[#This Row],[Reject Startup (kg)]]+Table1[[#This Row],[Reject Purging (kg)]]+Table1[[#This Row],[Reject Preform (kg)]]</f>
        <v>550.18799999999999</v>
      </c>
      <c r="V476" s="37">
        <f>(Table1[[#This Row],[Gross Weight (gm)]]-Table1[[#This Row],[Part Weight (gm)]])*Table1[[#This Row],[Shift Output]]/1000</f>
        <v>0</v>
      </c>
      <c r="W476" s="3">
        <v>0</v>
      </c>
      <c r="X476" s="36">
        <f>Table1[[#This Row],[Reject Startup (kg)]]/Table1[[#This Row],[Material Used]]</f>
        <v>0</v>
      </c>
      <c r="Y476" s="3">
        <v>0</v>
      </c>
      <c r="Z476" s="36">
        <f>Table1[[#This Row],[Reject Prod (kg)]]/Table1[[#This Row],[Material Used]]</f>
        <v>0</v>
      </c>
      <c r="AA476" s="4">
        <v>25.651533126831001</v>
      </c>
      <c r="AB476" s="5">
        <v>12</v>
      </c>
      <c r="AC476" s="4" cm="1">
        <f t="array" ref="AC476">IFERROR(INDEX(ReferenceCard, MATCH(1, (INDEX(ReferenceCard,,1)=Table1[[#This Row],[SAP No]]) * (INDEX(ReferenceCard,,2)=Table1[[#This Row],[Mould No]]), 0), 9),)</f>
        <v>29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L476" s="2"/>
      <c r="AM476" s="2"/>
      <c r="AN476" s="3">
        <v>0</v>
      </c>
      <c r="AO476" s="3">
        <v>0</v>
      </c>
      <c r="AP47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7" spans="1:42" x14ac:dyDescent="0.35">
      <c r="A477" s="1">
        <v>46008</v>
      </c>
      <c r="B477">
        <v>1</v>
      </c>
      <c r="C477" t="s">
        <v>9</v>
      </c>
      <c r="D477" t="str" cm="1">
        <f t="array" ref="D477">IFERROR(INDEX(ReferenceCard, MATCH(1, (INDEX(ReferenceCard,,1)=Table1[[#This Row],[SAP No]]) * (INDEX(ReferenceCard,,2)=Table1[[#This Row],[Mould No]]), 0), 6),)</f>
        <v>rPET</v>
      </c>
      <c r="E477">
        <v>593537</v>
      </c>
      <c r="F477">
        <v>0</v>
      </c>
      <c r="G477" t="str" cm="1">
        <f t="array" ref="G477">IFERROR(INDEX(ReferenceCard, MATCH(1, (INDEX(ReferenceCard,,1)=Table1[[#This Row],[SAP No]]) * (INDEX(ReferenceCard,,2)=Table1[[#This Row],[Mould No]]), 0), 3),)</f>
        <v>BX38-1000-RN-R-CL-rPET</v>
      </c>
      <c r="H477">
        <v>0</v>
      </c>
      <c r="I477" cm="1">
        <f t="array" ref="I477">IFERROR(INDEX(ReferenceCard, MATCH(1, (INDEX(ReferenceCard,,1)=Table1[[#This Row],[SAP No]]) * (INDEX(ReferenceCard,,2)=Table1[[#This Row],[Mould No]]), 0), 4),)</f>
        <v>4</v>
      </c>
      <c r="J477" s="4" cm="1">
        <f t="array" ref="J477">IFERROR(INDEX(ReferenceCard, MATCH(1, (INDEX(ReferenceCard,,1)=Table1[[#This Row],[SAP No]]) * (INDEX(ReferenceCard,,2)=Table1[[#This Row],[Mould No]]), 0), 9),)</f>
        <v>56.5</v>
      </c>
      <c r="K477" s="4" cm="1">
        <f t="array" ref="K477">IFERROR(INDEX(ReferenceCard, MATCH(1, (INDEX(ReferenceCard,,1)=Table1[[#This Row],[SAP No]]) * (INDEX(ReferenceCard,,2)=Table1[[#This Row],[Mould No]]), 0), 7),)</f>
        <v>56.8</v>
      </c>
      <c r="L477">
        <v>465</v>
      </c>
      <c r="M477">
        <v>0</v>
      </c>
      <c r="N477">
        <v>0</v>
      </c>
      <c r="O477">
        <v>0</v>
      </c>
      <c r="P477">
        <f>Table1[[#This Row],[Shot]]*Table1[[#This Row],[Cav]]</f>
        <v>1860</v>
      </c>
      <c r="Q477">
        <v>0</v>
      </c>
      <c r="R477">
        <f>(Table1[[#This Row],[Part Weight (gm)]]*Table1[[#This Row],[Finish Good]])/1000</f>
        <v>0</v>
      </c>
      <c r="S477">
        <v>0</v>
      </c>
      <c r="T477">
        <f>IF(Table1[[#This Row],[Qty Order]]="Sample","-",IF(Table1[[#This Row],[Qty Order]]="RTFN","-",Table1[[#This Row],[Qty Order]]-Table1[[#This Row],[Qty Accumulate]]))</f>
        <v>0</v>
      </c>
      <c r="U477">
        <f>((Table1[[#This Row],[Shift Output]]*Table1[[#This Row],[Part Weight (gm)]])/1000)+Table1[[#This Row],[Reject Startup (kg)]]+Table1[[#This Row],[Reject Purging (kg)]]+Table1[[#This Row],[Reject Preform (kg)]]</f>
        <v>105.648</v>
      </c>
      <c r="V477" s="37">
        <f>(Table1[[#This Row],[Gross Weight (gm)]]-Table1[[#This Row],[Part Weight (gm)]])*Table1[[#This Row],[Shift Output]]/1000</f>
        <v>-0.55799999999999472</v>
      </c>
      <c r="W477" s="3">
        <v>0</v>
      </c>
      <c r="X477" s="36">
        <f>Table1[[#This Row],[Reject Startup (kg)]]/Table1[[#This Row],[Material Used]]</f>
        <v>0</v>
      </c>
      <c r="Y477" s="3">
        <v>0</v>
      </c>
      <c r="Z477" s="36">
        <f>Table1[[#This Row],[Reject Prod (kg)]]/Table1[[#This Row],[Material Used]]</f>
        <v>0</v>
      </c>
      <c r="AA477" s="4">
        <v>31.385911941528299</v>
      </c>
      <c r="AB477" s="5">
        <v>8.6999999999999904</v>
      </c>
      <c r="AC477" s="4" cm="1">
        <f t="array" ref="AC477">IFERROR(INDEX(ReferenceCard, MATCH(1, (INDEX(ReferenceCard,,1)=Table1[[#This Row],[SAP No]]) * (INDEX(ReferenceCard,,2)=Table1[[#This Row],[Mould No]]), 0), 9),)</f>
        <v>56.5</v>
      </c>
      <c r="AD477" s="5">
        <v>0</v>
      </c>
      <c r="AE477" s="5">
        <v>0</v>
      </c>
      <c r="AF477" s="5">
        <v>0</v>
      </c>
      <c r="AG477" s="5">
        <v>0</v>
      </c>
      <c r="AH477" s="5">
        <v>3.2999999999999901</v>
      </c>
      <c r="AI477" s="5">
        <v>0</v>
      </c>
      <c r="AJ477" s="5">
        <v>0</v>
      </c>
      <c r="AK477" t="s">
        <v>112</v>
      </c>
      <c r="AL477" s="2"/>
      <c r="AM477" s="2"/>
      <c r="AN477" s="3">
        <v>0</v>
      </c>
      <c r="AO477" s="3">
        <v>0</v>
      </c>
      <c r="AP47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8" spans="1:42" x14ac:dyDescent="0.35">
      <c r="A478" s="1">
        <v>46008</v>
      </c>
      <c r="B478">
        <v>1</v>
      </c>
      <c r="C478" t="s">
        <v>11</v>
      </c>
      <c r="D478" t="str" cm="1">
        <f t="array" ref="D478">IFERROR(INDEX(ReferenceCard, MATCH(1, (INDEX(ReferenceCard,,1)=Table1[[#This Row],[SAP No]]) * (INDEX(ReferenceCard,,2)=Table1[[#This Row],[Mould No]]), 0), 6),)</f>
        <v>rPET</v>
      </c>
      <c r="E478">
        <v>620994</v>
      </c>
      <c r="F478">
        <v>0</v>
      </c>
      <c r="G478" t="str" cm="1">
        <f t="array" ref="G478">IFERROR(INDEX(ReferenceCard, MATCH(1, (INDEX(ReferenceCard,,1)=Table1[[#This Row],[SAP No]]) * (INDEX(ReferenceCard,,2)=Table1[[#This Row],[Mould No]]), 0), 3),)</f>
        <v>JJ63-0400-SH-S-CL-rPET</v>
      </c>
      <c r="H478">
        <v>0</v>
      </c>
      <c r="I478" cm="1">
        <f t="array" ref="I478">IFERROR(INDEX(ReferenceCard, MATCH(1, (INDEX(ReferenceCard,,1)=Table1[[#This Row],[SAP No]]) * (INDEX(ReferenceCard,,2)=Table1[[#This Row],[Mould No]]), 0), 4),)</f>
        <v>4</v>
      </c>
      <c r="J478" s="4" cm="1">
        <f t="array" ref="J478">IFERROR(INDEX(ReferenceCard, MATCH(1, (INDEX(ReferenceCard,,1)=Table1[[#This Row],[SAP No]]) * (INDEX(ReferenceCard,,2)=Table1[[#This Row],[Mould No]]), 0), 9),)</f>
        <v>32.74</v>
      </c>
      <c r="K478" s="4" cm="1">
        <f t="array" ref="K478">IFERROR(INDEX(ReferenceCard, MATCH(1, (INDEX(ReferenceCard,,1)=Table1[[#This Row],[SAP No]]) * (INDEX(ReferenceCard,,2)=Table1[[#This Row],[Mould No]]), 0), 7),)</f>
        <v>33</v>
      </c>
      <c r="L478">
        <v>3696</v>
      </c>
      <c r="M478">
        <v>0</v>
      </c>
      <c r="N478">
        <v>0</v>
      </c>
      <c r="O478">
        <v>0</v>
      </c>
      <c r="P478">
        <f>Table1[[#This Row],[Shot]]*Table1[[#This Row],[Cav]]</f>
        <v>14784</v>
      </c>
      <c r="Q478">
        <v>0</v>
      </c>
      <c r="R478">
        <f>(Table1[[#This Row],[Part Weight (gm)]]*Table1[[#This Row],[Finish Good]])/1000</f>
        <v>0</v>
      </c>
      <c r="S478">
        <v>0</v>
      </c>
      <c r="T478">
        <f>IF(Table1[[#This Row],[Qty Order]]="Sample","-",IF(Table1[[#This Row],[Qty Order]]="RTFN","-",Table1[[#This Row],[Qty Order]]-Table1[[#This Row],[Qty Accumulate]]))</f>
        <v>0</v>
      </c>
      <c r="U478">
        <f>((Table1[[#This Row],[Shift Output]]*Table1[[#This Row],[Part Weight (gm)]])/1000)+Table1[[#This Row],[Reject Startup (kg)]]+Table1[[#This Row],[Reject Purging (kg)]]+Table1[[#This Row],[Reject Preform (kg)]]</f>
        <v>487.87200000000001</v>
      </c>
      <c r="V478" s="37">
        <f>(Table1[[#This Row],[Gross Weight (gm)]]-Table1[[#This Row],[Part Weight (gm)]])*Table1[[#This Row],[Shift Output]]/1000</f>
        <v>-3.8438399999999704</v>
      </c>
      <c r="W478" s="3">
        <v>0</v>
      </c>
      <c r="X478" s="36">
        <f>Table1[[#This Row],[Reject Startup (kg)]]/Table1[[#This Row],[Material Used]]</f>
        <v>0</v>
      </c>
      <c r="Y478" s="3">
        <v>0</v>
      </c>
      <c r="Z478" s="36">
        <f>Table1[[#This Row],[Reject Prod (kg)]]/Table1[[#This Row],[Material Used]]</f>
        <v>0</v>
      </c>
      <c r="AA478" s="4">
        <v>22.945001602172798</v>
      </c>
      <c r="AB478" s="5">
        <v>11.94</v>
      </c>
      <c r="AC478" s="4" cm="1">
        <f t="array" ref="AC478">IFERROR(INDEX(ReferenceCard, MATCH(1, (INDEX(ReferenceCard,,1)=Table1[[#This Row],[SAP No]]) * (INDEX(ReferenceCard,,2)=Table1[[#This Row],[Mould No]]), 0), 9),)</f>
        <v>32.74</v>
      </c>
      <c r="AD478" s="5">
        <v>0</v>
      </c>
      <c r="AE478" s="5">
        <v>0</v>
      </c>
      <c r="AF478" s="5">
        <v>0</v>
      </c>
      <c r="AG478" s="5">
        <v>0</v>
      </c>
      <c r="AH478" s="5">
        <v>5.9999999999999901E-2</v>
      </c>
      <c r="AI478" s="5">
        <v>0</v>
      </c>
      <c r="AJ478" s="5">
        <v>0</v>
      </c>
      <c r="AL478" s="2"/>
      <c r="AM478" s="2"/>
      <c r="AN478" s="3">
        <v>0</v>
      </c>
      <c r="AO478" s="3">
        <v>0</v>
      </c>
      <c r="AP47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79" spans="1:42" x14ac:dyDescent="0.35">
      <c r="A479" s="1">
        <v>46008</v>
      </c>
      <c r="B479">
        <v>1</v>
      </c>
      <c r="C479" t="s">
        <v>14</v>
      </c>
      <c r="D479" t="str" cm="1">
        <f t="array" ref="D479">IFERROR(INDEX(ReferenceCard, MATCH(1, (INDEX(ReferenceCard,,1)=Table1[[#This Row],[SAP No]]) * (INDEX(ReferenceCard,,2)=Table1[[#This Row],[Mould No]]), 0), 6),)</f>
        <v>PET</v>
      </c>
      <c r="E479">
        <v>324165</v>
      </c>
      <c r="F479">
        <v>0</v>
      </c>
      <c r="G479" t="str" cm="1">
        <f t="array" ref="G479">IFERROR(INDEX(ReferenceCard, MATCH(1, (INDEX(ReferenceCard,,1)=Table1[[#This Row],[SAP No]]) * (INDEX(ReferenceCard,,2)=Table1[[#This Row],[Mould No]]), 0), 3),)</f>
        <v>JJ63-0400-SH-S-WH</v>
      </c>
      <c r="H479">
        <v>0</v>
      </c>
      <c r="I479" cm="1">
        <f t="array" ref="I479">IFERROR(INDEX(ReferenceCard, MATCH(1, (INDEX(ReferenceCard,,1)=Table1[[#This Row],[SAP No]]) * (INDEX(ReferenceCard,,2)=Table1[[#This Row],[Mould No]]), 0), 4),)</f>
        <v>4</v>
      </c>
      <c r="J479" s="4" cm="1">
        <f t="array" ref="J479">IFERROR(INDEX(ReferenceCard, MATCH(1, (INDEX(ReferenceCard,,1)=Table1[[#This Row],[SAP No]]) * (INDEX(ReferenceCard,,2)=Table1[[#This Row],[Mould No]]), 0), 9),)</f>
        <v>32.56</v>
      </c>
      <c r="K479" s="4" cm="1">
        <f t="array" ref="K479">IFERROR(INDEX(ReferenceCard, MATCH(1, (INDEX(ReferenceCard,,1)=Table1[[#This Row],[SAP No]]) * (INDEX(ReferenceCard,,2)=Table1[[#This Row],[Mould No]]), 0), 7),)</f>
        <v>33</v>
      </c>
      <c r="L479">
        <v>2856</v>
      </c>
      <c r="M479">
        <v>0</v>
      </c>
      <c r="N479">
        <v>0</v>
      </c>
      <c r="O479">
        <v>0</v>
      </c>
      <c r="P479">
        <f>Table1[[#This Row],[Shot]]*Table1[[#This Row],[Cav]]</f>
        <v>11424</v>
      </c>
      <c r="Q479">
        <v>0</v>
      </c>
      <c r="R479">
        <f>(Table1[[#This Row],[Part Weight (gm)]]*Table1[[#This Row],[Finish Good]])/1000</f>
        <v>0</v>
      </c>
      <c r="S479">
        <v>0</v>
      </c>
      <c r="T479">
        <f>IF(Table1[[#This Row],[Qty Order]]="Sample","-",IF(Table1[[#This Row],[Qty Order]]="RTFN","-",Table1[[#This Row],[Qty Order]]-Table1[[#This Row],[Qty Accumulate]]))</f>
        <v>0</v>
      </c>
      <c r="U479">
        <f>((Table1[[#This Row],[Shift Output]]*Table1[[#This Row],[Part Weight (gm)]])/1000)+Table1[[#This Row],[Reject Startup (kg)]]+Table1[[#This Row],[Reject Purging (kg)]]+Table1[[#This Row],[Reject Preform (kg)]]</f>
        <v>376.99200000000002</v>
      </c>
      <c r="V479" s="37">
        <f>(Table1[[#This Row],[Gross Weight (gm)]]-Table1[[#This Row],[Part Weight (gm)]])*Table1[[#This Row],[Shift Output]]/1000</f>
        <v>-5.0265599999999742</v>
      </c>
      <c r="W479" s="3">
        <v>0</v>
      </c>
      <c r="X479" s="36">
        <f>Table1[[#This Row],[Reject Startup (kg)]]/Table1[[#This Row],[Material Used]]</f>
        <v>0</v>
      </c>
      <c r="Y479" s="3">
        <v>0</v>
      </c>
      <c r="Z479" s="36">
        <f>Table1[[#This Row],[Reject Prod (kg)]]/Table1[[#This Row],[Material Used]]</f>
        <v>0</v>
      </c>
      <c r="AA479" s="4">
        <v>22.494798660278299</v>
      </c>
      <c r="AB479" s="5">
        <v>8.7699999999999907</v>
      </c>
      <c r="AC479" s="4" cm="1">
        <f t="array" ref="AC479">IFERROR(INDEX(ReferenceCard, MATCH(1, (INDEX(ReferenceCard,,1)=Table1[[#This Row],[SAP No]]) * (INDEX(ReferenceCard,,2)=Table1[[#This Row],[Mould No]]), 0), 9),)</f>
        <v>32.56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3.23</v>
      </c>
      <c r="AJ479" s="5">
        <v>0</v>
      </c>
      <c r="AL479" s="2"/>
      <c r="AM479" s="2"/>
      <c r="AN479" s="3">
        <v>0</v>
      </c>
      <c r="AO479" s="3">
        <v>0</v>
      </c>
      <c r="AP47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0" spans="1:42" x14ac:dyDescent="0.35">
      <c r="A480" s="1">
        <v>46008</v>
      </c>
      <c r="B480">
        <v>1</v>
      </c>
      <c r="C480" t="s">
        <v>16</v>
      </c>
      <c r="D480" t="str" cm="1">
        <f t="array" ref="D480">IFERROR(INDEX(ReferenceCard, MATCH(1, (INDEX(ReferenceCard,,1)=Table1[[#This Row],[SAP No]]) * (INDEX(ReferenceCard,,2)=Table1[[#This Row],[Mould No]]), 0), 6),)</f>
        <v>PET</v>
      </c>
      <c r="E480">
        <v>324206</v>
      </c>
      <c r="F480">
        <v>0</v>
      </c>
      <c r="G480" t="str" cm="1">
        <f t="array" ref="G480">IFERROR(INDEX(ReferenceCard, MATCH(1, (INDEX(ReferenceCard,,1)=Table1[[#This Row],[SAP No]]) * (INDEX(ReferenceCard,,2)=Table1[[#This Row],[Mould No]]), 0), 3),)</f>
        <v>BX38-1000-HC-S-CL</v>
      </c>
      <c r="H480">
        <v>0</v>
      </c>
      <c r="I480" cm="1">
        <f t="array" ref="I480">IFERROR(INDEX(ReferenceCard, MATCH(1, (INDEX(ReferenceCard,,1)=Table1[[#This Row],[SAP No]]) * (INDEX(ReferenceCard,,2)=Table1[[#This Row],[Mould No]]), 0), 4),)</f>
        <v>4</v>
      </c>
      <c r="J480" s="4" cm="1">
        <f t="array" ref="J480">IFERROR(INDEX(ReferenceCard, MATCH(1, (INDEX(ReferenceCard,,1)=Table1[[#This Row],[SAP No]]) * (INDEX(ReferenceCard,,2)=Table1[[#This Row],[Mould No]]), 0), 9),)</f>
        <v>49</v>
      </c>
      <c r="K480" s="4" cm="1">
        <f t="array" ref="K480">IFERROR(INDEX(ReferenceCard, MATCH(1, (INDEX(ReferenceCard,,1)=Table1[[#This Row],[SAP No]]) * (INDEX(ReferenceCard,,2)=Table1[[#This Row],[Mould No]]), 0), 7),)</f>
        <v>48</v>
      </c>
      <c r="L480">
        <v>0</v>
      </c>
      <c r="M480">
        <v>0</v>
      </c>
      <c r="N480">
        <v>0</v>
      </c>
      <c r="O480">
        <v>0</v>
      </c>
      <c r="P480">
        <f>Table1[[#This Row],[Shot]]*Table1[[#This Row],[Cav]]</f>
        <v>0</v>
      </c>
      <c r="Q480">
        <v>0</v>
      </c>
      <c r="R480">
        <f>(Table1[[#This Row],[Part Weight (gm)]]*Table1[[#This Row],[Finish Good]])/1000</f>
        <v>0</v>
      </c>
      <c r="S480">
        <v>0</v>
      </c>
      <c r="T480">
        <f>IF(Table1[[#This Row],[Qty Order]]="Sample","-",IF(Table1[[#This Row],[Qty Order]]="RTFN","-",Table1[[#This Row],[Qty Order]]-Table1[[#This Row],[Qty Accumulate]]))</f>
        <v>0</v>
      </c>
      <c r="U480">
        <f>((Table1[[#This Row],[Shift Output]]*Table1[[#This Row],[Part Weight (gm)]])/1000)+Table1[[#This Row],[Reject Startup (kg)]]+Table1[[#This Row],[Reject Purging (kg)]]+Table1[[#This Row],[Reject Preform (kg)]]</f>
        <v>0</v>
      </c>
      <c r="V480" s="37">
        <f>(Table1[[#This Row],[Gross Weight (gm)]]-Table1[[#This Row],[Part Weight (gm)]])*Table1[[#This Row],[Shift Output]]/1000</f>
        <v>0</v>
      </c>
      <c r="W480" s="3">
        <v>0</v>
      </c>
      <c r="X480" s="36" t="e">
        <f>Table1[[#This Row],[Reject Startup (kg)]]/Table1[[#This Row],[Material Used]]</f>
        <v>#DIV/0!</v>
      </c>
      <c r="Y480" s="3">
        <v>0</v>
      </c>
      <c r="Z480" s="36" t="e">
        <f>Table1[[#This Row],[Reject Prod (kg)]]/Table1[[#This Row],[Material Used]]</f>
        <v>#DIV/0!</v>
      </c>
      <c r="AA480" s="4">
        <v>0</v>
      </c>
      <c r="AB480" s="5">
        <v>4.3399999999999901</v>
      </c>
      <c r="AC480" s="4" cm="1">
        <f t="array" ref="AC480">IFERROR(INDEX(ReferenceCard, MATCH(1, (INDEX(ReferenceCard,,1)=Table1[[#This Row],[SAP No]]) * (INDEX(ReferenceCard,,2)=Table1[[#This Row],[Mould No]]), 0), 9),)</f>
        <v>49</v>
      </c>
      <c r="AD480" s="5">
        <v>0</v>
      </c>
      <c r="AE480" s="5">
        <v>0</v>
      </c>
      <c r="AF480" s="5">
        <v>0</v>
      </c>
      <c r="AG480" s="5">
        <v>0</v>
      </c>
      <c r="AH480" s="5">
        <v>7.66</v>
      </c>
      <c r="AI480" s="5">
        <v>0</v>
      </c>
      <c r="AJ480" s="5">
        <v>0</v>
      </c>
      <c r="AK480" t="s">
        <v>113</v>
      </c>
      <c r="AL480" s="2"/>
      <c r="AM480" s="2"/>
      <c r="AN480" s="3">
        <v>0</v>
      </c>
      <c r="AO480" s="3">
        <v>0</v>
      </c>
      <c r="AP48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1" spans="1:42" x14ac:dyDescent="0.35">
      <c r="A481" s="1">
        <v>46008</v>
      </c>
      <c r="B481">
        <v>1</v>
      </c>
      <c r="C481" t="s">
        <v>23</v>
      </c>
      <c r="D481" t="str" cm="1">
        <f t="array" ref="D481">IFERROR(INDEX(ReferenceCard, MATCH(1, (INDEX(ReferenceCard,,1)=Table1[[#This Row],[SAP No]]) * (INDEX(ReferenceCard,,2)=Table1[[#This Row],[Mould No]]), 0), 6),)</f>
        <v>PPSB520Y</v>
      </c>
      <c r="E481">
        <v>586276</v>
      </c>
      <c r="F481">
        <v>2</v>
      </c>
      <c r="G481" t="str" cm="1">
        <f t="array" ref="G481">IFERROR(INDEX(ReferenceCard, MATCH(1, (INDEX(ReferenceCard,,1)=Table1[[#This Row],[SAP No]]) * (INDEX(ReferenceCard,,2)=Table1[[#This Row],[Mould No]]), 0), 3),)</f>
        <v>BC28-0056-D-APH-LEB-604001-MOLD2</v>
      </c>
      <c r="H481">
        <v>0</v>
      </c>
      <c r="I481" cm="1">
        <f t="array" ref="I481">IFERROR(INDEX(ReferenceCard, MATCH(1, (INDEX(ReferenceCard,,1)=Table1[[#This Row],[SAP No]]) * (INDEX(ReferenceCard,,2)=Table1[[#This Row],[Mould No]]), 0), 4),)</f>
        <v>6</v>
      </c>
      <c r="J481" s="4" cm="1">
        <f t="array" ref="J481">IFERROR(INDEX(ReferenceCard, MATCH(1, (INDEX(ReferenceCard,,1)=Table1[[#This Row],[SAP No]]) * (INDEX(ReferenceCard,,2)=Table1[[#This Row],[Mould No]]), 0), 9),)</f>
        <v>12.3</v>
      </c>
      <c r="K481" s="4" cm="1">
        <f t="array" ref="K481">IFERROR(INDEX(ReferenceCard, MATCH(1, (INDEX(ReferenceCard,,1)=Table1[[#This Row],[SAP No]]) * (INDEX(ReferenceCard,,2)=Table1[[#This Row],[Mould No]]), 0), 7),)</f>
        <v>12.3</v>
      </c>
      <c r="L481">
        <v>4719</v>
      </c>
      <c r="M481">
        <v>0</v>
      </c>
      <c r="N481">
        <v>0</v>
      </c>
      <c r="O481">
        <v>0</v>
      </c>
      <c r="P481">
        <f>Table1[[#This Row],[Shot]]*Table1[[#This Row],[Cav]]</f>
        <v>28314</v>
      </c>
      <c r="Q481">
        <v>0</v>
      </c>
      <c r="R481">
        <f>(Table1[[#This Row],[Part Weight (gm)]]*Table1[[#This Row],[Finish Good]])/1000</f>
        <v>0</v>
      </c>
      <c r="S481">
        <v>0</v>
      </c>
      <c r="T481">
        <f>IF(Table1[[#This Row],[Qty Order]]="Sample","-",IF(Table1[[#This Row],[Qty Order]]="RTFN","-",Table1[[#This Row],[Qty Order]]-Table1[[#This Row],[Qty Accumulate]]))</f>
        <v>0</v>
      </c>
      <c r="U481">
        <f>((Table1[[#This Row],[Shift Output]]*Table1[[#This Row],[Part Weight (gm)]])/1000)+Table1[[#This Row],[Reject Startup (kg)]]+Table1[[#This Row],[Reject Purging (kg)]]+Table1[[#This Row],[Reject Preform (kg)]]</f>
        <v>348.26220000000001</v>
      </c>
      <c r="V481" s="37">
        <f>(Table1[[#This Row],[Gross Weight (gm)]]-Table1[[#This Row],[Part Weight (gm)]])*Table1[[#This Row],[Shift Output]]/1000</f>
        <v>0</v>
      </c>
      <c r="W481" s="3">
        <v>0</v>
      </c>
      <c r="X481" s="36">
        <f>Table1[[#This Row],[Reject Startup (kg)]]/Table1[[#This Row],[Material Used]]</f>
        <v>0</v>
      </c>
      <c r="Y481" s="3">
        <v>0</v>
      </c>
      <c r="Z481" s="36">
        <f>Table1[[#This Row],[Reject Prod (kg)]]/Table1[[#This Row],[Material Used]]</f>
        <v>0</v>
      </c>
      <c r="AA481" s="4">
        <v>25.512567520141602</v>
      </c>
      <c r="AB481" s="5">
        <v>10.89</v>
      </c>
      <c r="AC481" s="4" cm="1">
        <f t="array" ref="AC481">IFERROR(INDEX(ReferenceCard, MATCH(1, (INDEX(ReferenceCard,,1)=Table1[[#This Row],[SAP No]]) * (INDEX(ReferenceCard,,2)=Table1[[#This Row],[Mould No]]), 0), 9),)</f>
        <v>12.3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1.1100000000000001</v>
      </c>
      <c r="AJ481" s="5">
        <v>0</v>
      </c>
      <c r="AL481" s="2"/>
      <c r="AM481" s="2"/>
      <c r="AN481" s="3">
        <v>0</v>
      </c>
      <c r="AO481" s="3">
        <v>0</v>
      </c>
      <c r="AP48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2" spans="1:42" x14ac:dyDescent="0.35">
      <c r="A482" s="1">
        <v>46008</v>
      </c>
      <c r="B482">
        <v>1</v>
      </c>
      <c r="C482" t="s">
        <v>25</v>
      </c>
      <c r="D482" t="str" cm="1">
        <f t="array" ref="D482">IFERROR(INDEX(ReferenceCard, MATCH(1, (INDEX(ReferenceCard,,1)=Table1[[#This Row],[SAP No]]) * (INDEX(ReferenceCard,,2)=Table1[[#This Row],[Mould No]]), 0), 6),)</f>
        <v>PET</v>
      </c>
      <c r="E482">
        <v>323133</v>
      </c>
      <c r="F482">
        <v>0</v>
      </c>
      <c r="G482" t="str" cm="1">
        <f t="array" ref="G482">IFERROR(INDEX(ReferenceCard, MATCH(1, (INDEX(ReferenceCard,,1)=Table1[[#This Row],[SAP No]]) * (INDEX(ReferenceCard,,2)=Table1[[#This Row],[Mould No]]), 0), 3),)</f>
        <v>BX38-2000-RH-R-CL(GREEN) (ASEM)</v>
      </c>
      <c r="H482">
        <v>0</v>
      </c>
      <c r="I482" cm="1">
        <f t="array" ref="I482">IFERROR(INDEX(ReferenceCard, MATCH(1, (INDEX(ReferenceCard,,1)=Table1[[#This Row],[SAP No]]) * (INDEX(ReferenceCard,,2)=Table1[[#This Row],[Mould No]]), 0), 4),)</f>
        <v>4</v>
      </c>
      <c r="J482" s="4" cm="1">
        <f t="array" ref="J482">IFERROR(INDEX(ReferenceCard, MATCH(1, (INDEX(ReferenceCard,,1)=Table1[[#This Row],[SAP No]]) * (INDEX(ReferenceCard,,2)=Table1[[#This Row],[Mould No]]), 0), 9),)</f>
        <v>77</v>
      </c>
      <c r="K482" s="4" cm="1">
        <f t="array" ref="K482">IFERROR(INDEX(ReferenceCard, MATCH(1, (INDEX(ReferenceCard,,1)=Table1[[#This Row],[SAP No]]) * (INDEX(ReferenceCard,,2)=Table1[[#This Row],[Mould No]]), 0), 7),)</f>
        <v>77</v>
      </c>
      <c r="L482">
        <v>0</v>
      </c>
      <c r="M482">
        <v>0</v>
      </c>
      <c r="N482">
        <v>0</v>
      </c>
      <c r="O482">
        <v>0</v>
      </c>
      <c r="P482">
        <f>Table1[[#This Row],[Shot]]*Table1[[#This Row],[Cav]]</f>
        <v>0</v>
      </c>
      <c r="Q482">
        <v>0</v>
      </c>
      <c r="R482">
        <f>(Table1[[#This Row],[Part Weight (gm)]]*Table1[[#This Row],[Finish Good]])/1000</f>
        <v>0</v>
      </c>
      <c r="S482">
        <v>0</v>
      </c>
      <c r="T482">
        <f>IF(Table1[[#This Row],[Qty Order]]="Sample","-",IF(Table1[[#This Row],[Qty Order]]="RTFN","-",Table1[[#This Row],[Qty Order]]-Table1[[#This Row],[Qty Accumulate]]))</f>
        <v>0</v>
      </c>
      <c r="U482">
        <f>((Table1[[#This Row],[Shift Output]]*Table1[[#This Row],[Part Weight (gm)]])/1000)+Table1[[#This Row],[Reject Startup (kg)]]+Table1[[#This Row],[Reject Purging (kg)]]+Table1[[#This Row],[Reject Preform (kg)]]</f>
        <v>0</v>
      </c>
      <c r="V482" s="37">
        <f>(Table1[[#This Row],[Gross Weight (gm)]]-Table1[[#This Row],[Part Weight (gm)]])*Table1[[#This Row],[Shift Output]]/1000</f>
        <v>0</v>
      </c>
      <c r="W482" s="3">
        <v>0</v>
      </c>
      <c r="X482" s="36" t="e">
        <f>Table1[[#This Row],[Reject Startup (kg)]]/Table1[[#This Row],[Material Used]]</f>
        <v>#DIV/0!</v>
      </c>
      <c r="Y482" s="3">
        <v>0</v>
      </c>
      <c r="Z482" s="36" t="e">
        <f>Table1[[#This Row],[Reject Prod (kg)]]/Table1[[#This Row],[Material Used]]</f>
        <v>#DIV/0!</v>
      </c>
      <c r="AA482" s="4">
        <v>0</v>
      </c>
      <c r="AB482" s="5">
        <v>0</v>
      </c>
      <c r="AC482" s="4" cm="1">
        <f t="array" ref="AC482">IFERROR(INDEX(ReferenceCard, MATCH(1, (INDEX(ReferenceCard,,1)=Table1[[#This Row],[SAP No]]) * (INDEX(ReferenceCard,,2)=Table1[[#This Row],[Mould No]]), 0), 9),)</f>
        <v>77</v>
      </c>
      <c r="AD482" s="5">
        <v>0</v>
      </c>
      <c r="AE482" s="5">
        <v>0</v>
      </c>
      <c r="AF482" s="5">
        <v>0</v>
      </c>
      <c r="AG482" s="5">
        <v>7.66</v>
      </c>
      <c r="AH482" s="5">
        <v>4.3399999999999901</v>
      </c>
      <c r="AI482" s="5">
        <v>0</v>
      </c>
      <c r="AJ482" s="5">
        <v>0</v>
      </c>
      <c r="AK482" t="s">
        <v>114</v>
      </c>
      <c r="AL482" s="2"/>
      <c r="AM482" s="2"/>
      <c r="AN482" s="3">
        <v>0</v>
      </c>
      <c r="AO482" s="3">
        <v>0</v>
      </c>
      <c r="AP48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3" spans="1:42" x14ac:dyDescent="0.35">
      <c r="A483" s="1">
        <v>46008</v>
      </c>
      <c r="B483">
        <v>1</v>
      </c>
      <c r="C483" t="s">
        <v>27</v>
      </c>
      <c r="D483" t="str" cm="1">
        <f t="array" ref="D483">IFERROR(INDEX(ReferenceCard, MATCH(1, (INDEX(ReferenceCard,,1)=Table1[[#This Row],[SAP No]]) * (INDEX(ReferenceCard,,2)=Table1[[#This Row],[Mould No]]), 0), 6),)</f>
        <v>PPSB520Y</v>
      </c>
      <c r="E483">
        <v>552181</v>
      </c>
      <c r="F483">
        <v>4</v>
      </c>
      <c r="G483" t="str" cm="1">
        <f t="array" ref="G483">IFERROR(INDEX(ReferenceCard, MATCH(1, (INDEX(ReferenceCard,,1)=Table1[[#This Row],[SAP No]]) * (INDEX(ReferenceCard,,2)=Table1[[#This Row],[Mould No]]), 0), 3),)</f>
        <v>BC28-0090-D-APH-5180-3538-PP-6 NOTCHES-MOLD4</v>
      </c>
      <c r="H483">
        <v>0</v>
      </c>
      <c r="I483" cm="1">
        <f t="array" ref="I483">IFERROR(INDEX(ReferenceCard, MATCH(1, (INDEX(ReferenceCard,,1)=Table1[[#This Row],[SAP No]]) * (INDEX(ReferenceCard,,2)=Table1[[#This Row],[Mould No]]), 0), 4),)</f>
        <v>6</v>
      </c>
      <c r="J483" s="4" cm="1">
        <f t="array" ref="J483">IFERROR(INDEX(ReferenceCard, MATCH(1, (INDEX(ReferenceCard,,1)=Table1[[#This Row],[SAP No]]) * (INDEX(ReferenceCard,,2)=Table1[[#This Row],[Mould No]]), 0), 9),)</f>
        <v>18.8</v>
      </c>
      <c r="K483" s="4" cm="1">
        <f t="array" ref="K483">IFERROR(INDEX(ReferenceCard, MATCH(1, (INDEX(ReferenceCard,,1)=Table1[[#This Row],[SAP No]]) * (INDEX(ReferenceCard,,2)=Table1[[#This Row],[Mould No]]), 0), 7),)</f>
        <v>18.8</v>
      </c>
      <c r="L483">
        <v>795</v>
      </c>
      <c r="M483">
        <v>0</v>
      </c>
      <c r="N483">
        <v>0</v>
      </c>
      <c r="O483">
        <v>0</v>
      </c>
      <c r="P483">
        <f>Table1[[#This Row],[Shot]]*Table1[[#This Row],[Cav]]</f>
        <v>4770</v>
      </c>
      <c r="Q483">
        <v>0</v>
      </c>
      <c r="R483">
        <f>(Table1[[#This Row],[Part Weight (gm)]]*Table1[[#This Row],[Finish Good]])/1000</f>
        <v>0</v>
      </c>
      <c r="S483">
        <v>0</v>
      </c>
      <c r="T483">
        <f>IF(Table1[[#This Row],[Qty Order]]="Sample","-",IF(Table1[[#This Row],[Qty Order]]="RTFN","-",Table1[[#This Row],[Qty Order]]-Table1[[#This Row],[Qty Accumulate]]))</f>
        <v>0</v>
      </c>
      <c r="U483">
        <f>((Table1[[#This Row],[Shift Output]]*Table1[[#This Row],[Part Weight (gm)]])/1000)+Table1[[#This Row],[Reject Startup (kg)]]+Table1[[#This Row],[Reject Purging (kg)]]+Table1[[#This Row],[Reject Preform (kg)]]</f>
        <v>89.676000000000002</v>
      </c>
      <c r="V483" s="37">
        <f>(Table1[[#This Row],[Gross Weight (gm)]]-Table1[[#This Row],[Part Weight (gm)]])*Table1[[#This Row],[Shift Output]]/1000</f>
        <v>0</v>
      </c>
      <c r="W483" s="3">
        <v>0</v>
      </c>
      <c r="X483" s="36">
        <f>Table1[[#This Row],[Reject Startup (kg)]]/Table1[[#This Row],[Material Used]]</f>
        <v>0</v>
      </c>
      <c r="Y483" s="3">
        <v>0</v>
      </c>
      <c r="Z483" s="36">
        <f>Table1[[#This Row],[Reject Prod (kg)]]/Table1[[#This Row],[Material Used]]</f>
        <v>0</v>
      </c>
      <c r="AA483" s="4">
        <v>0</v>
      </c>
      <c r="AB483" s="5">
        <v>4.3399999999999901</v>
      </c>
      <c r="AC483" s="4" cm="1">
        <f t="array" ref="AC483">IFERROR(INDEX(ReferenceCard, MATCH(1, (INDEX(ReferenceCard,,1)=Table1[[#This Row],[SAP No]]) * (INDEX(ReferenceCard,,2)=Table1[[#This Row],[Mould No]]), 0), 9),)</f>
        <v>18.8</v>
      </c>
      <c r="AD483" s="5">
        <v>0</v>
      </c>
      <c r="AE483" s="5">
        <v>0</v>
      </c>
      <c r="AF483" s="5">
        <v>0</v>
      </c>
      <c r="AG483" s="5">
        <v>6.61</v>
      </c>
      <c r="AH483" s="5">
        <v>1.04</v>
      </c>
      <c r="AI483" s="5">
        <v>0</v>
      </c>
      <c r="AJ483" s="5">
        <v>0</v>
      </c>
      <c r="AL483" s="2"/>
      <c r="AM483" s="2"/>
      <c r="AN483" s="3">
        <v>0</v>
      </c>
      <c r="AO483" s="3">
        <v>0</v>
      </c>
      <c r="AP48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4" spans="1:42" x14ac:dyDescent="0.35">
      <c r="A484" s="1">
        <v>46008</v>
      </c>
      <c r="B484">
        <v>1</v>
      </c>
      <c r="C484" t="s">
        <v>29</v>
      </c>
      <c r="D484" t="str" cm="1">
        <f t="array" ref="D484">IFERROR(INDEX(ReferenceCard, MATCH(1, (INDEX(ReferenceCard,,1)=Table1[[#This Row],[SAP No]]) * (INDEX(ReferenceCard,,2)=Table1[[#This Row],[Mould No]]), 0), 6),)</f>
        <v>PET</v>
      </c>
      <c r="E484">
        <v>620599</v>
      </c>
      <c r="F484">
        <v>0</v>
      </c>
      <c r="G484" t="str" cm="1">
        <f t="array" ref="G484">IFERROR(INDEX(ReferenceCard, MATCH(1, (INDEX(ReferenceCard,,1)=Table1[[#This Row],[SAP No]]) * (INDEX(ReferenceCard,,2)=Table1[[#This Row],[Mould No]]), 0), 3),)</f>
        <v>BC28-0750-K4-R-CL (55g)</v>
      </c>
      <c r="H484">
        <v>0</v>
      </c>
      <c r="I484" cm="1">
        <f t="array" ref="I484">IFERROR(INDEX(ReferenceCard, MATCH(1, (INDEX(ReferenceCard,,1)=Table1[[#This Row],[SAP No]]) * (INDEX(ReferenceCard,,2)=Table1[[#This Row],[Mould No]]), 0), 4),)</f>
        <v>4</v>
      </c>
      <c r="J484" s="4" cm="1">
        <f t="array" ref="J484">IFERROR(INDEX(ReferenceCard, MATCH(1, (INDEX(ReferenceCard,,1)=Table1[[#This Row],[SAP No]]) * (INDEX(ReferenceCard,,2)=Table1[[#This Row],[Mould No]]), 0), 9),)</f>
        <v>55</v>
      </c>
      <c r="K484" s="4" cm="1">
        <f t="array" ref="K484">IFERROR(INDEX(ReferenceCard, MATCH(1, (INDEX(ReferenceCard,,1)=Table1[[#This Row],[SAP No]]) * (INDEX(ReferenceCard,,2)=Table1[[#This Row],[Mould No]]), 0), 7),)</f>
        <v>55</v>
      </c>
      <c r="L484">
        <v>2106</v>
      </c>
      <c r="M484">
        <v>0</v>
      </c>
      <c r="N484">
        <v>0</v>
      </c>
      <c r="O484">
        <v>0</v>
      </c>
      <c r="P484">
        <f>Table1[[#This Row],[Shot]]*Table1[[#This Row],[Cav]]</f>
        <v>8424</v>
      </c>
      <c r="Q484">
        <v>0</v>
      </c>
      <c r="R484">
        <f>(Table1[[#This Row],[Part Weight (gm)]]*Table1[[#This Row],[Finish Good]])/1000</f>
        <v>0</v>
      </c>
      <c r="S484">
        <v>0</v>
      </c>
      <c r="T484">
        <f>IF(Table1[[#This Row],[Qty Order]]="Sample","-",IF(Table1[[#This Row],[Qty Order]]="RTFN","-",Table1[[#This Row],[Qty Order]]-Table1[[#This Row],[Qty Accumulate]]))</f>
        <v>0</v>
      </c>
      <c r="U484">
        <f>((Table1[[#This Row],[Shift Output]]*Table1[[#This Row],[Part Weight (gm)]])/1000)+Table1[[#This Row],[Reject Startup (kg)]]+Table1[[#This Row],[Reject Purging (kg)]]+Table1[[#This Row],[Reject Preform (kg)]]</f>
        <v>463.32</v>
      </c>
      <c r="V484" s="37">
        <f>(Table1[[#This Row],[Gross Weight (gm)]]-Table1[[#This Row],[Part Weight (gm)]])*Table1[[#This Row],[Shift Output]]/1000</f>
        <v>0</v>
      </c>
      <c r="W484" s="3">
        <v>0</v>
      </c>
      <c r="X484" s="36">
        <f>Table1[[#This Row],[Reject Startup (kg)]]/Table1[[#This Row],[Material Used]]</f>
        <v>0</v>
      </c>
      <c r="Y484" s="3">
        <v>0</v>
      </c>
      <c r="Z484" s="36">
        <f>Table1[[#This Row],[Reject Prod (kg)]]/Table1[[#This Row],[Material Used]]</f>
        <v>0</v>
      </c>
      <c r="AA484" s="4">
        <v>27.925268173217699</v>
      </c>
      <c r="AB484" s="5">
        <v>9.31</v>
      </c>
      <c r="AC484" s="4" cm="1">
        <f t="array" ref="AC484">IFERROR(INDEX(ReferenceCard, MATCH(1, (INDEX(ReferenceCard,,1)=Table1[[#This Row],[SAP No]]) * (INDEX(ReferenceCard,,2)=Table1[[#This Row],[Mould No]]), 0), 9),)</f>
        <v>55</v>
      </c>
      <c r="AD484" s="5">
        <v>0</v>
      </c>
      <c r="AE484" s="5">
        <v>0</v>
      </c>
      <c r="AF484" s="5">
        <v>0</v>
      </c>
      <c r="AG484" s="5">
        <v>2.6699999999999902</v>
      </c>
      <c r="AH484" s="5">
        <v>0.01</v>
      </c>
      <c r="AI484" s="5">
        <v>0</v>
      </c>
      <c r="AJ484" s="5">
        <v>0</v>
      </c>
      <c r="AL484" s="2"/>
      <c r="AM484" s="2"/>
      <c r="AN484" s="3">
        <v>0</v>
      </c>
      <c r="AO484" s="3">
        <v>0</v>
      </c>
      <c r="AP48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5" spans="1:42" x14ac:dyDescent="0.35">
      <c r="A485" s="1">
        <v>46008</v>
      </c>
      <c r="B485">
        <v>1</v>
      </c>
      <c r="C485" t="s">
        <v>31</v>
      </c>
      <c r="D485" t="str" cm="1">
        <f t="array" ref="D485">IFERROR(INDEX(ReferenceCard, MATCH(1, (INDEX(ReferenceCard,,1)=Table1[[#This Row],[SAP No]]) * (INDEX(ReferenceCard,,2)=Table1[[#This Row],[Mould No]]), 0), 6),)</f>
        <v>PPSB520Y</v>
      </c>
      <c r="E485">
        <v>586276</v>
      </c>
      <c r="F485">
        <v>4</v>
      </c>
      <c r="G485" t="str" cm="1">
        <f t="array" ref="G485">IFERROR(INDEX(ReferenceCard, MATCH(1, (INDEX(ReferenceCard,,1)=Table1[[#This Row],[SAP No]]) * (INDEX(ReferenceCard,,2)=Table1[[#This Row],[Mould No]]), 0), 3),)</f>
        <v>BC28-0056-D-APH-LEB-604001-MOLD4</v>
      </c>
      <c r="H485">
        <v>0</v>
      </c>
      <c r="I485" cm="1">
        <f t="array" ref="I485">IFERROR(INDEX(ReferenceCard, MATCH(1, (INDEX(ReferenceCard,,1)=Table1[[#This Row],[SAP No]]) * (INDEX(ReferenceCard,,2)=Table1[[#This Row],[Mould No]]), 0), 4),)</f>
        <v>6</v>
      </c>
      <c r="J485" s="4" cm="1">
        <f t="array" ref="J485">IFERROR(INDEX(ReferenceCard, MATCH(1, (INDEX(ReferenceCard,,1)=Table1[[#This Row],[SAP No]]) * (INDEX(ReferenceCard,,2)=Table1[[#This Row],[Mould No]]), 0), 9),)</f>
        <v>12.3</v>
      </c>
      <c r="K485" s="4" cm="1">
        <f t="array" ref="K485">IFERROR(INDEX(ReferenceCard, MATCH(1, (INDEX(ReferenceCard,,1)=Table1[[#This Row],[SAP No]]) * (INDEX(ReferenceCard,,2)=Table1[[#This Row],[Mould No]]), 0), 7),)</f>
        <v>12.3</v>
      </c>
      <c r="L485">
        <v>2248</v>
      </c>
      <c r="M485">
        <v>0</v>
      </c>
      <c r="N485">
        <v>0</v>
      </c>
      <c r="O485">
        <v>0</v>
      </c>
      <c r="P485">
        <f>Table1[[#This Row],[Shot]]*Table1[[#This Row],[Cav]]</f>
        <v>13488</v>
      </c>
      <c r="Q485">
        <v>0</v>
      </c>
      <c r="R485">
        <f>(Table1[[#This Row],[Part Weight (gm)]]*Table1[[#This Row],[Finish Good]])/1000</f>
        <v>0</v>
      </c>
      <c r="S485">
        <v>0</v>
      </c>
      <c r="T485">
        <f>IF(Table1[[#This Row],[Qty Order]]="Sample","-",IF(Table1[[#This Row],[Qty Order]]="RTFN","-",Table1[[#This Row],[Qty Order]]-Table1[[#This Row],[Qty Accumulate]]))</f>
        <v>0</v>
      </c>
      <c r="U485">
        <f>((Table1[[#This Row],[Shift Output]]*Table1[[#This Row],[Part Weight (gm)]])/1000)+Table1[[#This Row],[Reject Startup (kg)]]+Table1[[#This Row],[Reject Purging (kg)]]+Table1[[#This Row],[Reject Preform (kg)]]</f>
        <v>165.90240000000003</v>
      </c>
      <c r="V485" s="37">
        <f>(Table1[[#This Row],[Gross Weight (gm)]]-Table1[[#This Row],[Part Weight (gm)]])*Table1[[#This Row],[Shift Output]]/1000</f>
        <v>0</v>
      </c>
      <c r="W485" s="3">
        <v>0</v>
      </c>
      <c r="X485" s="36">
        <f>Table1[[#This Row],[Reject Startup (kg)]]/Table1[[#This Row],[Material Used]]</f>
        <v>0</v>
      </c>
      <c r="Y485" s="3">
        <v>0</v>
      </c>
      <c r="Z485" s="36">
        <f>Table1[[#This Row],[Reject Prod (kg)]]/Table1[[#This Row],[Material Used]]</f>
        <v>0</v>
      </c>
      <c r="AA485" s="4">
        <v>26.157970428466701</v>
      </c>
      <c r="AB485" s="5">
        <v>9.31</v>
      </c>
      <c r="AC485" s="4" cm="1">
        <f t="array" ref="AC485">IFERROR(INDEX(ReferenceCard, MATCH(1, (INDEX(ReferenceCard,,1)=Table1[[#This Row],[SAP No]]) * (INDEX(ReferenceCard,,2)=Table1[[#This Row],[Mould No]]), 0), 9),)</f>
        <v>12.3</v>
      </c>
      <c r="AD485" s="5">
        <v>0</v>
      </c>
      <c r="AE485" s="5">
        <v>0</v>
      </c>
      <c r="AF485" s="5">
        <v>0</v>
      </c>
      <c r="AG485" s="5">
        <v>0</v>
      </c>
      <c r="AH485" s="5">
        <v>2.6899999999999902</v>
      </c>
      <c r="AI485" s="5">
        <v>0</v>
      </c>
      <c r="AJ485" s="5">
        <v>0</v>
      </c>
      <c r="AL485" s="2"/>
      <c r="AM485" s="2"/>
      <c r="AN485" s="3">
        <v>0</v>
      </c>
      <c r="AO485" s="3">
        <v>0</v>
      </c>
      <c r="AP48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6" spans="1:42" x14ac:dyDescent="0.35">
      <c r="A486" s="1">
        <v>46008</v>
      </c>
      <c r="B486">
        <v>1</v>
      </c>
      <c r="C486" t="s">
        <v>33</v>
      </c>
      <c r="D486" t="str" cm="1">
        <f t="array" ref="D486">IFERROR(INDEX(ReferenceCard, MATCH(1, (INDEX(ReferenceCard,,1)=Table1[[#This Row],[SAP No]]) * (INDEX(ReferenceCard,,2)=Table1[[#This Row],[Mould No]]), 0), 6),)</f>
        <v>PET</v>
      </c>
      <c r="E486">
        <v>541381</v>
      </c>
      <c r="F486">
        <v>0</v>
      </c>
      <c r="G486" t="str" cm="1">
        <f t="array" ref="G486">IFERROR(INDEX(ReferenceCard, MATCH(1, (INDEX(ReferenceCard,,1)=Table1[[#This Row],[SAP No]]) * (INDEX(ReferenceCard,,2)=Table1[[#This Row],[Mould No]]), 0), 3),)</f>
        <v>BC28-1200-K-R-CL</v>
      </c>
      <c r="H486">
        <v>0</v>
      </c>
      <c r="I486" cm="1">
        <f t="array" ref="I486">IFERROR(INDEX(ReferenceCard, MATCH(1, (INDEX(ReferenceCard,,1)=Table1[[#This Row],[SAP No]]) * (INDEX(ReferenceCard,,2)=Table1[[#This Row],[Mould No]]), 0), 4),)</f>
        <v>4</v>
      </c>
      <c r="J486" s="4" cm="1">
        <f t="array" ref="J486">IFERROR(INDEX(ReferenceCard, MATCH(1, (INDEX(ReferenceCard,,1)=Table1[[#This Row],[SAP No]]) * (INDEX(ReferenceCard,,2)=Table1[[#This Row],[Mould No]]), 0), 9),)</f>
        <v>55</v>
      </c>
      <c r="K486" s="4" cm="1">
        <f t="array" ref="K486">IFERROR(INDEX(ReferenceCard, MATCH(1, (INDEX(ReferenceCard,,1)=Table1[[#This Row],[SAP No]]) * (INDEX(ReferenceCard,,2)=Table1[[#This Row],[Mould No]]), 0), 7),)</f>
        <v>55</v>
      </c>
      <c r="L486">
        <v>1207</v>
      </c>
      <c r="M486">
        <v>0</v>
      </c>
      <c r="N486">
        <v>0</v>
      </c>
      <c r="O486">
        <v>0</v>
      </c>
      <c r="P486">
        <f>Table1[[#This Row],[Shot]]*Table1[[#This Row],[Cav]]</f>
        <v>4828</v>
      </c>
      <c r="Q486">
        <v>0</v>
      </c>
      <c r="R486">
        <f>(Table1[[#This Row],[Part Weight (gm)]]*Table1[[#This Row],[Finish Good]])/1000</f>
        <v>0</v>
      </c>
      <c r="S486">
        <v>0</v>
      </c>
      <c r="T486">
        <f>IF(Table1[[#This Row],[Qty Order]]="Sample","-",IF(Table1[[#This Row],[Qty Order]]="RTFN","-",Table1[[#This Row],[Qty Order]]-Table1[[#This Row],[Qty Accumulate]]))</f>
        <v>0</v>
      </c>
      <c r="U486">
        <f>((Table1[[#This Row],[Shift Output]]*Table1[[#This Row],[Part Weight (gm)]])/1000)+Table1[[#This Row],[Reject Startup (kg)]]+Table1[[#This Row],[Reject Purging (kg)]]+Table1[[#This Row],[Reject Preform (kg)]]</f>
        <v>265.54000000000002</v>
      </c>
      <c r="V486" s="37">
        <f>(Table1[[#This Row],[Gross Weight (gm)]]-Table1[[#This Row],[Part Weight (gm)]])*Table1[[#This Row],[Shift Output]]/1000</f>
        <v>0</v>
      </c>
      <c r="W486" s="3">
        <v>0</v>
      </c>
      <c r="X486" s="36">
        <f>Table1[[#This Row],[Reject Startup (kg)]]/Table1[[#This Row],[Material Used]]</f>
        <v>0</v>
      </c>
      <c r="Y486" s="3">
        <v>0</v>
      </c>
      <c r="Z486" s="36">
        <f>Table1[[#This Row],[Reject Prod (kg)]]/Table1[[#This Row],[Material Used]]</f>
        <v>0</v>
      </c>
      <c r="AA486" s="4">
        <v>0</v>
      </c>
      <c r="AB486" s="5">
        <v>4.1100000000000003</v>
      </c>
      <c r="AC486" s="4" cm="1">
        <f t="array" ref="AC486">IFERROR(INDEX(ReferenceCard, MATCH(1, (INDEX(ReferenceCard,,1)=Table1[[#This Row],[SAP No]]) * (INDEX(ReferenceCard,,2)=Table1[[#This Row],[Mould No]]), 0), 9),)</f>
        <v>55</v>
      </c>
      <c r="AD486" s="5">
        <v>0</v>
      </c>
      <c r="AE486" s="5">
        <v>0</v>
      </c>
      <c r="AF486" s="5">
        <v>0</v>
      </c>
      <c r="AG486" s="5">
        <v>0.23</v>
      </c>
      <c r="AH486" s="5">
        <v>7.66</v>
      </c>
      <c r="AI486" s="5">
        <v>0</v>
      </c>
      <c r="AJ486" s="5">
        <v>0</v>
      </c>
      <c r="AL486" s="2"/>
      <c r="AM486" s="2"/>
      <c r="AN486" s="3">
        <v>0</v>
      </c>
      <c r="AO486" s="3">
        <v>0</v>
      </c>
      <c r="AP48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7" spans="1:42" x14ac:dyDescent="0.35">
      <c r="A487" s="1">
        <v>46008</v>
      </c>
      <c r="B487">
        <v>1</v>
      </c>
      <c r="C487" t="s">
        <v>35</v>
      </c>
      <c r="D487" t="str" cm="1">
        <f t="array" ref="D487">IFERROR(INDEX(ReferenceCard, MATCH(1, (INDEX(ReferenceCard,,1)=Table1[[#This Row],[SAP No]]) * (INDEX(ReferenceCard,,2)=Table1[[#This Row],[Mould No]]), 0), 6),)</f>
        <v>PPSB520Y</v>
      </c>
      <c r="E487">
        <v>552181</v>
      </c>
      <c r="F487">
        <v>1</v>
      </c>
      <c r="G487" t="str" cm="1">
        <f t="array" ref="G487">IFERROR(INDEX(ReferenceCard, MATCH(1, (INDEX(ReferenceCard,,1)=Table1[[#This Row],[SAP No]]) * (INDEX(ReferenceCard,,2)=Table1[[#This Row],[Mould No]]), 0), 3),)</f>
        <v>BC28-0090-D-APH-5180-3538-PP-6 NOTCHES-MOLD1</v>
      </c>
      <c r="H487">
        <v>0</v>
      </c>
      <c r="I487" cm="1">
        <f t="array" ref="I487">IFERROR(INDEX(ReferenceCard, MATCH(1, (INDEX(ReferenceCard,,1)=Table1[[#This Row],[SAP No]]) * (INDEX(ReferenceCard,,2)=Table1[[#This Row],[Mould No]]), 0), 4),)</f>
        <v>6</v>
      </c>
      <c r="J487" s="4" cm="1">
        <f t="array" ref="J487">IFERROR(INDEX(ReferenceCard, MATCH(1, (INDEX(ReferenceCard,,1)=Table1[[#This Row],[SAP No]]) * (INDEX(ReferenceCard,,2)=Table1[[#This Row],[Mould No]]), 0), 9),)</f>
        <v>18.8</v>
      </c>
      <c r="K487" s="4" cm="1">
        <f t="array" ref="K487">IFERROR(INDEX(ReferenceCard, MATCH(1, (INDEX(ReferenceCard,,1)=Table1[[#This Row],[SAP No]]) * (INDEX(ReferenceCard,,2)=Table1[[#This Row],[Mould No]]), 0), 7),)</f>
        <v>18.8</v>
      </c>
      <c r="L487">
        <v>3971</v>
      </c>
      <c r="M487">
        <v>0</v>
      </c>
      <c r="N487">
        <v>0</v>
      </c>
      <c r="O487">
        <v>0</v>
      </c>
      <c r="P487">
        <f>Table1[[#This Row],[Shot]]*Table1[[#This Row],[Cav]]</f>
        <v>23826</v>
      </c>
      <c r="Q487">
        <v>0</v>
      </c>
      <c r="R487">
        <f>(Table1[[#This Row],[Part Weight (gm)]]*Table1[[#This Row],[Finish Good]])/1000</f>
        <v>0</v>
      </c>
      <c r="S487">
        <v>0</v>
      </c>
      <c r="T487">
        <f>IF(Table1[[#This Row],[Qty Order]]="Sample","-",IF(Table1[[#This Row],[Qty Order]]="RTFN","-",Table1[[#This Row],[Qty Order]]-Table1[[#This Row],[Qty Accumulate]]))</f>
        <v>0</v>
      </c>
      <c r="U487">
        <f>((Table1[[#This Row],[Shift Output]]*Table1[[#This Row],[Part Weight (gm)]])/1000)+Table1[[#This Row],[Reject Startup (kg)]]+Table1[[#This Row],[Reject Purging (kg)]]+Table1[[#This Row],[Reject Preform (kg)]]</f>
        <v>447.92879999999997</v>
      </c>
      <c r="V487" s="37">
        <f>(Table1[[#This Row],[Gross Weight (gm)]]-Table1[[#This Row],[Part Weight (gm)]])*Table1[[#This Row],[Shift Output]]/1000</f>
        <v>0</v>
      </c>
      <c r="W487" s="3">
        <v>0</v>
      </c>
      <c r="X487" s="36">
        <f>Table1[[#This Row],[Reject Startup (kg)]]/Table1[[#This Row],[Material Used]]</f>
        <v>0</v>
      </c>
      <c r="Y487" s="3">
        <v>0</v>
      </c>
      <c r="Z487" s="36">
        <f>Table1[[#This Row],[Reject Prod (kg)]]/Table1[[#This Row],[Material Used]]</f>
        <v>0</v>
      </c>
      <c r="AA487" s="4">
        <v>31.092500686645501</v>
      </c>
      <c r="AB487" s="5">
        <v>12</v>
      </c>
      <c r="AC487" s="4" cm="1">
        <f t="array" ref="AC487">IFERROR(INDEX(ReferenceCard, MATCH(1, (INDEX(ReferenceCard,,1)=Table1[[#This Row],[SAP No]]) * (INDEX(ReferenceCard,,2)=Table1[[#This Row],[Mould No]]), 0), 9),)</f>
        <v>18.8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L487" s="2"/>
      <c r="AM487" s="2"/>
      <c r="AN487" s="3">
        <v>0</v>
      </c>
      <c r="AO487" s="3">
        <v>0</v>
      </c>
      <c r="AP48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8" spans="1:42" x14ac:dyDescent="0.35">
      <c r="A488" s="1">
        <v>46008</v>
      </c>
      <c r="B488">
        <v>1</v>
      </c>
      <c r="C488" t="s">
        <v>18</v>
      </c>
      <c r="D488" t="str" cm="1">
        <f t="array" ref="D488">IFERROR(INDEX(ReferenceCard, MATCH(1, (INDEX(ReferenceCard,,1)=Table1[[#This Row],[SAP No]]) * (INDEX(ReferenceCard,,2)=Table1[[#This Row],[Mould No]]), 0), 6),)</f>
        <v>PPSB520Y</v>
      </c>
      <c r="E488">
        <v>555979</v>
      </c>
      <c r="F488">
        <v>4</v>
      </c>
      <c r="G488" t="str" cm="1">
        <f t="array" ref="G488">IFERROR(INDEX(ReferenceCard, MATCH(1, (INDEX(ReferenceCard,,1)=Table1[[#This Row],[SAP No]]) * (INDEX(ReferenceCard,,2)=Table1[[#This Row],[Mould No]]), 0), 3),)</f>
        <v>BC28-0170-D-APH-5180-3539-PP-6 NOTCHES-MOLD4</v>
      </c>
      <c r="H488">
        <v>0</v>
      </c>
      <c r="I488" cm="1">
        <f t="array" ref="I488">IFERROR(INDEX(ReferenceCard, MATCH(1, (INDEX(ReferenceCard,,1)=Table1[[#This Row],[SAP No]]) * (INDEX(ReferenceCard,,2)=Table1[[#This Row],[Mould No]]), 0), 4),)</f>
        <v>6</v>
      </c>
      <c r="J488" s="4" cm="1">
        <f t="array" ref="J488">IFERROR(INDEX(ReferenceCard, MATCH(1, (INDEX(ReferenceCard,,1)=Table1[[#This Row],[SAP No]]) * (INDEX(ReferenceCard,,2)=Table1[[#This Row],[Mould No]]), 0), 9),)</f>
        <v>28</v>
      </c>
      <c r="K488" s="4" cm="1">
        <f t="array" ref="K488">IFERROR(INDEX(ReferenceCard, MATCH(1, (INDEX(ReferenceCard,,1)=Table1[[#This Row],[SAP No]]) * (INDEX(ReferenceCard,,2)=Table1[[#This Row],[Mould No]]), 0), 7),)</f>
        <v>28</v>
      </c>
      <c r="L488">
        <v>977</v>
      </c>
      <c r="M488">
        <v>0</v>
      </c>
      <c r="N488">
        <v>0</v>
      </c>
      <c r="O488">
        <v>0</v>
      </c>
      <c r="P488">
        <f>Table1[[#This Row],[Shot]]*Table1[[#This Row],[Cav]]</f>
        <v>5862</v>
      </c>
      <c r="Q488">
        <v>0</v>
      </c>
      <c r="R488">
        <f>(Table1[[#This Row],[Part Weight (gm)]]*Table1[[#This Row],[Finish Good]])/1000</f>
        <v>0</v>
      </c>
      <c r="S488">
        <v>0</v>
      </c>
      <c r="T488">
        <f>IF(Table1[[#This Row],[Qty Order]]="Sample","-",IF(Table1[[#This Row],[Qty Order]]="RTFN","-",Table1[[#This Row],[Qty Order]]-Table1[[#This Row],[Qty Accumulate]]))</f>
        <v>0</v>
      </c>
      <c r="U488">
        <f>((Table1[[#This Row],[Shift Output]]*Table1[[#This Row],[Part Weight (gm)]])/1000)+Table1[[#This Row],[Reject Startup (kg)]]+Table1[[#This Row],[Reject Purging (kg)]]+Table1[[#This Row],[Reject Preform (kg)]]</f>
        <v>164.136</v>
      </c>
      <c r="V488" s="37">
        <f>(Table1[[#This Row],[Gross Weight (gm)]]-Table1[[#This Row],[Part Weight (gm)]])*Table1[[#This Row],[Shift Output]]/1000</f>
        <v>0</v>
      </c>
      <c r="W488" s="3">
        <v>0</v>
      </c>
      <c r="X488" s="36">
        <f>Table1[[#This Row],[Reject Startup (kg)]]/Table1[[#This Row],[Material Used]]</f>
        <v>0</v>
      </c>
      <c r="Y488" s="3">
        <v>0</v>
      </c>
      <c r="Z488" s="36">
        <f>Table1[[#This Row],[Reject Prod (kg)]]/Table1[[#This Row],[Material Used]]</f>
        <v>0</v>
      </c>
      <c r="AA488" s="4">
        <v>43.5</v>
      </c>
      <c r="AB488" s="5">
        <v>12</v>
      </c>
      <c r="AC488" s="4" cm="1">
        <f t="array" ref="AC488">IFERROR(INDEX(ReferenceCard, MATCH(1, (INDEX(ReferenceCard,,1)=Table1[[#This Row],[SAP No]]) * (INDEX(ReferenceCard,,2)=Table1[[#This Row],[Mould No]]), 0), 9),)</f>
        <v>28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L488" s="2"/>
      <c r="AM488" s="2"/>
      <c r="AN488" s="3">
        <v>0</v>
      </c>
      <c r="AO488" s="3">
        <v>0</v>
      </c>
      <c r="AP48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89" spans="1:42" x14ac:dyDescent="0.35">
      <c r="A489" s="1">
        <v>46008</v>
      </c>
      <c r="B489">
        <v>1</v>
      </c>
      <c r="C489" t="s">
        <v>0</v>
      </c>
      <c r="D489" t="str" cm="1">
        <f t="array" ref="D489">IFERROR(INDEX(ReferenceCard, MATCH(1, (INDEX(ReferenceCard,,1)=Table1[[#This Row],[SAP No]]) * (INDEX(ReferenceCard,,2)=Table1[[#This Row],[Mould No]]), 0), 6),)</f>
        <v>PET</v>
      </c>
      <c r="E489">
        <v>347623</v>
      </c>
      <c r="F489">
        <v>0</v>
      </c>
      <c r="G489" t="str" cm="1">
        <f t="array" ref="G489">IFERROR(INDEX(ReferenceCard, MATCH(1, (INDEX(ReferenceCard,,1)=Table1[[#This Row],[SAP No]]) * (INDEX(ReferenceCard,,2)=Table1[[#This Row],[Mould No]]), 0), 3),)</f>
        <v>BC28-0375-K-R-CL</v>
      </c>
      <c r="H489">
        <v>0</v>
      </c>
      <c r="I489" cm="1">
        <f t="array" ref="I489">IFERROR(INDEX(ReferenceCard, MATCH(1, (INDEX(ReferenceCard,,1)=Table1[[#This Row],[SAP No]]) * (INDEX(ReferenceCard,,2)=Table1[[#This Row],[Mould No]]), 0), 4),)</f>
        <v>4</v>
      </c>
      <c r="J489" s="4" cm="1">
        <f t="array" ref="J489">IFERROR(INDEX(ReferenceCard, MATCH(1, (INDEX(ReferenceCard,,1)=Table1[[#This Row],[SAP No]]) * (INDEX(ReferenceCard,,2)=Table1[[#This Row],[Mould No]]), 0), 9),)</f>
        <v>35.6</v>
      </c>
      <c r="K489" s="4" cm="1">
        <f t="array" ref="K489">IFERROR(INDEX(ReferenceCard, MATCH(1, (INDEX(ReferenceCard,,1)=Table1[[#This Row],[SAP No]]) * (INDEX(ReferenceCard,,2)=Table1[[#This Row],[Mould No]]), 0), 7),)</f>
        <v>35.6</v>
      </c>
      <c r="L489">
        <v>0</v>
      </c>
      <c r="M489">
        <v>0</v>
      </c>
      <c r="N489">
        <v>0</v>
      </c>
      <c r="O489">
        <v>0</v>
      </c>
      <c r="P489">
        <f>Table1[[#This Row],[Shot]]*Table1[[#This Row],[Cav]]</f>
        <v>0</v>
      </c>
      <c r="Q489">
        <v>0</v>
      </c>
      <c r="R489">
        <f>(Table1[[#This Row],[Part Weight (gm)]]*Table1[[#This Row],[Finish Good]])/1000</f>
        <v>0</v>
      </c>
      <c r="S489">
        <v>0</v>
      </c>
      <c r="T489">
        <f>IF(Table1[[#This Row],[Qty Order]]="Sample","-",IF(Table1[[#This Row],[Qty Order]]="RTFN","-",Table1[[#This Row],[Qty Order]]-Table1[[#This Row],[Qty Accumulate]]))</f>
        <v>0</v>
      </c>
      <c r="U489">
        <f>((Table1[[#This Row],[Shift Output]]*Table1[[#This Row],[Part Weight (gm)]])/1000)+Table1[[#This Row],[Reject Startup (kg)]]+Table1[[#This Row],[Reject Purging (kg)]]+Table1[[#This Row],[Reject Preform (kg)]]</f>
        <v>0</v>
      </c>
      <c r="V489" s="37">
        <f>(Table1[[#This Row],[Gross Weight (gm)]]-Table1[[#This Row],[Part Weight (gm)]])*Table1[[#This Row],[Shift Output]]/1000</f>
        <v>0</v>
      </c>
      <c r="W489" s="3">
        <v>0</v>
      </c>
      <c r="X489" s="36" t="e">
        <f>Table1[[#This Row],[Reject Startup (kg)]]/Table1[[#This Row],[Material Used]]</f>
        <v>#DIV/0!</v>
      </c>
      <c r="Y489" s="3">
        <v>0</v>
      </c>
      <c r="Z489" s="36" t="e">
        <f>Table1[[#This Row],[Reject Prod (kg)]]/Table1[[#This Row],[Material Used]]</f>
        <v>#DIV/0!</v>
      </c>
      <c r="AA489" s="4">
        <v>0</v>
      </c>
      <c r="AB489" s="5">
        <v>0</v>
      </c>
      <c r="AC489" s="4" cm="1">
        <f t="array" ref="AC489">IFERROR(INDEX(ReferenceCard, MATCH(1, (INDEX(ReferenceCard,,1)=Table1[[#This Row],[SAP No]]) * (INDEX(ReferenceCard,,2)=Table1[[#This Row],[Mould No]]), 0), 9),)</f>
        <v>35.6</v>
      </c>
      <c r="AD489" s="5">
        <v>0</v>
      </c>
      <c r="AE489" s="5">
        <v>0</v>
      </c>
      <c r="AF489" s="5">
        <v>0</v>
      </c>
      <c r="AG489" s="5">
        <v>0</v>
      </c>
      <c r="AH489" s="5">
        <v>12</v>
      </c>
      <c r="AI489" s="5">
        <v>0</v>
      </c>
      <c r="AJ489" s="5">
        <v>0</v>
      </c>
      <c r="AK489" t="s">
        <v>115</v>
      </c>
      <c r="AL489" s="2"/>
      <c r="AM489" s="2"/>
      <c r="AN489" s="3">
        <v>0</v>
      </c>
      <c r="AO489" s="3">
        <v>0</v>
      </c>
      <c r="AP48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0" spans="1:42" x14ac:dyDescent="0.35">
      <c r="A490" s="1">
        <v>46008</v>
      </c>
      <c r="B490">
        <v>1</v>
      </c>
      <c r="C490" t="s">
        <v>3</v>
      </c>
      <c r="D490" t="str" cm="1">
        <f t="array" ref="D490">IFERROR(INDEX(ReferenceCard, MATCH(1, (INDEX(ReferenceCard,,1)=Table1[[#This Row],[SAP No]]) * (INDEX(ReferenceCard,,2)=Table1[[#This Row],[Mould No]]), 0), 6),)</f>
        <v>PET</v>
      </c>
      <c r="E490">
        <v>580324</v>
      </c>
      <c r="F490">
        <v>0</v>
      </c>
      <c r="G490" t="str" cm="1">
        <f t="array" ref="G490">IFERROR(INDEX(ReferenceCard, MATCH(1, (INDEX(ReferenceCard,,1)=Table1[[#This Row],[SAP No]]) * (INDEX(ReferenceCard,,2)=Table1[[#This Row],[Mould No]]), 0), 3),)</f>
        <v>BC28-0060-M-R-AM-LW</v>
      </c>
      <c r="H490">
        <v>0</v>
      </c>
      <c r="I490" cm="1">
        <f t="array" ref="I490">IFERROR(INDEX(ReferenceCard, MATCH(1, (INDEX(ReferenceCard,,1)=Table1[[#This Row],[SAP No]]) * (INDEX(ReferenceCard,,2)=Table1[[#This Row],[Mould No]]), 0), 4),)</f>
        <v>4</v>
      </c>
      <c r="J490" s="4" cm="1">
        <f t="array" ref="J490">IFERROR(INDEX(ReferenceCard, MATCH(1, (INDEX(ReferenceCard,,1)=Table1[[#This Row],[SAP No]]) * (INDEX(ReferenceCard,,2)=Table1[[#This Row],[Mould No]]), 0), 9),)</f>
        <v>11.3</v>
      </c>
      <c r="K490" s="4" cm="1">
        <f t="array" ref="K490">IFERROR(INDEX(ReferenceCard, MATCH(1, (INDEX(ReferenceCard,,1)=Table1[[#This Row],[SAP No]]) * (INDEX(ReferenceCard,,2)=Table1[[#This Row],[Mould No]]), 0), 7),)</f>
        <v>11.3</v>
      </c>
      <c r="L490">
        <v>2646</v>
      </c>
      <c r="M490">
        <v>0</v>
      </c>
      <c r="N490">
        <v>0</v>
      </c>
      <c r="O490">
        <v>0</v>
      </c>
      <c r="P490">
        <f>Table1[[#This Row],[Shot]]*Table1[[#This Row],[Cav]]</f>
        <v>10584</v>
      </c>
      <c r="Q490">
        <v>0</v>
      </c>
      <c r="R490">
        <f>(Table1[[#This Row],[Part Weight (gm)]]*Table1[[#This Row],[Finish Good]])/1000</f>
        <v>0</v>
      </c>
      <c r="S490">
        <v>0</v>
      </c>
      <c r="T490">
        <f>IF(Table1[[#This Row],[Qty Order]]="Sample","-",IF(Table1[[#This Row],[Qty Order]]="RTFN","-",Table1[[#This Row],[Qty Order]]-Table1[[#This Row],[Qty Accumulate]]))</f>
        <v>0</v>
      </c>
      <c r="U490">
        <f>((Table1[[#This Row],[Shift Output]]*Table1[[#This Row],[Part Weight (gm)]])/1000)+Table1[[#This Row],[Reject Startup (kg)]]+Table1[[#This Row],[Reject Purging (kg)]]+Table1[[#This Row],[Reject Preform (kg)]]</f>
        <v>119.59920000000001</v>
      </c>
      <c r="V490" s="37">
        <f>(Table1[[#This Row],[Gross Weight (gm)]]-Table1[[#This Row],[Part Weight (gm)]])*Table1[[#This Row],[Shift Output]]/1000</f>
        <v>0</v>
      </c>
      <c r="W490" s="3">
        <v>0</v>
      </c>
      <c r="X490" s="36">
        <f>Table1[[#This Row],[Reject Startup (kg)]]/Table1[[#This Row],[Material Used]]</f>
        <v>0</v>
      </c>
      <c r="Y490" s="3">
        <v>0</v>
      </c>
      <c r="Z490" s="36">
        <f>Table1[[#This Row],[Reject Prod (kg)]]/Table1[[#This Row],[Material Used]]</f>
        <v>0</v>
      </c>
      <c r="AA490" s="4">
        <v>22.236040115356399</v>
      </c>
      <c r="AB490" s="5">
        <v>7.66</v>
      </c>
      <c r="AC490" s="4" cm="1">
        <f t="array" ref="AC490">IFERROR(INDEX(ReferenceCard, MATCH(1, (INDEX(ReferenceCard,,1)=Table1[[#This Row],[SAP No]]) * (INDEX(ReferenceCard,,2)=Table1[[#This Row],[Mould No]]), 0), 9),)</f>
        <v>11.3</v>
      </c>
      <c r="AD490" s="5">
        <v>4.3399999999999901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t="s">
        <v>116</v>
      </c>
      <c r="AL490" s="2" t="s">
        <v>117</v>
      </c>
      <c r="AM490" s="2" t="s">
        <v>118</v>
      </c>
      <c r="AN490" s="3">
        <v>0</v>
      </c>
      <c r="AO490" s="3">
        <v>0</v>
      </c>
      <c r="AP49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1" spans="1:42" x14ac:dyDescent="0.35">
      <c r="A491" s="1">
        <v>46008</v>
      </c>
      <c r="B491">
        <v>1</v>
      </c>
      <c r="C491" t="s">
        <v>5</v>
      </c>
      <c r="D491" t="str" cm="1">
        <f t="array" ref="D491">IFERROR(INDEX(ReferenceCard, MATCH(1, (INDEX(ReferenceCard,,1)=Table1[[#This Row],[SAP No]]) * (INDEX(ReferenceCard,,2)=Table1[[#This Row],[Mould No]]), 0), 6),)</f>
        <v>PET</v>
      </c>
      <c r="E491">
        <v>543590</v>
      </c>
      <c r="F491">
        <v>0</v>
      </c>
      <c r="G491" t="str" cm="1">
        <f t="array" ref="G491">IFERROR(INDEX(ReferenceCard, MATCH(1, (INDEX(ReferenceCard,,1)=Table1[[#This Row],[SAP No]]) * (INDEX(ReferenceCard,,2)=Table1[[#This Row],[Mould No]]), 0), 3),)</f>
        <v>BC28-0130-R-R-AM</v>
      </c>
      <c r="H491">
        <v>0</v>
      </c>
      <c r="I491" cm="1">
        <f t="array" ref="I491">IFERROR(INDEX(ReferenceCard, MATCH(1, (INDEX(ReferenceCard,,1)=Table1[[#This Row],[SAP No]]) * (INDEX(ReferenceCard,,2)=Table1[[#This Row],[Mould No]]), 0), 4),)</f>
        <v>4</v>
      </c>
      <c r="J491" s="4" cm="1">
        <f t="array" ref="J491">IFERROR(INDEX(ReferenceCard, MATCH(1, (INDEX(ReferenceCard,,1)=Table1[[#This Row],[SAP No]]) * (INDEX(ReferenceCard,,2)=Table1[[#This Row],[Mould No]]), 0), 9),)</f>
        <v>19</v>
      </c>
      <c r="K491" s="4" cm="1">
        <f t="array" ref="K491">IFERROR(INDEX(ReferenceCard, MATCH(1, (INDEX(ReferenceCard,,1)=Table1[[#This Row],[SAP No]]) * (INDEX(ReferenceCard,,2)=Table1[[#This Row],[Mould No]]), 0), 7),)</f>
        <v>19</v>
      </c>
      <c r="L491">
        <v>2597</v>
      </c>
      <c r="M491">
        <v>0</v>
      </c>
      <c r="N491">
        <v>0</v>
      </c>
      <c r="O491">
        <v>0</v>
      </c>
      <c r="P491">
        <f>Table1[[#This Row],[Shot]]*Table1[[#This Row],[Cav]]</f>
        <v>10388</v>
      </c>
      <c r="Q491">
        <v>0</v>
      </c>
      <c r="R491">
        <f>(Table1[[#This Row],[Part Weight (gm)]]*Table1[[#This Row],[Finish Good]])/1000</f>
        <v>0</v>
      </c>
      <c r="S491">
        <v>0</v>
      </c>
      <c r="T491">
        <f>IF(Table1[[#This Row],[Qty Order]]="Sample","-",IF(Table1[[#This Row],[Qty Order]]="RTFN","-",Table1[[#This Row],[Qty Order]]-Table1[[#This Row],[Qty Accumulate]]))</f>
        <v>0</v>
      </c>
      <c r="U491">
        <f>((Table1[[#This Row],[Shift Output]]*Table1[[#This Row],[Part Weight (gm)]])/1000)+Table1[[#This Row],[Reject Startup (kg)]]+Table1[[#This Row],[Reject Purging (kg)]]+Table1[[#This Row],[Reject Preform (kg)]]</f>
        <v>197.37200000000001</v>
      </c>
      <c r="V491" s="37">
        <f>(Table1[[#This Row],[Gross Weight (gm)]]-Table1[[#This Row],[Part Weight (gm)]])*Table1[[#This Row],[Shift Output]]/1000</f>
        <v>0</v>
      </c>
      <c r="W491" s="3">
        <v>0</v>
      </c>
      <c r="X491" s="36">
        <f>Table1[[#This Row],[Reject Startup (kg)]]/Table1[[#This Row],[Material Used]]</f>
        <v>0</v>
      </c>
      <c r="Y491" s="3">
        <v>0</v>
      </c>
      <c r="Z491" s="36">
        <f>Table1[[#This Row],[Reject Prod (kg)]]/Table1[[#This Row],[Material Used]]</f>
        <v>0</v>
      </c>
      <c r="AA491" s="4">
        <v>22.648124694824201</v>
      </c>
      <c r="AB491" s="5">
        <v>8.23</v>
      </c>
      <c r="AC491" s="4" cm="1">
        <f t="array" ref="AC491">IFERROR(INDEX(ReferenceCard, MATCH(1, (INDEX(ReferenceCard,,1)=Table1[[#This Row],[SAP No]]) * (INDEX(ReferenceCard,,2)=Table1[[#This Row],[Mould No]]), 0), 9),)</f>
        <v>19</v>
      </c>
      <c r="AD491" s="5">
        <v>0</v>
      </c>
      <c r="AE491" s="5">
        <v>0</v>
      </c>
      <c r="AF491" s="5">
        <v>0</v>
      </c>
      <c r="AG491" s="5">
        <v>0</v>
      </c>
      <c r="AH491" s="5">
        <v>3.77</v>
      </c>
      <c r="AI491" s="5">
        <v>0</v>
      </c>
      <c r="AJ491" s="5">
        <v>0</v>
      </c>
      <c r="AL491" s="2"/>
      <c r="AM491" s="2"/>
      <c r="AN491" s="3">
        <v>0</v>
      </c>
      <c r="AO491" s="3">
        <v>0</v>
      </c>
      <c r="AP49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2" spans="1:42" x14ac:dyDescent="0.35">
      <c r="A492" s="1">
        <v>46007</v>
      </c>
      <c r="B492">
        <v>2</v>
      </c>
      <c r="C492" t="s">
        <v>0</v>
      </c>
      <c r="D492" t="str" cm="1">
        <f t="array" ref="D492">IFERROR(INDEX(ReferenceCard, MATCH(1, (INDEX(ReferenceCard,,1)=Table1[[#This Row],[SAP No]]) * (INDEX(ReferenceCard,,2)=Table1[[#This Row],[Mould No]]), 0), 6),)</f>
        <v>PET</v>
      </c>
      <c r="E492">
        <v>347623</v>
      </c>
      <c r="F492">
        <v>0</v>
      </c>
      <c r="G492" t="str" cm="1">
        <f t="array" ref="G492">IFERROR(INDEX(ReferenceCard, MATCH(1, (INDEX(ReferenceCard,,1)=Table1[[#This Row],[SAP No]]) * (INDEX(ReferenceCard,,2)=Table1[[#This Row],[Mould No]]), 0), 3),)</f>
        <v>BC28-0375-K-R-CL</v>
      </c>
      <c r="H492">
        <v>0</v>
      </c>
      <c r="I492" cm="1">
        <f t="array" ref="I492">IFERROR(INDEX(ReferenceCard, MATCH(1, (INDEX(ReferenceCard,,1)=Table1[[#This Row],[SAP No]]) * (INDEX(ReferenceCard,,2)=Table1[[#This Row],[Mould No]]), 0), 4),)</f>
        <v>4</v>
      </c>
      <c r="J492" s="4" cm="1">
        <f t="array" ref="J492">IFERROR(INDEX(ReferenceCard, MATCH(1, (INDEX(ReferenceCard,,1)=Table1[[#This Row],[SAP No]]) * (INDEX(ReferenceCard,,2)=Table1[[#This Row],[Mould No]]), 0), 9),)</f>
        <v>35.6</v>
      </c>
      <c r="K492" s="4" cm="1">
        <f t="array" ref="K492">IFERROR(INDEX(ReferenceCard, MATCH(1, (INDEX(ReferenceCard,,1)=Table1[[#This Row],[SAP No]]) * (INDEX(ReferenceCard,,2)=Table1[[#This Row],[Mould No]]), 0), 7),)</f>
        <v>35.6</v>
      </c>
      <c r="L492">
        <v>0</v>
      </c>
      <c r="M492">
        <v>0</v>
      </c>
      <c r="N492">
        <v>0</v>
      </c>
      <c r="O492">
        <v>0</v>
      </c>
      <c r="P492">
        <f>Table1[[#This Row],[Shot]]*Table1[[#This Row],[Cav]]</f>
        <v>0</v>
      </c>
      <c r="Q492">
        <v>0</v>
      </c>
      <c r="R492">
        <f>(Table1[[#This Row],[Part Weight (gm)]]*Table1[[#This Row],[Finish Good]])/1000</f>
        <v>0</v>
      </c>
      <c r="S492">
        <v>0</v>
      </c>
      <c r="T492">
        <f>IF(Table1[[#This Row],[Qty Order]]="Sample","-",IF(Table1[[#This Row],[Qty Order]]="RTFN","-",Table1[[#This Row],[Qty Order]]-Table1[[#This Row],[Qty Accumulate]]))</f>
        <v>0</v>
      </c>
      <c r="U492">
        <f>((Table1[[#This Row],[Shift Output]]*Table1[[#This Row],[Part Weight (gm)]])/1000)+Table1[[#This Row],[Reject Startup (kg)]]+Table1[[#This Row],[Reject Purging (kg)]]+Table1[[#This Row],[Reject Preform (kg)]]</f>
        <v>0</v>
      </c>
      <c r="V492" s="37">
        <f>(Table1[[#This Row],[Gross Weight (gm)]]-Table1[[#This Row],[Part Weight (gm)]])*Table1[[#This Row],[Shift Output]]/1000</f>
        <v>0</v>
      </c>
      <c r="W492" s="3">
        <v>0</v>
      </c>
      <c r="X492" s="36" t="e">
        <f>Table1[[#This Row],[Reject Startup (kg)]]/Table1[[#This Row],[Material Used]]</f>
        <v>#DIV/0!</v>
      </c>
      <c r="Y492" s="3">
        <v>0</v>
      </c>
      <c r="Z492" s="36" t="e">
        <f>Table1[[#This Row],[Reject Prod (kg)]]/Table1[[#This Row],[Material Used]]</f>
        <v>#DIV/0!</v>
      </c>
      <c r="AA492" s="4">
        <v>0</v>
      </c>
      <c r="AB492" s="5">
        <v>0</v>
      </c>
      <c r="AC492" s="4" cm="1">
        <f t="array" ref="AC492">IFERROR(INDEX(ReferenceCard, MATCH(1, (INDEX(ReferenceCard,,1)=Table1[[#This Row],[SAP No]]) * (INDEX(ReferenceCard,,2)=Table1[[#This Row],[Mould No]]), 0), 9),)</f>
        <v>35.6</v>
      </c>
      <c r="AD492" s="5">
        <v>0</v>
      </c>
      <c r="AE492" s="5">
        <v>0</v>
      </c>
      <c r="AF492" s="5">
        <v>0</v>
      </c>
      <c r="AG492" s="5">
        <v>0</v>
      </c>
      <c r="AH492" s="5">
        <v>12</v>
      </c>
      <c r="AI492" s="5">
        <v>0</v>
      </c>
      <c r="AJ492" s="5">
        <v>0</v>
      </c>
      <c r="AK492" t="s">
        <v>102</v>
      </c>
      <c r="AL492" s="2"/>
      <c r="AM492" s="2"/>
      <c r="AN492" s="3">
        <v>0</v>
      </c>
      <c r="AO492" s="3">
        <v>0</v>
      </c>
      <c r="AP49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3" spans="1:42" x14ac:dyDescent="0.35">
      <c r="A493" s="1">
        <v>46007</v>
      </c>
      <c r="B493">
        <v>2</v>
      </c>
      <c r="C493" t="s">
        <v>33</v>
      </c>
      <c r="D493" t="str" cm="1">
        <f t="array" ref="D493">IFERROR(INDEX(ReferenceCard, MATCH(1, (INDEX(ReferenceCard,,1)=Table1[[#This Row],[SAP No]]) * (INDEX(ReferenceCard,,2)=Table1[[#This Row],[Mould No]]), 0), 6),)</f>
        <v>PET</v>
      </c>
      <c r="E493">
        <v>541381</v>
      </c>
      <c r="F493">
        <v>0</v>
      </c>
      <c r="G493" t="str" cm="1">
        <f t="array" ref="G493">IFERROR(INDEX(ReferenceCard, MATCH(1, (INDEX(ReferenceCard,,1)=Table1[[#This Row],[SAP No]]) * (INDEX(ReferenceCard,,2)=Table1[[#This Row],[Mould No]]), 0), 3),)</f>
        <v>BC28-1200-K-R-CL</v>
      </c>
      <c r="H493">
        <v>0</v>
      </c>
      <c r="I493" cm="1">
        <f t="array" ref="I493">IFERROR(INDEX(ReferenceCard, MATCH(1, (INDEX(ReferenceCard,,1)=Table1[[#This Row],[SAP No]]) * (INDEX(ReferenceCard,,2)=Table1[[#This Row],[Mould No]]), 0), 4),)</f>
        <v>4</v>
      </c>
      <c r="J493" s="4" cm="1">
        <f t="array" ref="J493">IFERROR(INDEX(ReferenceCard, MATCH(1, (INDEX(ReferenceCard,,1)=Table1[[#This Row],[SAP No]]) * (INDEX(ReferenceCard,,2)=Table1[[#This Row],[Mould No]]), 0), 9),)</f>
        <v>55</v>
      </c>
      <c r="K493" s="4" cm="1">
        <f t="array" ref="K493">IFERROR(INDEX(ReferenceCard, MATCH(1, (INDEX(ReferenceCard,,1)=Table1[[#This Row],[SAP No]]) * (INDEX(ReferenceCard,,2)=Table1[[#This Row],[Mould No]]), 0), 7),)</f>
        <v>55</v>
      </c>
      <c r="L493">
        <v>107</v>
      </c>
      <c r="M493">
        <v>0</v>
      </c>
      <c r="N493">
        <v>0</v>
      </c>
      <c r="O493">
        <v>0</v>
      </c>
      <c r="P493">
        <f>Table1[[#This Row],[Shot]]*Table1[[#This Row],[Cav]]</f>
        <v>428</v>
      </c>
      <c r="Q493">
        <v>0</v>
      </c>
      <c r="R493">
        <f>(Table1[[#This Row],[Part Weight (gm)]]*Table1[[#This Row],[Finish Good]])/1000</f>
        <v>0</v>
      </c>
      <c r="S493">
        <v>0</v>
      </c>
      <c r="T493">
        <f>IF(Table1[[#This Row],[Qty Order]]="Sample","-",IF(Table1[[#This Row],[Qty Order]]="RTFN","-",Table1[[#This Row],[Qty Order]]-Table1[[#This Row],[Qty Accumulate]]))</f>
        <v>0</v>
      </c>
      <c r="U493">
        <f>((Table1[[#This Row],[Shift Output]]*Table1[[#This Row],[Part Weight (gm)]])/1000)+Table1[[#This Row],[Reject Startup (kg)]]+Table1[[#This Row],[Reject Purging (kg)]]+Table1[[#This Row],[Reject Preform (kg)]]</f>
        <v>23.54</v>
      </c>
      <c r="V493" s="37">
        <f>(Table1[[#This Row],[Gross Weight (gm)]]-Table1[[#This Row],[Part Weight (gm)]])*Table1[[#This Row],[Shift Output]]/1000</f>
        <v>0</v>
      </c>
      <c r="W493" s="3">
        <v>0</v>
      </c>
      <c r="X493" s="36">
        <f>Table1[[#This Row],[Reject Startup (kg)]]/Table1[[#This Row],[Material Used]]</f>
        <v>0</v>
      </c>
      <c r="Y493" s="3">
        <v>0</v>
      </c>
      <c r="Z493" s="36">
        <f>Table1[[#This Row],[Reject Prod (kg)]]/Table1[[#This Row],[Material Used]]</f>
        <v>0</v>
      </c>
      <c r="AA493" s="4">
        <v>0</v>
      </c>
      <c r="AB493" s="5">
        <v>8.3599999999999905</v>
      </c>
      <c r="AC493" s="4" cm="1">
        <f t="array" ref="AC493">IFERROR(INDEX(ReferenceCard, MATCH(1, (INDEX(ReferenceCard,,1)=Table1[[#This Row],[SAP No]]) * (INDEX(ReferenceCard,,2)=Table1[[#This Row],[Mould No]]), 0), 9),)</f>
        <v>55</v>
      </c>
      <c r="AD493" s="5">
        <v>0</v>
      </c>
      <c r="AE493" s="5">
        <v>0</v>
      </c>
      <c r="AF493" s="5">
        <v>0</v>
      </c>
      <c r="AG493" s="5">
        <v>2.56</v>
      </c>
      <c r="AH493" s="5">
        <v>1.08</v>
      </c>
      <c r="AI493" s="5">
        <v>0</v>
      </c>
      <c r="AJ493" s="5">
        <v>0</v>
      </c>
      <c r="AL493" s="2"/>
      <c r="AM493" s="2"/>
      <c r="AN493" s="3">
        <v>0</v>
      </c>
      <c r="AO493" s="3">
        <v>0</v>
      </c>
      <c r="AP49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4" spans="1:42" x14ac:dyDescent="0.35">
      <c r="A494" s="1">
        <v>46007</v>
      </c>
      <c r="B494">
        <v>2</v>
      </c>
      <c r="C494" t="s">
        <v>35</v>
      </c>
      <c r="D494" t="str" cm="1">
        <f t="array" ref="D494">IFERROR(INDEX(ReferenceCard, MATCH(1, (INDEX(ReferenceCard,,1)=Table1[[#This Row],[SAP No]]) * (INDEX(ReferenceCard,,2)=Table1[[#This Row],[Mould No]]), 0), 6),)</f>
        <v>PPSB520Y</v>
      </c>
      <c r="E494">
        <v>552181</v>
      </c>
      <c r="F494">
        <v>1</v>
      </c>
      <c r="G494" t="str" cm="1">
        <f t="array" ref="G494">IFERROR(INDEX(ReferenceCard, MATCH(1, (INDEX(ReferenceCard,,1)=Table1[[#This Row],[SAP No]]) * (INDEX(ReferenceCard,,2)=Table1[[#This Row],[Mould No]]), 0), 3),)</f>
        <v>BC28-0090-D-APH-5180-3538-PP-6 NOTCHES-MOLD1</v>
      </c>
      <c r="H494">
        <v>0</v>
      </c>
      <c r="I494" cm="1">
        <f t="array" ref="I494">IFERROR(INDEX(ReferenceCard, MATCH(1, (INDEX(ReferenceCard,,1)=Table1[[#This Row],[SAP No]]) * (INDEX(ReferenceCard,,2)=Table1[[#This Row],[Mould No]]), 0), 4),)</f>
        <v>6</v>
      </c>
      <c r="J494" s="4" cm="1">
        <f t="array" ref="J494">IFERROR(INDEX(ReferenceCard, MATCH(1, (INDEX(ReferenceCard,,1)=Table1[[#This Row],[SAP No]]) * (INDEX(ReferenceCard,,2)=Table1[[#This Row],[Mould No]]), 0), 9),)</f>
        <v>18.8</v>
      </c>
      <c r="K494" s="4" cm="1">
        <f t="array" ref="K494">IFERROR(INDEX(ReferenceCard, MATCH(1, (INDEX(ReferenceCard,,1)=Table1[[#This Row],[SAP No]]) * (INDEX(ReferenceCard,,2)=Table1[[#This Row],[Mould No]]), 0), 7),)</f>
        <v>18.8</v>
      </c>
      <c r="L494">
        <v>7814</v>
      </c>
      <c r="M494">
        <v>0</v>
      </c>
      <c r="N494">
        <v>0</v>
      </c>
      <c r="O494">
        <v>0</v>
      </c>
      <c r="P494">
        <f>Table1[[#This Row],[Shot]]*Table1[[#This Row],[Cav]]</f>
        <v>46884</v>
      </c>
      <c r="Q494">
        <v>0</v>
      </c>
      <c r="R494">
        <f>(Table1[[#This Row],[Part Weight (gm)]]*Table1[[#This Row],[Finish Good]])/1000</f>
        <v>0</v>
      </c>
      <c r="S494">
        <v>0</v>
      </c>
      <c r="T494">
        <f>IF(Table1[[#This Row],[Qty Order]]="Sample","-",IF(Table1[[#This Row],[Qty Order]]="RTFN","-",Table1[[#This Row],[Qty Order]]-Table1[[#This Row],[Qty Accumulate]]))</f>
        <v>0</v>
      </c>
      <c r="U494">
        <f>((Table1[[#This Row],[Shift Output]]*Table1[[#This Row],[Part Weight (gm)]])/1000)+Table1[[#This Row],[Reject Startup (kg)]]+Table1[[#This Row],[Reject Purging (kg)]]+Table1[[#This Row],[Reject Preform (kg)]]</f>
        <v>881.41920000000005</v>
      </c>
      <c r="V494" s="37">
        <f>(Table1[[#This Row],[Gross Weight (gm)]]-Table1[[#This Row],[Part Weight (gm)]])*Table1[[#This Row],[Shift Output]]/1000</f>
        <v>0</v>
      </c>
      <c r="W494" s="3">
        <v>0</v>
      </c>
      <c r="X494" s="36">
        <f>Table1[[#This Row],[Reject Startup (kg)]]/Table1[[#This Row],[Material Used]]</f>
        <v>0</v>
      </c>
      <c r="Y494" s="3">
        <v>0</v>
      </c>
      <c r="Z494" s="36">
        <f>Table1[[#This Row],[Reject Prod (kg)]]/Table1[[#This Row],[Material Used]]</f>
        <v>0</v>
      </c>
      <c r="AA494" s="4">
        <v>0</v>
      </c>
      <c r="AB494" s="5">
        <v>10.6199999999999</v>
      </c>
      <c r="AC494" s="4" cm="1">
        <f t="array" ref="AC494">IFERROR(INDEX(ReferenceCard, MATCH(1, (INDEX(ReferenceCard,,1)=Table1[[#This Row],[SAP No]]) * (INDEX(ReferenceCard,,2)=Table1[[#This Row],[Mould No]]), 0), 9),)</f>
        <v>18.8</v>
      </c>
      <c r="AD494" s="5">
        <v>0</v>
      </c>
      <c r="AE494" s="5">
        <v>0</v>
      </c>
      <c r="AF494" s="5">
        <v>0</v>
      </c>
      <c r="AG494" s="5">
        <v>0</v>
      </c>
      <c r="AH494" s="5">
        <v>1.3799999999999899</v>
      </c>
      <c r="AI494" s="5">
        <v>0</v>
      </c>
      <c r="AJ494" s="5">
        <v>0</v>
      </c>
      <c r="AL494" s="2"/>
      <c r="AM494" s="2"/>
      <c r="AN494" s="3">
        <v>0</v>
      </c>
      <c r="AO494" s="3">
        <v>0</v>
      </c>
      <c r="AP49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5" spans="1:42" x14ac:dyDescent="0.35">
      <c r="A495" s="1">
        <v>46007</v>
      </c>
      <c r="B495">
        <v>2</v>
      </c>
      <c r="C495" t="s">
        <v>18</v>
      </c>
      <c r="D495" t="str" cm="1">
        <f t="array" ref="D495">IFERROR(INDEX(ReferenceCard, MATCH(1, (INDEX(ReferenceCard,,1)=Table1[[#This Row],[SAP No]]) * (INDEX(ReferenceCard,,2)=Table1[[#This Row],[Mould No]]), 0), 6),)</f>
        <v>PPSB520Y</v>
      </c>
      <c r="E495">
        <v>555979</v>
      </c>
      <c r="F495">
        <v>4</v>
      </c>
      <c r="G495" t="str" cm="1">
        <f t="array" ref="G495">IFERROR(INDEX(ReferenceCard, MATCH(1, (INDEX(ReferenceCard,,1)=Table1[[#This Row],[SAP No]]) * (INDEX(ReferenceCard,,2)=Table1[[#This Row],[Mould No]]), 0), 3),)</f>
        <v>BC28-0170-D-APH-5180-3539-PP-6 NOTCHES-MOLD4</v>
      </c>
      <c r="H495">
        <v>0</v>
      </c>
      <c r="I495" cm="1">
        <f t="array" ref="I495">IFERROR(INDEX(ReferenceCard, MATCH(1, (INDEX(ReferenceCard,,1)=Table1[[#This Row],[SAP No]]) * (INDEX(ReferenceCard,,2)=Table1[[#This Row],[Mould No]]), 0), 4),)</f>
        <v>6</v>
      </c>
      <c r="J495" s="4" cm="1">
        <f t="array" ref="J495">IFERROR(INDEX(ReferenceCard, MATCH(1, (INDEX(ReferenceCard,,1)=Table1[[#This Row],[SAP No]]) * (INDEX(ReferenceCard,,2)=Table1[[#This Row],[Mould No]]), 0), 9),)</f>
        <v>28</v>
      </c>
      <c r="K495" s="4" cm="1">
        <f t="array" ref="K495">IFERROR(INDEX(ReferenceCard, MATCH(1, (INDEX(ReferenceCard,,1)=Table1[[#This Row],[SAP No]]) * (INDEX(ReferenceCard,,2)=Table1[[#This Row],[Mould No]]), 0), 7),)</f>
        <v>28</v>
      </c>
      <c r="L495">
        <v>970</v>
      </c>
      <c r="M495">
        <v>0</v>
      </c>
      <c r="N495">
        <v>0</v>
      </c>
      <c r="O495">
        <v>0</v>
      </c>
      <c r="P495">
        <f>Table1[[#This Row],[Shot]]*Table1[[#This Row],[Cav]]</f>
        <v>5820</v>
      </c>
      <c r="Q495">
        <v>0</v>
      </c>
      <c r="R495">
        <f>(Table1[[#This Row],[Part Weight (gm)]]*Table1[[#This Row],[Finish Good]])/1000</f>
        <v>0</v>
      </c>
      <c r="S495">
        <v>0</v>
      </c>
      <c r="T495">
        <f>IF(Table1[[#This Row],[Qty Order]]="Sample","-",IF(Table1[[#This Row],[Qty Order]]="RTFN","-",Table1[[#This Row],[Qty Order]]-Table1[[#This Row],[Qty Accumulate]]))</f>
        <v>0</v>
      </c>
      <c r="U495">
        <f>((Table1[[#This Row],[Shift Output]]*Table1[[#This Row],[Part Weight (gm)]])/1000)+Table1[[#This Row],[Reject Startup (kg)]]+Table1[[#This Row],[Reject Purging (kg)]]+Table1[[#This Row],[Reject Preform (kg)]]</f>
        <v>162.96</v>
      </c>
      <c r="V495" s="37">
        <f>(Table1[[#This Row],[Gross Weight (gm)]]-Table1[[#This Row],[Part Weight (gm)]])*Table1[[#This Row],[Shift Output]]/1000</f>
        <v>0</v>
      </c>
      <c r="W495" s="3">
        <v>0</v>
      </c>
      <c r="X495" s="36">
        <f>Table1[[#This Row],[Reject Startup (kg)]]/Table1[[#This Row],[Material Used]]</f>
        <v>0</v>
      </c>
      <c r="Y495" s="3">
        <v>0</v>
      </c>
      <c r="Z495" s="36">
        <f>Table1[[#This Row],[Reject Prod (kg)]]/Table1[[#This Row],[Material Used]]</f>
        <v>0</v>
      </c>
      <c r="AA495" s="4">
        <v>43.5</v>
      </c>
      <c r="AB495" s="5">
        <v>12</v>
      </c>
      <c r="AC495" s="4" cm="1">
        <f t="array" ref="AC495">IFERROR(INDEX(ReferenceCard, MATCH(1, (INDEX(ReferenceCard,,1)=Table1[[#This Row],[SAP No]]) * (INDEX(ReferenceCard,,2)=Table1[[#This Row],[Mould No]]), 0), 9),)</f>
        <v>28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L495" s="2"/>
      <c r="AM495" s="2"/>
      <c r="AN495" s="3">
        <v>0</v>
      </c>
      <c r="AO495" s="3">
        <v>0</v>
      </c>
      <c r="AP49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6" spans="1:42" x14ac:dyDescent="0.35">
      <c r="A496" s="1">
        <v>46007</v>
      </c>
      <c r="B496">
        <v>2</v>
      </c>
      <c r="C496" t="s">
        <v>3</v>
      </c>
      <c r="D496" t="str" cm="1">
        <f t="array" ref="D496">IFERROR(INDEX(ReferenceCard, MATCH(1, (INDEX(ReferenceCard,,1)=Table1[[#This Row],[SAP No]]) * (INDEX(ReferenceCard,,2)=Table1[[#This Row],[Mould No]]), 0), 6),)</f>
        <v>PET</v>
      </c>
      <c r="E496">
        <v>580324</v>
      </c>
      <c r="F496">
        <v>0</v>
      </c>
      <c r="G496" t="str" cm="1">
        <f t="array" ref="G496">IFERROR(INDEX(ReferenceCard, MATCH(1, (INDEX(ReferenceCard,,1)=Table1[[#This Row],[SAP No]]) * (INDEX(ReferenceCard,,2)=Table1[[#This Row],[Mould No]]), 0), 3),)</f>
        <v>BC28-0060-M-R-AM-LW</v>
      </c>
      <c r="H496">
        <v>0</v>
      </c>
      <c r="I496" cm="1">
        <f t="array" ref="I496">IFERROR(INDEX(ReferenceCard, MATCH(1, (INDEX(ReferenceCard,,1)=Table1[[#This Row],[SAP No]]) * (INDEX(ReferenceCard,,2)=Table1[[#This Row],[Mould No]]), 0), 4),)</f>
        <v>4</v>
      </c>
      <c r="J496" s="4" cm="1">
        <f t="array" ref="J496">IFERROR(INDEX(ReferenceCard, MATCH(1, (INDEX(ReferenceCard,,1)=Table1[[#This Row],[SAP No]]) * (INDEX(ReferenceCard,,2)=Table1[[#This Row],[Mould No]]), 0), 9),)</f>
        <v>11.3</v>
      </c>
      <c r="K496" s="4" cm="1">
        <f t="array" ref="K496">IFERROR(INDEX(ReferenceCard, MATCH(1, (INDEX(ReferenceCard,,1)=Table1[[#This Row],[SAP No]]) * (INDEX(ReferenceCard,,2)=Table1[[#This Row],[Mould No]]), 0), 7),)</f>
        <v>11.3</v>
      </c>
      <c r="L496">
        <v>0</v>
      </c>
      <c r="M496">
        <v>0</v>
      </c>
      <c r="N496">
        <v>0</v>
      </c>
      <c r="O496">
        <v>0</v>
      </c>
      <c r="P496">
        <f>Table1[[#This Row],[Shot]]*Table1[[#This Row],[Cav]]</f>
        <v>0</v>
      </c>
      <c r="Q496">
        <v>0</v>
      </c>
      <c r="R496">
        <f>(Table1[[#This Row],[Part Weight (gm)]]*Table1[[#This Row],[Finish Good]])/1000</f>
        <v>0</v>
      </c>
      <c r="S496">
        <v>0</v>
      </c>
      <c r="T496">
        <f>IF(Table1[[#This Row],[Qty Order]]="Sample","-",IF(Table1[[#This Row],[Qty Order]]="RTFN","-",Table1[[#This Row],[Qty Order]]-Table1[[#This Row],[Qty Accumulate]]))</f>
        <v>0</v>
      </c>
      <c r="U496">
        <f>((Table1[[#This Row],[Shift Output]]*Table1[[#This Row],[Part Weight (gm)]])/1000)+Table1[[#This Row],[Reject Startup (kg)]]+Table1[[#This Row],[Reject Purging (kg)]]+Table1[[#This Row],[Reject Preform (kg)]]</f>
        <v>0</v>
      </c>
      <c r="V496" s="37">
        <f>(Table1[[#This Row],[Gross Weight (gm)]]-Table1[[#This Row],[Part Weight (gm)]])*Table1[[#This Row],[Shift Output]]/1000</f>
        <v>0</v>
      </c>
      <c r="W496" s="3">
        <v>0</v>
      </c>
      <c r="X496" s="36" t="e">
        <f>Table1[[#This Row],[Reject Startup (kg)]]/Table1[[#This Row],[Material Used]]</f>
        <v>#DIV/0!</v>
      </c>
      <c r="Y496" s="3">
        <v>0</v>
      </c>
      <c r="Z496" s="36" t="e">
        <f>Table1[[#This Row],[Reject Prod (kg)]]/Table1[[#This Row],[Material Used]]</f>
        <v>#DIV/0!</v>
      </c>
      <c r="AA496" s="4">
        <v>0</v>
      </c>
      <c r="AB496" s="5">
        <v>2.95</v>
      </c>
      <c r="AC496" s="4" cm="1">
        <f t="array" ref="AC496">IFERROR(INDEX(ReferenceCard, MATCH(1, (INDEX(ReferenceCard,,1)=Table1[[#This Row],[SAP No]]) * (INDEX(ReferenceCard,,2)=Table1[[#This Row],[Mould No]]), 0), 9),)</f>
        <v>11.3</v>
      </c>
      <c r="AD496" s="5">
        <v>9.0500000000000007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t="s">
        <v>119</v>
      </c>
      <c r="AL496" s="2" t="s">
        <v>120</v>
      </c>
      <c r="AM496" s="2" t="s">
        <v>121</v>
      </c>
      <c r="AN496" s="3">
        <v>0</v>
      </c>
      <c r="AO496" s="3">
        <v>0</v>
      </c>
      <c r="AP49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7" spans="1:42" x14ac:dyDescent="0.35">
      <c r="A497" s="1">
        <v>46007</v>
      </c>
      <c r="B497">
        <v>2</v>
      </c>
      <c r="C497" t="s">
        <v>5</v>
      </c>
      <c r="D497" t="str" cm="1">
        <f t="array" ref="D497">IFERROR(INDEX(ReferenceCard, MATCH(1, (INDEX(ReferenceCard,,1)=Table1[[#This Row],[SAP No]]) * (INDEX(ReferenceCard,,2)=Table1[[#This Row],[Mould No]]), 0), 6),)</f>
        <v>PET</v>
      </c>
      <c r="E497">
        <v>543590</v>
      </c>
      <c r="F497">
        <v>0</v>
      </c>
      <c r="G497" t="str" cm="1">
        <f t="array" ref="G497">IFERROR(INDEX(ReferenceCard, MATCH(1, (INDEX(ReferenceCard,,1)=Table1[[#This Row],[SAP No]]) * (INDEX(ReferenceCard,,2)=Table1[[#This Row],[Mould No]]), 0), 3),)</f>
        <v>BC28-0130-R-R-AM</v>
      </c>
      <c r="H497">
        <v>0</v>
      </c>
      <c r="I497" cm="1">
        <f t="array" ref="I497">IFERROR(INDEX(ReferenceCard, MATCH(1, (INDEX(ReferenceCard,,1)=Table1[[#This Row],[SAP No]]) * (INDEX(ReferenceCard,,2)=Table1[[#This Row],[Mould No]]), 0), 4),)</f>
        <v>4</v>
      </c>
      <c r="J497" s="4" cm="1">
        <f t="array" ref="J497">IFERROR(INDEX(ReferenceCard, MATCH(1, (INDEX(ReferenceCard,,1)=Table1[[#This Row],[SAP No]]) * (INDEX(ReferenceCard,,2)=Table1[[#This Row],[Mould No]]), 0), 9),)</f>
        <v>19</v>
      </c>
      <c r="K497" s="4" cm="1">
        <f t="array" ref="K497">IFERROR(INDEX(ReferenceCard, MATCH(1, (INDEX(ReferenceCard,,1)=Table1[[#This Row],[SAP No]]) * (INDEX(ReferenceCard,,2)=Table1[[#This Row],[Mould No]]), 0), 7),)</f>
        <v>19</v>
      </c>
      <c r="L497">
        <v>0</v>
      </c>
      <c r="M497">
        <v>0</v>
      </c>
      <c r="N497">
        <v>0</v>
      </c>
      <c r="O497">
        <v>0</v>
      </c>
      <c r="P497">
        <f>Table1[[#This Row],[Shot]]*Table1[[#This Row],[Cav]]</f>
        <v>0</v>
      </c>
      <c r="Q497">
        <v>0</v>
      </c>
      <c r="R497">
        <f>(Table1[[#This Row],[Part Weight (gm)]]*Table1[[#This Row],[Finish Good]])/1000</f>
        <v>0</v>
      </c>
      <c r="S497">
        <v>0</v>
      </c>
      <c r="T497">
        <f>IF(Table1[[#This Row],[Qty Order]]="Sample","-",IF(Table1[[#This Row],[Qty Order]]="RTFN","-",Table1[[#This Row],[Qty Order]]-Table1[[#This Row],[Qty Accumulate]]))</f>
        <v>0</v>
      </c>
      <c r="U497">
        <f>((Table1[[#This Row],[Shift Output]]*Table1[[#This Row],[Part Weight (gm)]])/1000)+Table1[[#This Row],[Reject Startup (kg)]]+Table1[[#This Row],[Reject Purging (kg)]]+Table1[[#This Row],[Reject Preform (kg)]]</f>
        <v>0</v>
      </c>
      <c r="V497" s="37">
        <f>(Table1[[#This Row],[Gross Weight (gm)]]-Table1[[#This Row],[Part Weight (gm)]])*Table1[[#This Row],[Shift Output]]/1000</f>
        <v>0</v>
      </c>
      <c r="W497" s="3">
        <v>0</v>
      </c>
      <c r="X497" s="36" t="e">
        <f>Table1[[#This Row],[Reject Startup (kg)]]/Table1[[#This Row],[Material Used]]</f>
        <v>#DIV/0!</v>
      </c>
      <c r="Y497" s="3">
        <v>0</v>
      </c>
      <c r="Z497" s="36" t="e">
        <f>Table1[[#This Row],[Reject Prod (kg)]]/Table1[[#This Row],[Material Used]]</f>
        <v>#DIV/0!</v>
      </c>
      <c r="AA497" s="4">
        <v>0</v>
      </c>
      <c r="AB497" s="5">
        <v>3.96</v>
      </c>
      <c r="AC497" s="4" cm="1">
        <f t="array" ref="AC497">IFERROR(INDEX(ReferenceCard, MATCH(1, (INDEX(ReferenceCard,,1)=Table1[[#This Row],[SAP No]]) * (INDEX(ReferenceCard,,2)=Table1[[#This Row],[Mould No]]), 0), 9),)</f>
        <v>19</v>
      </c>
      <c r="AD497" s="5">
        <v>0</v>
      </c>
      <c r="AE497" s="5">
        <v>0</v>
      </c>
      <c r="AF497" s="5">
        <v>0</v>
      </c>
      <c r="AG497" s="5">
        <v>0</v>
      </c>
      <c r="AH497" s="5">
        <v>8.0399999999999903</v>
      </c>
      <c r="AI497" s="5">
        <v>0</v>
      </c>
      <c r="AJ497" s="5">
        <v>0</v>
      </c>
      <c r="AL497" s="2"/>
      <c r="AM497" s="2"/>
      <c r="AN497" s="3">
        <v>0</v>
      </c>
      <c r="AO497" s="3">
        <v>0</v>
      </c>
      <c r="AP49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8" spans="1:42" x14ac:dyDescent="0.35">
      <c r="A498" s="1">
        <v>46007</v>
      </c>
      <c r="B498">
        <v>2</v>
      </c>
      <c r="C498" t="s">
        <v>7</v>
      </c>
      <c r="D498" t="str" cm="1">
        <f t="array" ref="D498">IFERROR(INDEX(ReferenceCard, MATCH(1, (INDEX(ReferenceCard,,1)=Table1[[#This Row],[SAP No]]) * (INDEX(ReferenceCard,,2)=Table1[[#This Row],[Mould No]]), 0), 6),)</f>
        <v>PET</v>
      </c>
      <c r="E498">
        <v>451191</v>
      </c>
      <c r="F498">
        <v>0</v>
      </c>
      <c r="G498" t="str" cm="1">
        <f t="array" ref="G498">IFERROR(INDEX(ReferenceCard, MATCH(1, (INDEX(ReferenceCard,,1)=Table1[[#This Row],[SAP No]]) * (INDEX(ReferenceCard,,2)=Table1[[#This Row],[Mould No]]), 0), 3),)</f>
        <v>BX38-0350-Z-C-CL</v>
      </c>
      <c r="H498">
        <v>0</v>
      </c>
      <c r="I498" cm="1">
        <f t="array" ref="I498">IFERROR(INDEX(ReferenceCard, MATCH(1, (INDEX(ReferenceCard,,1)=Table1[[#This Row],[SAP No]]) * (INDEX(ReferenceCard,,2)=Table1[[#This Row],[Mould No]]), 0), 4),)</f>
        <v>4</v>
      </c>
      <c r="J498" s="4" cm="1">
        <f t="array" ref="J498">IFERROR(INDEX(ReferenceCard, MATCH(1, (INDEX(ReferenceCard,,1)=Table1[[#This Row],[SAP No]]) * (INDEX(ReferenceCard,,2)=Table1[[#This Row],[Mould No]]), 0), 9),)</f>
        <v>29</v>
      </c>
      <c r="K498" s="4" cm="1">
        <f t="array" ref="K498">IFERROR(INDEX(ReferenceCard, MATCH(1, (INDEX(ReferenceCard,,1)=Table1[[#This Row],[SAP No]]) * (INDEX(ReferenceCard,,2)=Table1[[#This Row],[Mould No]]), 0), 7),)</f>
        <v>29</v>
      </c>
      <c r="L498">
        <v>17126</v>
      </c>
      <c r="M498">
        <v>0</v>
      </c>
      <c r="N498">
        <v>0</v>
      </c>
      <c r="O498">
        <v>0</v>
      </c>
      <c r="P498">
        <f>Table1[[#This Row],[Shot]]*Table1[[#This Row],[Cav]]</f>
        <v>68504</v>
      </c>
      <c r="Q498">
        <v>0</v>
      </c>
      <c r="R498">
        <f>(Table1[[#This Row],[Part Weight (gm)]]*Table1[[#This Row],[Finish Good]])/1000</f>
        <v>0</v>
      </c>
      <c r="S498">
        <v>0</v>
      </c>
      <c r="T498">
        <f>IF(Table1[[#This Row],[Qty Order]]="Sample","-",IF(Table1[[#This Row],[Qty Order]]="RTFN","-",Table1[[#This Row],[Qty Order]]-Table1[[#This Row],[Qty Accumulate]]))</f>
        <v>0</v>
      </c>
      <c r="U498">
        <f>((Table1[[#This Row],[Shift Output]]*Table1[[#This Row],[Part Weight (gm)]])/1000)+Table1[[#This Row],[Reject Startup (kg)]]+Table1[[#This Row],[Reject Purging (kg)]]+Table1[[#This Row],[Reject Preform (kg)]]</f>
        <v>1986.616</v>
      </c>
      <c r="V498" s="37">
        <f>(Table1[[#This Row],[Gross Weight (gm)]]-Table1[[#This Row],[Part Weight (gm)]])*Table1[[#This Row],[Shift Output]]/1000</f>
        <v>0</v>
      </c>
      <c r="W498" s="3">
        <v>0</v>
      </c>
      <c r="X498" s="36">
        <f>Table1[[#This Row],[Reject Startup (kg)]]/Table1[[#This Row],[Material Used]]</f>
        <v>0</v>
      </c>
      <c r="Y498" s="3">
        <v>0</v>
      </c>
      <c r="Z498" s="36">
        <f>Table1[[#This Row],[Reject Prod (kg)]]/Table1[[#This Row],[Material Used]]</f>
        <v>0</v>
      </c>
      <c r="AA498" s="4">
        <v>0</v>
      </c>
      <c r="AB498" s="5">
        <v>12</v>
      </c>
      <c r="AC498" s="4" cm="1">
        <f t="array" ref="AC498">IFERROR(INDEX(ReferenceCard, MATCH(1, (INDEX(ReferenceCard,,1)=Table1[[#This Row],[SAP No]]) * (INDEX(ReferenceCard,,2)=Table1[[#This Row],[Mould No]]), 0), 9),)</f>
        <v>29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L498" s="2"/>
      <c r="AM498" s="2"/>
      <c r="AN498" s="3">
        <v>0</v>
      </c>
      <c r="AO498" s="3">
        <v>0</v>
      </c>
      <c r="AP49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499" spans="1:42" x14ac:dyDescent="0.35">
      <c r="A499" s="1">
        <v>46007</v>
      </c>
      <c r="B499">
        <v>2</v>
      </c>
      <c r="C499" t="s">
        <v>9</v>
      </c>
      <c r="D499" t="str" cm="1">
        <f t="array" ref="D499">IFERROR(INDEX(ReferenceCard, MATCH(1, (INDEX(ReferenceCard,,1)=Table1[[#This Row],[SAP No]]) * (INDEX(ReferenceCard,,2)=Table1[[#This Row],[Mould No]]), 0), 6),)</f>
        <v>rPET</v>
      </c>
      <c r="E499">
        <v>593537</v>
      </c>
      <c r="F499">
        <v>0</v>
      </c>
      <c r="G499" t="str" cm="1">
        <f t="array" ref="G499">IFERROR(INDEX(ReferenceCard, MATCH(1, (INDEX(ReferenceCard,,1)=Table1[[#This Row],[SAP No]]) * (INDEX(ReferenceCard,,2)=Table1[[#This Row],[Mould No]]), 0), 3),)</f>
        <v>BX38-1000-RN-R-CL-rPET</v>
      </c>
      <c r="H499">
        <v>0</v>
      </c>
      <c r="I499" cm="1">
        <f t="array" ref="I499">IFERROR(INDEX(ReferenceCard, MATCH(1, (INDEX(ReferenceCard,,1)=Table1[[#This Row],[SAP No]]) * (INDEX(ReferenceCard,,2)=Table1[[#This Row],[Mould No]]), 0), 4),)</f>
        <v>4</v>
      </c>
      <c r="J499" s="4" cm="1">
        <f t="array" ref="J499">IFERROR(INDEX(ReferenceCard, MATCH(1, (INDEX(ReferenceCard,,1)=Table1[[#This Row],[SAP No]]) * (INDEX(ReferenceCard,,2)=Table1[[#This Row],[Mould No]]), 0), 9),)</f>
        <v>56.5</v>
      </c>
      <c r="K499" s="4" cm="1">
        <f t="array" ref="K499">IFERROR(INDEX(ReferenceCard, MATCH(1, (INDEX(ReferenceCard,,1)=Table1[[#This Row],[SAP No]]) * (INDEX(ReferenceCard,,2)=Table1[[#This Row],[Mould No]]), 0), 7),)</f>
        <v>56.8</v>
      </c>
      <c r="L499">
        <v>16782</v>
      </c>
      <c r="M499">
        <v>0</v>
      </c>
      <c r="N499">
        <v>0</v>
      </c>
      <c r="O499">
        <v>0</v>
      </c>
      <c r="P499">
        <f>Table1[[#This Row],[Shot]]*Table1[[#This Row],[Cav]]</f>
        <v>67128</v>
      </c>
      <c r="Q499">
        <v>0</v>
      </c>
      <c r="R499">
        <f>(Table1[[#This Row],[Part Weight (gm)]]*Table1[[#This Row],[Finish Good]])/1000</f>
        <v>0</v>
      </c>
      <c r="S499">
        <v>0</v>
      </c>
      <c r="T499">
        <f>IF(Table1[[#This Row],[Qty Order]]="Sample","-",IF(Table1[[#This Row],[Qty Order]]="RTFN","-",Table1[[#This Row],[Qty Order]]-Table1[[#This Row],[Qty Accumulate]]))</f>
        <v>0</v>
      </c>
      <c r="U499">
        <f>((Table1[[#This Row],[Shift Output]]*Table1[[#This Row],[Part Weight (gm)]])/1000)+Table1[[#This Row],[Reject Startup (kg)]]+Table1[[#This Row],[Reject Purging (kg)]]+Table1[[#This Row],[Reject Preform (kg)]]</f>
        <v>3812.8703999999998</v>
      </c>
      <c r="V499" s="37">
        <f>(Table1[[#This Row],[Gross Weight (gm)]]-Table1[[#This Row],[Part Weight (gm)]])*Table1[[#This Row],[Shift Output]]/1000</f>
        <v>-20.138399999999809</v>
      </c>
      <c r="W499" s="3">
        <v>0</v>
      </c>
      <c r="X499" s="36">
        <f>Table1[[#This Row],[Reject Startup (kg)]]/Table1[[#This Row],[Material Used]]</f>
        <v>0</v>
      </c>
      <c r="Y499" s="3">
        <v>0</v>
      </c>
      <c r="Z499" s="36">
        <f>Table1[[#This Row],[Reject Prod (kg)]]/Table1[[#This Row],[Material Used]]</f>
        <v>0</v>
      </c>
      <c r="AA499" s="4">
        <v>0</v>
      </c>
      <c r="AB499" s="5">
        <v>10.99</v>
      </c>
      <c r="AC499" s="4" cm="1">
        <f t="array" ref="AC499">IFERROR(INDEX(ReferenceCard, MATCH(1, (INDEX(ReferenceCard,,1)=Table1[[#This Row],[SAP No]]) * (INDEX(ReferenceCard,,2)=Table1[[#This Row],[Mould No]]), 0), 9),)</f>
        <v>56.5</v>
      </c>
      <c r="AD499" s="5">
        <v>0</v>
      </c>
      <c r="AE499" s="5">
        <v>0</v>
      </c>
      <c r="AF499" s="5">
        <v>0</v>
      </c>
      <c r="AG499" s="5">
        <v>0</v>
      </c>
      <c r="AH499" s="5">
        <v>1.01</v>
      </c>
      <c r="AI499" s="5">
        <v>0</v>
      </c>
      <c r="AJ499" s="5">
        <v>0</v>
      </c>
      <c r="AL499" s="2"/>
      <c r="AM499" s="2"/>
      <c r="AN499" s="3">
        <v>0</v>
      </c>
      <c r="AO499" s="3">
        <v>0</v>
      </c>
      <c r="AP49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0" spans="1:42" x14ac:dyDescent="0.35">
      <c r="A500" s="1">
        <v>46007</v>
      </c>
      <c r="B500">
        <v>2</v>
      </c>
      <c r="C500" t="s">
        <v>11</v>
      </c>
      <c r="D500" t="str" cm="1">
        <f t="array" ref="D500">IFERROR(INDEX(ReferenceCard, MATCH(1, (INDEX(ReferenceCard,,1)=Table1[[#This Row],[SAP No]]) * (INDEX(ReferenceCard,,2)=Table1[[#This Row],[Mould No]]), 0), 6),)</f>
        <v>rPET</v>
      </c>
      <c r="E500">
        <v>620994</v>
      </c>
      <c r="F500">
        <v>0</v>
      </c>
      <c r="G500" t="str" cm="1">
        <f t="array" ref="G500">IFERROR(INDEX(ReferenceCard, MATCH(1, (INDEX(ReferenceCard,,1)=Table1[[#This Row],[SAP No]]) * (INDEX(ReferenceCard,,2)=Table1[[#This Row],[Mould No]]), 0), 3),)</f>
        <v>JJ63-0400-SH-S-CL-rPET</v>
      </c>
      <c r="H500">
        <v>0</v>
      </c>
      <c r="I500" cm="1">
        <f t="array" ref="I500">IFERROR(INDEX(ReferenceCard, MATCH(1, (INDEX(ReferenceCard,,1)=Table1[[#This Row],[SAP No]]) * (INDEX(ReferenceCard,,2)=Table1[[#This Row],[Mould No]]), 0), 4),)</f>
        <v>4</v>
      </c>
      <c r="J500" s="4" cm="1">
        <f t="array" ref="J500">IFERROR(INDEX(ReferenceCard, MATCH(1, (INDEX(ReferenceCard,,1)=Table1[[#This Row],[SAP No]]) * (INDEX(ReferenceCard,,2)=Table1[[#This Row],[Mould No]]), 0), 9),)</f>
        <v>32.74</v>
      </c>
      <c r="K500" s="4" cm="1">
        <f t="array" ref="K500">IFERROR(INDEX(ReferenceCard, MATCH(1, (INDEX(ReferenceCard,,1)=Table1[[#This Row],[SAP No]]) * (INDEX(ReferenceCard,,2)=Table1[[#This Row],[Mould No]]), 0), 7),)</f>
        <v>33</v>
      </c>
      <c r="L500">
        <v>13647</v>
      </c>
      <c r="M500">
        <v>0</v>
      </c>
      <c r="N500">
        <v>0</v>
      </c>
      <c r="O500">
        <v>0</v>
      </c>
      <c r="P500">
        <f>Table1[[#This Row],[Shot]]*Table1[[#This Row],[Cav]]</f>
        <v>54588</v>
      </c>
      <c r="Q500">
        <v>0</v>
      </c>
      <c r="R500">
        <f>(Table1[[#This Row],[Part Weight (gm)]]*Table1[[#This Row],[Finish Good]])/1000</f>
        <v>0</v>
      </c>
      <c r="S500">
        <v>0</v>
      </c>
      <c r="T500">
        <f>IF(Table1[[#This Row],[Qty Order]]="Sample","-",IF(Table1[[#This Row],[Qty Order]]="RTFN","-",Table1[[#This Row],[Qty Order]]-Table1[[#This Row],[Qty Accumulate]]))</f>
        <v>0</v>
      </c>
      <c r="U500">
        <f>((Table1[[#This Row],[Shift Output]]*Table1[[#This Row],[Part Weight (gm)]])/1000)+Table1[[#This Row],[Reject Startup (kg)]]+Table1[[#This Row],[Reject Purging (kg)]]+Table1[[#This Row],[Reject Preform (kg)]]</f>
        <v>1801.404</v>
      </c>
      <c r="V500" s="37">
        <f>(Table1[[#This Row],[Gross Weight (gm)]]-Table1[[#This Row],[Part Weight (gm)]])*Table1[[#This Row],[Shift Output]]/1000</f>
        <v>-14.192879999999892</v>
      </c>
      <c r="W500" s="3">
        <v>0</v>
      </c>
      <c r="X500" s="36">
        <f>Table1[[#This Row],[Reject Startup (kg)]]/Table1[[#This Row],[Material Used]]</f>
        <v>0</v>
      </c>
      <c r="Y500" s="3">
        <v>0</v>
      </c>
      <c r="Z500" s="36">
        <f>Table1[[#This Row],[Reject Prod (kg)]]/Table1[[#This Row],[Material Used]]</f>
        <v>0</v>
      </c>
      <c r="AA500" s="4">
        <v>0</v>
      </c>
      <c r="AB500" s="5">
        <v>12</v>
      </c>
      <c r="AC500" s="4" cm="1">
        <f t="array" ref="AC500">IFERROR(INDEX(ReferenceCard, MATCH(1, (INDEX(ReferenceCard,,1)=Table1[[#This Row],[SAP No]]) * (INDEX(ReferenceCard,,2)=Table1[[#This Row],[Mould No]]), 0), 9),)</f>
        <v>32.74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L500" s="2"/>
      <c r="AM500" s="2"/>
      <c r="AN500" s="3">
        <v>0</v>
      </c>
      <c r="AO500" s="3">
        <v>0</v>
      </c>
      <c r="AP50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1" spans="1:42" x14ac:dyDescent="0.35">
      <c r="A501" s="1">
        <v>46007</v>
      </c>
      <c r="B501">
        <v>2</v>
      </c>
      <c r="C501" t="s">
        <v>14</v>
      </c>
      <c r="D501" t="str" cm="1">
        <f t="array" ref="D501">IFERROR(INDEX(ReferenceCard, MATCH(1, (INDEX(ReferenceCard,,1)=Table1[[#This Row],[SAP No]]) * (INDEX(ReferenceCard,,2)=Table1[[#This Row],[Mould No]]), 0), 6),)</f>
        <v>PET</v>
      </c>
      <c r="E501">
        <v>324165</v>
      </c>
      <c r="F501">
        <v>0</v>
      </c>
      <c r="G501" t="str" cm="1">
        <f t="array" ref="G501">IFERROR(INDEX(ReferenceCard, MATCH(1, (INDEX(ReferenceCard,,1)=Table1[[#This Row],[SAP No]]) * (INDEX(ReferenceCard,,2)=Table1[[#This Row],[Mould No]]), 0), 3),)</f>
        <v>JJ63-0400-SH-S-WH</v>
      </c>
      <c r="H501">
        <v>0</v>
      </c>
      <c r="I501" cm="1">
        <f t="array" ref="I501">IFERROR(INDEX(ReferenceCard, MATCH(1, (INDEX(ReferenceCard,,1)=Table1[[#This Row],[SAP No]]) * (INDEX(ReferenceCard,,2)=Table1[[#This Row],[Mould No]]), 0), 4),)</f>
        <v>4</v>
      </c>
      <c r="J501" s="4" cm="1">
        <f t="array" ref="J501">IFERROR(INDEX(ReferenceCard, MATCH(1, (INDEX(ReferenceCard,,1)=Table1[[#This Row],[SAP No]]) * (INDEX(ReferenceCard,,2)=Table1[[#This Row],[Mould No]]), 0), 9),)</f>
        <v>32.56</v>
      </c>
      <c r="K501" s="4" cm="1">
        <f t="array" ref="K501">IFERROR(INDEX(ReferenceCard, MATCH(1, (INDEX(ReferenceCard,,1)=Table1[[#This Row],[SAP No]]) * (INDEX(ReferenceCard,,2)=Table1[[#This Row],[Mould No]]), 0), 7),)</f>
        <v>33</v>
      </c>
      <c r="L501">
        <v>58</v>
      </c>
      <c r="M501">
        <v>0</v>
      </c>
      <c r="N501">
        <v>0</v>
      </c>
      <c r="O501">
        <v>0</v>
      </c>
      <c r="P501">
        <f>Table1[[#This Row],[Shot]]*Table1[[#This Row],[Cav]]</f>
        <v>232</v>
      </c>
      <c r="Q501">
        <v>0</v>
      </c>
      <c r="R501">
        <f>(Table1[[#This Row],[Part Weight (gm)]]*Table1[[#This Row],[Finish Good]])/1000</f>
        <v>0</v>
      </c>
      <c r="S501">
        <v>0</v>
      </c>
      <c r="T501">
        <f>IF(Table1[[#This Row],[Qty Order]]="Sample","-",IF(Table1[[#This Row],[Qty Order]]="RTFN","-",Table1[[#This Row],[Qty Order]]-Table1[[#This Row],[Qty Accumulate]]))</f>
        <v>0</v>
      </c>
      <c r="U501">
        <f>((Table1[[#This Row],[Shift Output]]*Table1[[#This Row],[Part Weight (gm)]])/1000)+Table1[[#This Row],[Reject Startup (kg)]]+Table1[[#This Row],[Reject Purging (kg)]]+Table1[[#This Row],[Reject Preform (kg)]]</f>
        <v>7.6559999999999997</v>
      </c>
      <c r="V501" s="37">
        <f>(Table1[[#This Row],[Gross Weight (gm)]]-Table1[[#This Row],[Part Weight (gm)]])*Table1[[#This Row],[Shift Output]]/1000</f>
        <v>-0.10207999999999948</v>
      </c>
      <c r="W501" s="3">
        <v>0</v>
      </c>
      <c r="X501" s="36">
        <f>Table1[[#This Row],[Reject Startup (kg)]]/Table1[[#This Row],[Material Used]]</f>
        <v>0</v>
      </c>
      <c r="Y501" s="3">
        <v>0</v>
      </c>
      <c r="Z501" s="36">
        <f>Table1[[#This Row],[Reject Prod (kg)]]/Table1[[#This Row],[Material Used]]</f>
        <v>0</v>
      </c>
      <c r="AA501" s="4">
        <v>0</v>
      </c>
      <c r="AB501" s="5">
        <v>5.0999999999999899</v>
      </c>
      <c r="AC501" s="4" cm="1">
        <f t="array" ref="AC501">IFERROR(INDEX(ReferenceCard, MATCH(1, (INDEX(ReferenceCard,,1)=Table1[[#This Row],[SAP No]]) * (INDEX(ReferenceCard,,2)=Table1[[#This Row],[Mould No]]), 0), 9),)</f>
        <v>32.56</v>
      </c>
      <c r="AD501" s="5">
        <v>0</v>
      </c>
      <c r="AE501" s="5">
        <v>0</v>
      </c>
      <c r="AF501" s="5">
        <v>0</v>
      </c>
      <c r="AG501" s="5">
        <v>0</v>
      </c>
      <c r="AH501" s="5">
        <v>0.33</v>
      </c>
      <c r="AI501" s="5">
        <v>6.57</v>
      </c>
      <c r="AJ501" s="5">
        <v>0</v>
      </c>
      <c r="AL501" s="2"/>
      <c r="AM501" s="2"/>
      <c r="AN501" s="3">
        <v>0</v>
      </c>
      <c r="AO501" s="3">
        <v>0</v>
      </c>
      <c r="AP50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2" spans="1:42" x14ac:dyDescent="0.35">
      <c r="A502" s="1">
        <v>46007</v>
      </c>
      <c r="B502">
        <v>2</v>
      </c>
      <c r="C502" t="s">
        <v>16</v>
      </c>
      <c r="D502" t="str" cm="1">
        <f t="array" ref="D502">IFERROR(INDEX(ReferenceCard, MATCH(1, (INDEX(ReferenceCard,,1)=Table1[[#This Row],[SAP No]]) * (INDEX(ReferenceCard,,2)=Table1[[#This Row],[Mould No]]), 0), 6),)</f>
        <v>PET</v>
      </c>
      <c r="E502">
        <v>324206</v>
      </c>
      <c r="F502">
        <v>0</v>
      </c>
      <c r="G502" t="str" cm="1">
        <f t="array" ref="G502">IFERROR(INDEX(ReferenceCard, MATCH(1, (INDEX(ReferenceCard,,1)=Table1[[#This Row],[SAP No]]) * (INDEX(ReferenceCard,,2)=Table1[[#This Row],[Mould No]]), 0), 3),)</f>
        <v>BX38-1000-HC-S-CL</v>
      </c>
      <c r="H502">
        <v>0</v>
      </c>
      <c r="I502" cm="1">
        <f t="array" ref="I502">IFERROR(INDEX(ReferenceCard, MATCH(1, (INDEX(ReferenceCard,,1)=Table1[[#This Row],[SAP No]]) * (INDEX(ReferenceCard,,2)=Table1[[#This Row],[Mould No]]), 0), 4),)</f>
        <v>4</v>
      </c>
      <c r="J502" s="4" cm="1">
        <f t="array" ref="J502">IFERROR(INDEX(ReferenceCard, MATCH(1, (INDEX(ReferenceCard,,1)=Table1[[#This Row],[SAP No]]) * (INDEX(ReferenceCard,,2)=Table1[[#This Row],[Mould No]]), 0), 9),)</f>
        <v>49</v>
      </c>
      <c r="K502" s="4" cm="1">
        <f t="array" ref="K502">IFERROR(INDEX(ReferenceCard, MATCH(1, (INDEX(ReferenceCard,,1)=Table1[[#This Row],[SAP No]]) * (INDEX(ReferenceCard,,2)=Table1[[#This Row],[Mould No]]), 0), 7),)</f>
        <v>48</v>
      </c>
      <c r="L502">
        <v>0</v>
      </c>
      <c r="M502">
        <v>0</v>
      </c>
      <c r="N502">
        <v>0</v>
      </c>
      <c r="O502">
        <v>0</v>
      </c>
      <c r="P502">
        <f>Table1[[#This Row],[Shot]]*Table1[[#This Row],[Cav]]</f>
        <v>0</v>
      </c>
      <c r="Q502">
        <v>0</v>
      </c>
      <c r="R502">
        <f>(Table1[[#This Row],[Part Weight (gm)]]*Table1[[#This Row],[Finish Good]])/1000</f>
        <v>0</v>
      </c>
      <c r="S502">
        <v>0</v>
      </c>
      <c r="T502">
        <f>IF(Table1[[#This Row],[Qty Order]]="Sample","-",IF(Table1[[#This Row],[Qty Order]]="RTFN","-",Table1[[#This Row],[Qty Order]]-Table1[[#This Row],[Qty Accumulate]]))</f>
        <v>0</v>
      </c>
      <c r="U502">
        <f>((Table1[[#This Row],[Shift Output]]*Table1[[#This Row],[Part Weight (gm)]])/1000)+Table1[[#This Row],[Reject Startup (kg)]]+Table1[[#This Row],[Reject Purging (kg)]]+Table1[[#This Row],[Reject Preform (kg)]]</f>
        <v>0</v>
      </c>
      <c r="V502" s="37">
        <f>(Table1[[#This Row],[Gross Weight (gm)]]-Table1[[#This Row],[Part Weight (gm)]])*Table1[[#This Row],[Shift Output]]/1000</f>
        <v>0</v>
      </c>
      <c r="W502" s="3">
        <v>0</v>
      </c>
      <c r="X502" s="36" t="e">
        <f>Table1[[#This Row],[Reject Startup (kg)]]/Table1[[#This Row],[Material Used]]</f>
        <v>#DIV/0!</v>
      </c>
      <c r="Y502" s="3">
        <v>0</v>
      </c>
      <c r="Z502" s="36" t="e">
        <f>Table1[[#This Row],[Reject Prod (kg)]]/Table1[[#This Row],[Material Used]]</f>
        <v>#DIV/0!</v>
      </c>
      <c r="AA502" s="4">
        <v>0</v>
      </c>
      <c r="AB502" s="5">
        <v>12</v>
      </c>
      <c r="AC502" s="4" cm="1">
        <f t="array" ref="AC502">IFERROR(INDEX(ReferenceCard, MATCH(1, (INDEX(ReferenceCard,,1)=Table1[[#This Row],[SAP No]]) * (INDEX(ReferenceCard,,2)=Table1[[#This Row],[Mould No]]), 0), 9),)</f>
        <v>49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t="s">
        <v>110</v>
      </c>
      <c r="AL502" s="2"/>
      <c r="AM502" s="2"/>
      <c r="AN502" s="3">
        <v>0</v>
      </c>
      <c r="AO502" s="3">
        <v>0</v>
      </c>
      <c r="AP50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3" spans="1:42" x14ac:dyDescent="0.35">
      <c r="A503" s="1">
        <v>46007</v>
      </c>
      <c r="B503">
        <v>2</v>
      </c>
      <c r="C503" t="s">
        <v>23</v>
      </c>
      <c r="D503" t="str" cm="1">
        <f t="array" ref="D503">IFERROR(INDEX(ReferenceCard, MATCH(1, (INDEX(ReferenceCard,,1)=Table1[[#This Row],[SAP No]]) * (INDEX(ReferenceCard,,2)=Table1[[#This Row],[Mould No]]), 0), 6),)</f>
        <v>PPSB520Y</v>
      </c>
      <c r="E503">
        <v>586276</v>
      </c>
      <c r="F503">
        <v>2</v>
      </c>
      <c r="G503" t="str" cm="1">
        <f t="array" ref="G503">IFERROR(INDEX(ReferenceCard, MATCH(1, (INDEX(ReferenceCard,,1)=Table1[[#This Row],[SAP No]]) * (INDEX(ReferenceCard,,2)=Table1[[#This Row],[Mould No]]), 0), 3),)</f>
        <v>BC28-0056-D-APH-LEB-604001-MOLD2</v>
      </c>
      <c r="H503">
        <v>0</v>
      </c>
      <c r="I503" cm="1">
        <f t="array" ref="I503">IFERROR(INDEX(ReferenceCard, MATCH(1, (INDEX(ReferenceCard,,1)=Table1[[#This Row],[SAP No]]) * (INDEX(ReferenceCard,,2)=Table1[[#This Row],[Mould No]]), 0), 4),)</f>
        <v>6</v>
      </c>
      <c r="J503" s="4" cm="1">
        <f t="array" ref="J503">IFERROR(INDEX(ReferenceCard, MATCH(1, (INDEX(ReferenceCard,,1)=Table1[[#This Row],[SAP No]]) * (INDEX(ReferenceCard,,2)=Table1[[#This Row],[Mould No]]), 0), 9),)</f>
        <v>12.3</v>
      </c>
      <c r="K503" s="4" cm="1">
        <f t="array" ref="K503">IFERROR(INDEX(ReferenceCard, MATCH(1, (INDEX(ReferenceCard,,1)=Table1[[#This Row],[SAP No]]) * (INDEX(ReferenceCard,,2)=Table1[[#This Row],[Mould No]]), 0), 7),)</f>
        <v>12.3</v>
      </c>
      <c r="L503">
        <v>12920</v>
      </c>
      <c r="M503">
        <v>0</v>
      </c>
      <c r="N503">
        <v>0</v>
      </c>
      <c r="O503">
        <v>0</v>
      </c>
      <c r="P503">
        <f>Table1[[#This Row],[Shot]]*Table1[[#This Row],[Cav]]</f>
        <v>77520</v>
      </c>
      <c r="Q503">
        <v>0</v>
      </c>
      <c r="R503">
        <f>(Table1[[#This Row],[Part Weight (gm)]]*Table1[[#This Row],[Finish Good]])/1000</f>
        <v>0</v>
      </c>
      <c r="S503">
        <v>0</v>
      </c>
      <c r="T503">
        <f>IF(Table1[[#This Row],[Qty Order]]="Sample","-",IF(Table1[[#This Row],[Qty Order]]="RTFN","-",Table1[[#This Row],[Qty Order]]-Table1[[#This Row],[Qty Accumulate]]))</f>
        <v>0</v>
      </c>
      <c r="U503">
        <f>((Table1[[#This Row],[Shift Output]]*Table1[[#This Row],[Part Weight (gm)]])/1000)+Table1[[#This Row],[Reject Startup (kg)]]+Table1[[#This Row],[Reject Purging (kg)]]+Table1[[#This Row],[Reject Preform (kg)]]</f>
        <v>953.49599999999998</v>
      </c>
      <c r="V503" s="37">
        <f>(Table1[[#This Row],[Gross Weight (gm)]]-Table1[[#This Row],[Part Weight (gm)]])*Table1[[#This Row],[Shift Output]]/1000</f>
        <v>0</v>
      </c>
      <c r="W503" s="3">
        <v>0</v>
      </c>
      <c r="X503" s="36">
        <f>Table1[[#This Row],[Reject Startup (kg)]]/Table1[[#This Row],[Material Used]]</f>
        <v>0</v>
      </c>
      <c r="Y503" s="3">
        <v>0</v>
      </c>
      <c r="Z503" s="36">
        <f>Table1[[#This Row],[Reject Prod (kg)]]/Table1[[#This Row],[Material Used]]</f>
        <v>0</v>
      </c>
      <c r="AA503" s="4">
        <v>0</v>
      </c>
      <c r="AB503" s="5">
        <v>9.5199999999999907</v>
      </c>
      <c r="AC503" s="4" cm="1">
        <f t="array" ref="AC503">IFERROR(INDEX(ReferenceCard, MATCH(1, (INDEX(ReferenceCard,,1)=Table1[[#This Row],[SAP No]]) * (INDEX(ReferenceCard,,2)=Table1[[#This Row],[Mould No]]), 0), 9),)</f>
        <v>12.3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2.48</v>
      </c>
      <c r="AJ503" s="5">
        <v>0</v>
      </c>
      <c r="AL503" s="2"/>
      <c r="AM503" s="2"/>
      <c r="AN503" s="3">
        <v>0</v>
      </c>
      <c r="AO503" s="3">
        <v>0</v>
      </c>
      <c r="AP50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4" spans="1:42" x14ac:dyDescent="0.35">
      <c r="A504" s="1">
        <v>46007</v>
      </c>
      <c r="B504">
        <v>2</v>
      </c>
      <c r="C504" t="s">
        <v>25</v>
      </c>
      <c r="D504" t="str" cm="1">
        <f t="array" ref="D504">IFERROR(INDEX(ReferenceCard, MATCH(1, (INDEX(ReferenceCard,,1)=Table1[[#This Row],[SAP No]]) * (INDEX(ReferenceCard,,2)=Table1[[#This Row],[Mould No]]), 0), 6),)</f>
        <v>PET</v>
      </c>
      <c r="E504">
        <v>323133</v>
      </c>
      <c r="F504">
        <v>0</v>
      </c>
      <c r="G504" t="str" cm="1">
        <f t="array" ref="G504">IFERROR(INDEX(ReferenceCard, MATCH(1, (INDEX(ReferenceCard,,1)=Table1[[#This Row],[SAP No]]) * (INDEX(ReferenceCard,,2)=Table1[[#This Row],[Mould No]]), 0), 3),)</f>
        <v>BX38-2000-RH-R-CL(GREEN) (ASEM)</v>
      </c>
      <c r="H504">
        <v>0</v>
      </c>
      <c r="I504" cm="1">
        <f t="array" ref="I504">IFERROR(INDEX(ReferenceCard, MATCH(1, (INDEX(ReferenceCard,,1)=Table1[[#This Row],[SAP No]]) * (INDEX(ReferenceCard,,2)=Table1[[#This Row],[Mould No]]), 0), 4),)</f>
        <v>4</v>
      </c>
      <c r="J504" s="4" cm="1">
        <f t="array" ref="J504">IFERROR(INDEX(ReferenceCard, MATCH(1, (INDEX(ReferenceCard,,1)=Table1[[#This Row],[SAP No]]) * (INDEX(ReferenceCard,,2)=Table1[[#This Row],[Mould No]]), 0), 9),)</f>
        <v>77</v>
      </c>
      <c r="K504" s="4" cm="1">
        <f t="array" ref="K504">IFERROR(INDEX(ReferenceCard, MATCH(1, (INDEX(ReferenceCard,,1)=Table1[[#This Row],[SAP No]]) * (INDEX(ReferenceCard,,2)=Table1[[#This Row],[Mould No]]), 0), 7),)</f>
        <v>77</v>
      </c>
      <c r="L504">
        <v>0</v>
      </c>
      <c r="M504">
        <v>0</v>
      </c>
      <c r="N504">
        <v>0</v>
      </c>
      <c r="O504">
        <v>0</v>
      </c>
      <c r="P504">
        <f>Table1[[#This Row],[Shot]]*Table1[[#This Row],[Cav]]</f>
        <v>0</v>
      </c>
      <c r="Q504">
        <v>0</v>
      </c>
      <c r="R504">
        <f>(Table1[[#This Row],[Part Weight (gm)]]*Table1[[#This Row],[Finish Good]])/1000</f>
        <v>0</v>
      </c>
      <c r="S504">
        <v>0</v>
      </c>
      <c r="T504">
        <f>IF(Table1[[#This Row],[Qty Order]]="Sample","-",IF(Table1[[#This Row],[Qty Order]]="RTFN","-",Table1[[#This Row],[Qty Order]]-Table1[[#This Row],[Qty Accumulate]]))</f>
        <v>0</v>
      </c>
      <c r="U504">
        <f>((Table1[[#This Row],[Shift Output]]*Table1[[#This Row],[Part Weight (gm)]])/1000)+Table1[[#This Row],[Reject Startup (kg)]]+Table1[[#This Row],[Reject Purging (kg)]]+Table1[[#This Row],[Reject Preform (kg)]]</f>
        <v>0</v>
      </c>
      <c r="V504" s="37">
        <f>(Table1[[#This Row],[Gross Weight (gm)]]-Table1[[#This Row],[Part Weight (gm)]])*Table1[[#This Row],[Shift Output]]/1000</f>
        <v>0</v>
      </c>
      <c r="W504" s="3">
        <v>0</v>
      </c>
      <c r="X504" s="36" t="e">
        <f>Table1[[#This Row],[Reject Startup (kg)]]/Table1[[#This Row],[Material Used]]</f>
        <v>#DIV/0!</v>
      </c>
      <c r="Y504" s="3">
        <v>0</v>
      </c>
      <c r="Z504" s="36" t="e">
        <f>Table1[[#This Row],[Reject Prod (kg)]]/Table1[[#This Row],[Material Used]]</f>
        <v>#DIV/0!</v>
      </c>
      <c r="AA504" s="4">
        <v>0</v>
      </c>
      <c r="AB504" s="5">
        <v>0</v>
      </c>
      <c r="AC504" s="4" cm="1">
        <f t="array" ref="AC504">IFERROR(INDEX(ReferenceCard, MATCH(1, (INDEX(ReferenceCard,,1)=Table1[[#This Row],[SAP No]]) * (INDEX(ReferenceCard,,2)=Table1[[#This Row],[Mould No]]), 0), 9),)</f>
        <v>77</v>
      </c>
      <c r="AD504" s="5">
        <v>0</v>
      </c>
      <c r="AE504" s="5">
        <v>0</v>
      </c>
      <c r="AF504" s="5">
        <v>0</v>
      </c>
      <c r="AG504" s="5">
        <v>0</v>
      </c>
      <c r="AH504" s="5">
        <v>12</v>
      </c>
      <c r="AI504" s="5">
        <v>0</v>
      </c>
      <c r="AJ504" s="5">
        <v>0</v>
      </c>
      <c r="AK504" t="s">
        <v>79</v>
      </c>
      <c r="AL504" s="2"/>
      <c r="AM504" s="2"/>
      <c r="AN504" s="3">
        <v>0</v>
      </c>
      <c r="AO504" s="3">
        <v>0</v>
      </c>
      <c r="AP50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5" spans="1:42" x14ac:dyDescent="0.35">
      <c r="A505" s="1">
        <v>46007</v>
      </c>
      <c r="B505">
        <v>2</v>
      </c>
      <c r="C505" t="s">
        <v>27</v>
      </c>
      <c r="D505" t="str" cm="1">
        <f t="array" ref="D505">IFERROR(INDEX(ReferenceCard, MATCH(1, (INDEX(ReferenceCard,,1)=Table1[[#This Row],[SAP No]]) * (INDEX(ReferenceCard,,2)=Table1[[#This Row],[Mould No]]), 0), 6),)</f>
        <v>PPSB520Y</v>
      </c>
      <c r="E505">
        <v>552181</v>
      </c>
      <c r="F505">
        <v>4</v>
      </c>
      <c r="G505" t="str" cm="1">
        <f t="array" ref="G505">IFERROR(INDEX(ReferenceCard, MATCH(1, (INDEX(ReferenceCard,,1)=Table1[[#This Row],[SAP No]]) * (INDEX(ReferenceCard,,2)=Table1[[#This Row],[Mould No]]), 0), 3),)</f>
        <v>BC28-0090-D-APH-5180-3538-PP-6 NOTCHES-MOLD4</v>
      </c>
      <c r="H505">
        <v>0</v>
      </c>
      <c r="I505" cm="1">
        <f t="array" ref="I505">IFERROR(INDEX(ReferenceCard, MATCH(1, (INDEX(ReferenceCard,,1)=Table1[[#This Row],[SAP No]]) * (INDEX(ReferenceCard,,2)=Table1[[#This Row],[Mould No]]), 0), 4),)</f>
        <v>6</v>
      </c>
      <c r="J505" s="4" cm="1">
        <f t="array" ref="J505">IFERROR(INDEX(ReferenceCard, MATCH(1, (INDEX(ReferenceCard,,1)=Table1[[#This Row],[SAP No]]) * (INDEX(ReferenceCard,,2)=Table1[[#This Row],[Mould No]]), 0), 9),)</f>
        <v>18.8</v>
      </c>
      <c r="K505" s="4" cm="1">
        <f t="array" ref="K505">IFERROR(INDEX(ReferenceCard, MATCH(1, (INDEX(ReferenceCard,,1)=Table1[[#This Row],[SAP No]]) * (INDEX(ReferenceCard,,2)=Table1[[#This Row],[Mould No]]), 0), 7),)</f>
        <v>18.8</v>
      </c>
      <c r="L505">
        <v>756</v>
      </c>
      <c r="M505">
        <v>0</v>
      </c>
      <c r="N505">
        <v>0</v>
      </c>
      <c r="O505">
        <v>0</v>
      </c>
      <c r="P505">
        <f>Table1[[#This Row],[Shot]]*Table1[[#This Row],[Cav]]</f>
        <v>4536</v>
      </c>
      <c r="Q505">
        <v>0</v>
      </c>
      <c r="R505">
        <f>(Table1[[#This Row],[Part Weight (gm)]]*Table1[[#This Row],[Finish Good]])/1000</f>
        <v>0</v>
      </c>
      <c r="S505">
        <v>0</v>
      </c>
      <c r="T505">
        <f>IF(Table1[[#This Row],[Qty Order]]="Sample","-",IF(Table1[[#This Row],[Qty Order]]="RTFN","-",Table1[[#This Row],[Qty Order]]-Table1[[#This Row],[Qty Accumulate]]))</f>
        <v>0</v>
      </c>
      <c r="U505">
        <f>((Table1[[#This Row],[Shift Output]]*Table1[[#This Row],[Part Weight (gm)]])/1000)+Table1[[#This Row],[Reject Startup (kg)]]+Table1[[#This Row],[Reject Purging (kg)]]+Table1[[#This Row],[Reject Preform (kg)]]</f>
        <v>85.276800000000009</v>
      </c>
      <c r="V505" s="37">
        <f>(Table1[[#This Row],[Gross Weight (gm)]]-Table1[[#This Row],[Part Weight (gm)]])*Table1[[#This Row],[Shift Output]]/1000</f>
        <v>0</v>
      </c>
      <c r="W505" s="3">
        <v>0</v>
      </c>
      <c r="X505" s="36">
        <f>Table1[[#This Row],[Reject Startup (kg)]]/Table1[[#This Row],[Material Used]]</f>
        <v>0</v>
      </c>
      <c r="Y505" s="3">
        <v>0</v>
      </c>
      <c r="Z505" s="36">
        <f>Table1[[#This Row],[Reject Prod (kg)]]/Table1[[#This Row],[Material Used]]</f>
        <v>0</v>
      </c>
      <c r="AA505" s="4">
        <v>0</v>
      </c>
      <c r="AB505" s="5">
        <v>12</v>
      </c>
      <c r="AC505" s="4" cm="1">
        <f t="array" ref="AC505">IFERROR(INDEX(ReferenceCard, MATCH(1, (INDEX(ReferenceCard,,1)=Table1[[#This Row],[SAP No]]) * (INDEX(ReferenceCard,,2)=Table1[[#This Row],[Mould No]]), 0), 9),)</f>
        <v>18.8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L505" s="2"/>
      <c r="AM505" s="2"/>
      <c r="AN505" s="3">
        <v>0</v>
      </c>
      <c r="AO505" s="3">
        <v>0</v>
      </c>
      <c r="AP50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6" spans="1:42" x14ac:dyDescent="0.35">
      <c r="A506" s="1">
        <v>46007</v>
      </c>
      <c r="B506">
        <v>2</v>
      </c>
      <c r="C506" t="s">
        <v>29</v>
      </c>
      <c r="D506" t="str" cm="1">
        <f t="array" ref="D506">IFERROR(INDEX(ReferenceCard, MATCH(1, (INDEX(ReferenceCard,,1)=Table1[[#This Row],[SAP No]]) * (INDEX(ReferenceCard,,2)=Table1[[#This Row],[Mould No]]), 0), 6),)</f>
        <v>PET</v>
      </c>
      <c r="E506">
        <v>620599</v>
      </c>
      <c r="F506">
        <v>0</v>
      </c>
      <c r="G506" t="str" cm="1">
        <f t="array" ref="G506">IFERROR(INDEX(ReferenceCard, MATCH(1, (INDEX(ReferenceCard,,1)=Table1[[#This Row],[SAP No]]) * (INDEX(ReferenceCard,,2)=Table1[[#This Row],[Mould No]]), 0), 3),)</f>
        <v>BC28-0750-K4-R-CL (55g)</v>
      </c>
      <c r="H506">
        <v>0</v>
      </c>
      <c r="I506" cm="1">
        <f t="array" ref="I506">IFERROR(INDEX(ReferenceCard, MATCH(1, (INDEX(ReferenceCard,,1)=Table1[[#This Row],[SAP No]]) * (INDEX(ReferenceCard,,2)=Table1[[#This Row],[Mould No]]), 0), 4),)</f>
        <v>4</v>
      </c>
      <c r="J506" s="4" cm="1">
        <f t="array" ref="J506">IFERROR(INDEX(ReferenceCard, MATCH(1, (INDEX(ReferenceCard,,1)=Table1[[#This Row],[SAP No]]) * (INDEX(ReferenceCard,,2)=Table1[[#This Row],[Mould No]]), 0), 9),)</f>
        <v>55</v>
      </c>
      <c r="K506" s="4" cm="1">
        <f t="array" ref="K506">IFERROR(INDEX(ReferenceCard, MATCH(1, (INDEX(ReferenceCard,,1)=Table1[[#This Row],[SAP No]]) * (INDEX(ReferenceCard,,2)=Table1[[#This Row],[Mould No]]), 0), 7),)</f>
        <v>55</v>
      </c>
      <c r="L506">
        <v>0</v>
      </c>
      <c r="M506">
        <v>0</v>
      </c>
      <c r="N506">
        <v>0</v>
      </c>
      <c r="O506">
        <v>0</v>
      </c>
      <c r="P506">
        <f>Table1[[#This Row],[Shot]]*Table1[[#This Row],[Cav]]</f>
        <v>0</v>
      </c>
      <c r="Q506">
        <v>0</v>
      </c>
      <c r="R506">
        <f>(Table1[[#This Row],[Part Weight (gm)]]*Table1[[#This Row],[Finish Good]])/1000</f>
        <v>0</v>
      </c>
      <c r="S506">
        <v>0</v>
      </c>
      <c r="T506">
        <f>IF(Table1[[#This Row],[Qty Order]]="Sample","-",IF(Table1[[#This Row],[Qty Order]]="RTFN","-",Table1[[#This Row],[Qty Order]]-Table1[[#This Row],[Qty Accumulate]]))</f>
        <v>0</v>
      </c>
      <c r="U506">
        <f>((Table1[[#This Row],[Shift Output]]*Table1[[#This Row],[Part Weight (gm)]])/1000)+Table1[[#This Row],[Reject Startup (kg)]]+Table1[[#This Row],[Reject Purging (kg)]]+Table1[[#This Row],[Reject Preform (kg)]]</f>
        <v>0</v>
      </c>
      <c r="V506" s="37">
        <f>(Table1[[#This Row],[Gross Weight (gm)]]-Table1[[#This Row],[Part Weight (gm)]])*Table1[[#This Row],[Shift Output]]/1000</f>
        <v>0</v>
      </c>
      <c r="W506" s="3">
        <v>0</v>
      </c>
      <c r="X506" s="36" t="e">
        <f>Table1[[#This Row],[Reject Startup (kg)]]/Table1[[#This Row],[Material Used]]</f>
        <v>#DIV/0!</v>
      </c>
      <c r="Y506" s="3">
        <v>0</v>
      </c>
      <c r="Z506" s="36" t="e">
        <f>Table1[[#This Row],[Reject Prod (kg)]]/Table1[[#This Row],[Material Used]]</f>
        <v>#DIV/0!</v>
      </c>
      <c r="AA506" s="4">
        <v>0</v>
      </c>
      <c r="AB506" s="5">
        <v>4.91</v>
      </c>
      <c r="AC506" s="4" cm="1">
        <f t="array" ref="AC506">IFERROR(INDEX(ReferenceCard, MATCH(1, (INDEX(ReferenceCard,,1)=Table1[[#This Row],[SAP No]]) * (INDEX(ReferenceCard,,2)=Table1[[#This Row],[Mould No]]), 0), 9),)</f>
        <v>55</v>
      </c>
      <c r="AD506" s="5">
        <v>0</v>
      </c>
      <c r="AE506" s="5">
        <v>0</v>
      </c>
      <c r="AF506" s="5">
        <v>0</v>
      </c>
      <c r="AG506" s="5">
        <v>7.0899999999999901</v>
      </c>
      <c r="AH506" s="5">
        <v>0</v>
      </c>
      <c r="AI506" s="5">
        <v>0</v>
      </c>
      <c r="AJ506" s="5">
        <v>0</v>
      </c>
      <c r="AL506" s="2"/>
      <c r="AM506" s="2"/>
      <c r="AN506" s="3">
        <v>0</v>
      </c>
      <c r="AO506" s="3">
        <v>0</v>
      </c>
      <c r="AP50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7" spans="1:42" x14ac:dyDescent="0.35">
      <c r="A507" s="1">
        <v>46007</v>
      </c>
      <c r="B507">
        <v>2</v>
      </c>
      <c r="C507" t="s">
        <v>31</v>
      </c>
      <c r="D507" t="str" cm="1">
        <f t="array" ref="D507">IFERROR(INDEX(ReferenceCard, MATCH(1, (INDEX(ReferenceCard,,1)=Table1[[#This Row],[SAP No]]) * (INDEX(ReferenceCard,,2)=Table1[[#This Row],[Mould No]]), 0), 6),)</f>
        <v>PPSB520Y</v>
      </c>
      <c r="E507">
        <v>586276</v>
      </c>
      <c r="F507">
        <v>4</v>
      </c>
      <c r="G507" t="str" cm="1">
        <f t="array" ref="G507">IFERROR(INDEX(ReferenceCard, MATCH(1, (INDEX(ReferenceCard,,1)=Table1[[#This Row],[SAP No]]) * (INDEX(ReferenceCard,,2)=Table1[[#This Row],[Mould No]]), 0), 3),)</f>
        <v>BC28-0056-D-APH-LEB-604001-MOLD4</v>
      </c>
      <c r="H507">
        <v>0</v>
      </c>
      <c r="I507" cm="1">
        <f t="array" ref="I507">IFERROR(INDEX(ReferenceCard, MATCH(1, (INDEX(ReferenceCard,,1)=Table1[[#This Row],[SAP No]]) * (INDEX(ReferenceCard,,2)=Table1[[#This Row],[Mould No]]), 0), 4),)</f>
        <v>6</v>
      </c>
      <c r="J507" s="4" cm="1">
        <f t="array" ref="J507">IFERROR(INDEX(ReferenceCard, MATCH(1, (INDEX(ReferenceCard,,1)=Table1[[#This Row],[SAP No]]) * (INDEX(ReferenceCard,,2)=Table1[[#This Row],[Mould No]]), 0), 9),)</f>
        <v>12.3</v>
      </c>
      <c r="K507" s="4" cm="1">
        <f t="array" ref="K507">IFERROR(INDEX(ReferenceCard, MATCH(1, (INDEX(ReferenceCard,,1)=Table1[[#This Row],[SAP No]]) * (INDEX(ReferenceCard,,2)=Table1[[#This Row],[Mould No]]), 0), 7),)</f>
        <v>12.3</v>
      </c>
      <c r="L507">
        <v>555</v>
      </c>
      <c r="M507">
        <v>0</v>
      </c>
      <c r="N507">
        <v>0</v>
      </c>
      <c r="O507">
        <v>0</v>
      </c>
      <c r="P507">
        <f>Table1[[#This Row],[Shot]]*Table1[[#This Row],[Cav]]</f>
        <v>3330</v>
      </c>
      <c r="Q507">
        <v>0</v>
      </c>
      <c r="R507">
        <f>(Table1[[#This Row],[Part Weight (gm)]]*Table1[[#This Row],[Finish Good]])/1000</f>
        <v>0</v>
      </c>
      <c r="S507">
        <v>0</v>
      </c>
      <c r="T507">
        <f>IF(Table1[[#This Row],[Qty Order]]="Sample","-",IF(Table1[[#This Row],[Qty Order]]="RTFN","-",Table1[[#This Row],[Qty Order]]-Table1[[#This Row],[Qty Accumulate]]))</f>
        <v>0</v>
      </c>
      <c r="U507">
        <f>((Table1[[#This Row],[Shift Output]]*Table1[[#This Row],[Part Weight (gm)]])/1000)+Table1[[#This Row],[Reject Startup (kg)]]+Table1[[#This Row],[Reject Purging (kg)]]+Table1[[#This Row],[Reject Preform (kg)]]</f>
        <v>40.959000000000003</v>
      </c>
      <c r="V507" s="37">
        <f>(Table1[[#This Row],[Gross Weight (gm)]]-Table1[[#This Row],[Part Weight (gm)]])*Table1[[#This Row],[Shift Output]]/1000</f>
        <v>0</v>
      </c>
      <c r="W507" s="3">
        <v>0</v>
      </c>
      <c r="X507" s="36">
        <f>Table1[[#This Row],[Reject Startup (kg)]]/Table1[[#This Row],[Material Used]]</f>
        <v>0</v>
      </c>
      <c r="Y507" s="3">
        <v>0</v>
      </c>
      <c r="Z507" s="36">
        <f>Table1[[#This Row],[Reject Prod (kg)]]/Table1[[#This Row],[Material Used]]</f>
        <v>0</v>
      </c>
      <c r="AA507" s="4">
        <v>0</v>
      </c>
      <c r="AB507" s="5">
        <v>5.1799999999999899</v>
      </c>
      <c r="AC507" s="4" cm="1">
        <f t="array" ref="AC507">IFERROR(INDEX(ReferenceCard, MATCH(1, (INDEX(ReferenceCard,,1)=Table1[[#This Row],[SAP No]]) * (INDEX(ReferenceCard,,2)=Table1[[#This Row],[Mould No]]), 0), 9),)</f>
        <v>12.3</v>
      </c>
      <c r="AD507" s="5">
        <v>0</v>
      </c>
      <c r="AE507" s="5">
        <v>0</v>
      </c>
      <c r="AF507" s="5">
        <v>0</v>
      </c>
      <c r="AG507" s="5">
        <v>0</v>
      </c>
      <c r="AH507" s="5">
        <v>6.82</v>
      </c>
      <c r="AI507" s="5">
        <v>0</v>
      </c>
      <c r="AJ507" s="5">
        <v>0</v>
      </c>
      <c r="AL507" s="2"/>
      <c r="AM507" s="2"/>
      <c r="AN507" s="3">
        <v>0</v>
      </c>
      <c r="AO507" s="3">
        <v>0</v>
      </c>
      <c r="AP50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8" spans="1:42" x14ac:dyDescent="0.35">
      <c r="A508" s="1">
        <v>46007</v>
      </c>
      <c r="B508">
        <v>1</v>
      </c>
      <c r="C508" t="s">
        <v>16</v>
      </c>
      <c r="D508" t="str" cm="1">
        <f t="array" ref="D508">IFERROR(INDEX(ReferenceCard, MATCH(1, (INDEX(ReferenceCard,,1)=Table1[[#This Row],[SAP No]]) * (INDEX(ReferenceCard,,2)=Table1[[#This Row],[Mould No]]), 0), 6),)</f>
        <v>PET</v>
      </c>
      <c r="E508">
        <v>324206</v>
      </c>
      <c r="F508">
        <v>0</v>
      </c>
      <c r="G508" t="str" cm="1">
        <f t="array" ref="G508">IFERROR(INDEX(ReferenceCard, MATCH(1, (INDEX(ReferenceCard,,1)=Table1[[#This Row],[SAP No]]) * (INDEX(ReferenceCard,,2)=Table1[[#This Row],[Mould No]]), 0), 3),)</f>
        <v>BX38-1000-HC-S-CL</v>
      </c>
      <c r="H508">
        <v>0</v>
      </c>
      <c r="I508" cm="1">
        <f t="array" ref="I508">IFERROR(INDEX(ReferenceCard, MATCH(1, (INDEX(ReferenceCard,,1)=Table1[[#This Row],[SAP No]]) * (INDEX(ReferenceCard,,2)=Table1[[#This Row],[Mould No]]), 0), 4),)</f>
        <v>4</v>
      </c>
      <c r="J508" s="4" cm="1">
        <f t="array" ref="J508">IFERROR(INDEX(ReferenceCard, MATCH(1, (INDEX(ReferenceCard,,1)=Table1[[#This Row],[SAP No]]) * (INDEX(ReferenceCard,,2)=Table1[[#This Row],[Mould No]]), 0), 9),)</f>
        <v>49</v>
      </c>
      <c r="K508" s="4" cm="1">
        <f t="array" ref="K508">IFERROR(INDEX(ReferenceCard, MATCH(1, (INDEX(ReferenceCard,,1)=Table1[[#This Row],[SAP No]]) * (INDEX(ReferenceCard,,2)=Table1[[#This Row],[Mould No]]), 0), 7),)</f>
        <v>48</v>
      </c>
      <c r="L508">
        <v>0</v>
      </c>
      <c r="M508">
        <v>0</v>
      </c>
      <c r="N508">
        <v>0</v>
      </c>
      <c r="O508">
        <v>0</v>
      </c>
      <c r="P508">
        <f>Table1[[#This Row],[Shot]]*Table1[[#This Row],[Cav]]</f>
        <v>0</v>
      </c>
      <c r="Q508">
        <v>0</v>
      </c>
      <c r="R508">
        <f>(Table1[[#This Row],[Part Weight (gm)]]*Table1[[#This Row],[Finish Good]])/1000</f>
        <v>0</v>
      </c>
      <c r="S508">
        <v>0</v>
      </c>
      <c r="T508">
        <f>IF(Table1[[#This Row],[Qty Order]]="Sample","-",IF(Table1[[#This Row],[Qty Order]]="RTFN","-",Table1[[#This Row],[Qty Order]]-Table1[[#This Row],[Qty Accumulate]]))</f>
        <v>0</v>
      </c>
      <c r="U508">
        <f>((Table1[[#This Row],[Shift Output]]*Table1[[#This Row],[Part Weight (gm)]])/1000)+Table1[[#This Row],[Reject Startup (kg)]]+Table1[[#This Row],[Reject Purging (kg)]]+Table1[[#This Row],[Reject Preform (kg)]]</f>
        <v>0</v>
      </c>
      <c r="V508" s="37">
        <f>(Table1[[#This Row],[Gross Weight (gm)]]-Table1[[#This Row],[Part Weight (gm)]])*Table1[[#This Row],[Shift Output]]/1000</f>
        <v>0</v>
      </c>
      <c r="W508" s="3">
        <v>0</v>
      </c>
      <c r="X508" s="36" t="e">
        <f>Table1[[#This Row],[Reject Startup (kg)]]/Table1[[#This Row],[Material Used]]</f>
        <v>#DIV/0!</v>
      </c>
      <c r="Y508" s="3">
        <v>0</v>
      </c>
      <c r="Z508" s="36" t="e">
        <f>Table1[[#This Row],[Reject Prod (kg)]]/Table1[[#This Row],[Material Used]]</f>
        <v>#DIV/0!</v>
      </c>
      <c r="AA508" s="4">
        <v>0</v>
      </c>
      <c r="AB508" s="5">
        <v>0</v>
      </c>
      <c r="AC508" s="4" cm="1">
        <f t="array" ref="AC508">IFERROR(INDEX(ReferenceCard, MATCH(1, (INDEX(ReferenceCard,,1)=Table1[[#This Row],[SAP No]]) * (INDEX(ReferenceCard,,2)=Table1[[#This Row],[Mould No]]), 0), 9),)</f>
        <v>49</v>
      </c>
      <c r="AD508" s="5">
        <v>0</v>
      </c>
      <c r="AE508" s="5">
        <v>0</v>
      </c>
      <c r="AF508" s="5">
        <v>0</v>
      </c>
      <c r="AG508" s="5">
        <v>0</v>
      </c>
      <c r="AH508" s="5">
        <v>7.2699999999999898</v>
      </c>
      <c r="AI508" s="5">
        <v>0</v>
      </c>
      <c r="AJ508" s="5">
        <v>0</v>
      </c>
      <c r="AK508" t="s">
        <v>122</v>
      </c>
      <c r="AL508" s="2"/>
      <c r="AM508" s="2"/>
      <c r="AN508" s="3">
        <v>0</v>
      </c>
      <c r="AO508" s="3">
        <v>0</v>
      </c>
      <c r="AP50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09" spans="1:42" x14ac:dyDescent="0.35">
      <c r="A509" s="1">
        <v>46007</v>
      </c>
      <c r="B509">
        <v>1</v>
      </c>
      <c r="C509" t="s">
        <v>7</v>
      </c>
      <c r="D509" t="str" cm="1">
        <f t="array" ref="D509">IFERROR(INDEX(ReferenceCard, MATCH(1, (INDEX(ReferenceCard,,1)=Table1[[#This Row],[SAP No]]) * (INDEX(ReferenceCard,,2)=Table1[[#This Row],[Mould No]]), 0), 6),)</f>
        <v>PET</v>
      </c>
      <c r="E509">
        <v>451191</v>
      </c>
      <c r="F509">
        <v>0</v>
      </c>
      <c r="G509" t="str" cm="1">
        <f t="array" ref="G509">IFERROR(INDEX(ReferenceCard, MATCH(1, (INDEX(ReferenceCard,,1)=Table1[[#This Row],[SAP No]]) * (INDEX(ReferenceCard,,2)=Table1[[#This Row],[Mould No]]), 0), 3),)</f>
        <v>BX38-0350-Z-C-CL</v>
      </c>
      <c r="H509">
        <v>0</v>
      </c>
      <c r="I509" cm="1">
        <f t="array" ref="I509">IFERROR(INDEX(ReferenceCard, MATCH(1, (INDEX(ReferenceCard,,1)=Table1[[#This Row],[SAP No]]) * (INDEX(ReferenceCard,,2)=Table1[[#This Row],[Mould No]]), 0), 4),)</f>
        <v>4</v>
      </c>
      <c r="J509" s="4" cm="1">
        <f t="array" ref="J509">IFERROR(INDEX(ReferenceCard, MATCH(1, (INDEX(ReferenceCard,,1)=Table1[[#This Row],[SAP No]]) * (INDEX(ReferenceCard,,2)=Table1[[#This Row],[Mould No]]), 0), 9),)</f>
        <v>29</v>
      </c>
      <c r="K509" s="4" cm="1">
        <f t="array" ref="K509">IFERROR(INDEX(ReferenceCard, MATCH(1, (INDEX(ReferenceCard,,1)=Table1[[#This Row],[SAP No]]) * (INDEX(ReferenceCard,,2)=Table1[[#This Row],[Mould No]]), 0), 7),)</f>
        <v>29</v>
      </c>
      <c r="L509">
        <v>1680</v>
      </c>
      <c r="M509">
        <v>0</v>
      </c>
      <c r="N509">
        <v>0</v>
      </c>
      <c r="O509">
        <v>0</v>
      </c>
      <c r="P509">
        <f>Table1[[#This Row],[Shot]]*Table1[[#This Row],[Cav]]</f>
        <v>6720</v>
      </c>
      <c r="Q509">
        <v>0</v>
      </c>
      <c r="R509">
        <f>(Table1[[#This Row],[Part Weight (gm)]]*Table1[[#This Row],[Finish Good]])/1000</f>
        <v>0</v>
      </c>
      <c r="S509">
        <v>0</v>
      </c>
      <c r="T509">
        <f>IF(Table1[[#This Row],[Qty Order]]="Sample","-",IF(Table1[[#This Row],[Qty Order]]="RTFN","-",Table1[[#This Row],[Qty Order]]-Table1[[#This Row],[Qty Accumulate]]))</f>
        <v>0</v>
      </c>
      <c r="U509">
        <f>((Table1[[#This Row],[Shift Output]]*Table1[[#This Row],[Part Weight (gm)]])/1000)+Table1[[#This Row],[Reject Startup (kg)]]+Table1[[#This Row],[Reject Purging (kg)]]+Table1[[#This Row],[Reject Preform (kg)]]</f>
        <v>194.88</v>
      </c>
      <c r="V509" s="37">
        <f>(Table1[[#This Row],[Gross Weight (gm)]]-Table1[[#This Row],[Part Weight (gm)]])*Table1[[#This Row],[Shift Output]]/1000</f>
        <v>0</v>
      </c>
      <c r="W509" s="3">
        <v>0</v>
      </c>
      <c r="X509" s="36">
        <f>Table1[[#This Row],[Reject Startup (kg)]]/Table1[[#This Row],[Material Used]]</f>
        <v>0</v>
      </c>
      <c r="Y509" s="3">
        <v>0</v>
      </c>
      <c r="Z509" s="36">
        <f>Table1[[#This Row],[Reject Prod (kg)]]/Table1[[#This Row],[Material Used]]</f>
        <v>0</v>
      </c>
      <c r="AA509" s="4">
        <v>25.698307037353501</v>
      </c>
      <c r="AB509" s="5">
        <v>7.29</v>
      </c>
      <c r="AC509" s="4" cm="1">
        <f t="array" ref="AC509">IFERROR(INDEX(ReferenceCard, MATCH(1, (INDEX(ReferenceCard,,1)=Table1[[#This Row],[SAP No]]) * (INDEX(ReferenceCard,,2)=Table1[[#This Row],[Mould No]]), 0), 9),)</f>
        <v>29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L509" s="2"/>
      <c r="AM509" s="2"/>
      <c r="AN509" s="3">
        <v>0</v>
      </c>
      <c r="AO509" s="3">
        <v>0</v>
      </c>
      <c r="AP50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0" spans="1:42" x14ac:dyDescent="0.35">
      <c r="A510" s="1">
        <v>46007</v>
      </c>
      <c r="B510">
        <v>1</v>
      </c>
      <c r="C510" t="s">
        <v>3</v>
      </c>
      <c r="D510" t="str" cm="1">
        <f t="array" ref="D510">IFERROR(INDEX(ReferenceCard, MATCH(1, (INDEX(ReferenceCard,,1)=Table1[[#This Row],[SAP No]]) * (INDEX(ReferenceCard,,2)=Table1[[#This Row],[Mould No]]), 0), 6),)</f>
        <v>PET</v>
      </c>
      <c r="E510">
        <v>580324</v>
      </c>
      <c r="F510">
        <v>0</v>
      </c>
      <c r="G510" t="str" cm="1">
        <f t="array" ref="G510">IFERROR(INDEX(ReferenceCard, MATCH(1, (INDEX(ReferenceCard,,1)=Table1[[#This Row],[SAP No]]) * (INDEX(ReferenceCard,,2)=Table1[[#This Row],[Mould No]]), 0), 3),)</f>
        <v>BC28-0060-M-R-AM-LW</v>
      </c>
      <c r="H510">
        <v>0</v>
      </c>
      <c r="I510" cm="1">
        <f t="array" ref="I510">IFERROR(INDEX(ReferenceCard, MATCH(1, (INDEX(ReferenceCard,,1)=Table1[[#This Row],[SAP No]]) * (INDEX(ReferenceCard,,2)=Table1[[#This Row],[Mould No]]), 0), 4),)</f>
        <v>4</v>
      </c>
      <c r="J510" s="4" cm="1">
        <f t="array" ref="J510">IFERROR(INDEX(ReferenceCard, MATCH(1, (INDEX(ReferenceCard,,1)=Table1[[#This Row],[SAP No]]) * (INDEX(ReferenceCard,,2)=Table1[[#This Row],[Mould No]]), 0), 9),)</f>
        <v>11.3</v>
      </c>
      <c r="K510" s="4" cm="1">
        <f t="array" ref="K510">IFERROR(INDEX(ReferenceCard, MATCH(1, (INDEX(ReferenceCard,,1)=Table1[[#This Row],[SAP No]]) * (INDEX(ReferenceCard,,2)=Table1[[#This Row],[Mould No]]), 0), 7),)</f>
        <v>11.3</v>
      </c>
      <c r="L510">
        <v>2696</v>
      </c>
      <c r="M510">
        <v>0</v>
      </c>
      <c r="N510">
        <v>0</v>
      </c>
      <c r="O510">
        <v>0</v>
      </c>
      <c r="P510">
        <f>Table1[[#This Row],[Shot]]*Table1[[#This Row],[Cav]]</f>
        <v>10784</v>
      </c>
      <c r="Q510">
        <v>0</v>
      </c>
      <c r="R510">
        <f>(Table1[[#This Row],[Part Weight (gm)]]*Table1[[#This Row],[Finish Good]])/1000</f>
        <v>0</v>
      </c>
      <c r="S510">
        <v>0</v>
      </c>
      <c r="T510">
        <f>IF(Table1[[#This Row],[Qty Order]]="Sample","-",IF(Table1[[#This Row],[Qty Order]]="RTFN","-",Table1[[#This Row],[Qty Order]]-Table1[[#This Row],[Qty Accumulate]]))</f>
        <v>0</v>
      </c>
      <c r="U510">
        <f>((Table1[[#This Row],[Shift Output]]*Table1[[#This Row],[Part Weight (gm)]])/1000)+Table1[[#This Row],[Reject Startup (kg)]]+Table1[[#This Row],[Reject Purging (kg)]]+Table1[[#This Row],[Reject Preform (kg)]]</f>
        <v>121.85920000000002</v>
      </c>
      <c r="V510" s="37">
        <f>(Table1[[#This Row],[Gross Weight (gm)]]-Table1[[#This Row],[Part Weight (gm)]])*Table1[[#This Row],[Shift Output]]/1000</f>
        <v>0</v>
      </c>
      <c r="W510" s="3">
        <v>0</v>
      </c>
      <c r="X510" s="36">
        <f>Table1[[#This Row],[Reject Startup (kg)]]/Table1[[#This Row],[Material Used]]</f>
        <v>0</v>
      </c>
      <c r="Y510" s="3">
        <v>0</v>
      </c>
      <c r="Z510" s="36">
        <f>Table1[[#This Row],[Reject Prod (kg)]]/Table1[[#This Row],[Material Used]]</f>
        <v>0</v>
      </c>
      <c r="AA510" s="4">
        <v>22.349168777465799</v>
      </c>
      <c r="AB510" s="5">
        <v>7.25999999999999</v>
      </c>
      <c r="AC510" s="4" cm="1">
        <f t="array" ref="AC510">IFERROR(INDEX(ReferenceCard, MATCH(1, (INDEX(ReferenceCard,,1)=Table1[[#This Row],[SAP No]]) * (INDEX(ReferenceCard,,2)=Table1[[#This Row],[Mould No]]), 0), 9),)</f>
        <v>11.3</v>
      </c>
      <c r="AD510" s="5">
        <v>0</v>
      </c>
      <c r="AE510" s="5">
        <v>0</v>
      </c>
      <c r="AF510" s="5">
        <v>0</v>
      </c>
      <c r="AG510" s="5">
        <v>0</v>
      </c>
      <c r="AH510" s="5">
        <v>0.04</v>
      </c>
      <c r="AI510" s="5">
        <v>0</v>
      </c>
      <c r="AJ510" s="5">
        <v>0</v>
      </c>
      <c r="AL510" s="2"/>
      <c r="AM510" s="2"/>
      <c r="AN510" s="3">
        <v>0</v>
      </c>
      <c r="AO510" s="3">
        <v>0</v>
      </c>
      <c r="AP51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1" spans="1:42" x14ac:dyDescent="0.35">
      <c r="A511" s="1">
        <v>46007</v>
      </c>
      <c r="B511">
        <v>1</v>
      </c>
      <c r="C511" t="s">
        <v>0</v>
      </c>
      <c r="D511" t="str" cm="1">
        <f t="array" ref="D511">IFERROR(INDEX(ReferenceCard, MATCH(1, (INDEX(ReferenceCard,,1)=Table1[[#This Row],[SAP No]]) * (INDEX(ReferenceCard,,2)=Table1[[#This Row],[Mould No]]), 0), 6),)</f>
        <v>PET</v>
      </c>
      <c r="E511">
        <v>347623</v>
      </c>
      <c r="F511">
        <v>0</v>
      </c>
      <c r="G511" t="str" cm="1">
        <f t="array" ref="G511">IFERROR(INDEX(ReferenceCard, MATCH(1, (INDEX(ReferenceCard,,1)=Table1[[#This Row],[SAP No]]) * (INDEX(ReferenceCard,,2)=Table1[[#This Row],[Mould No]]), 0), 3),)</f>
        <v>BC28-0375-K-R-CL</v>
      </c>
      <c r="H511">
        <v>0</v>
      </c>
      <c r="I511" cm="1">
        <f t="array" ref="I511">IFERROR(INDEX(ReferenceCard, MATCH(1, (INDEX(ReferenceCard,,1)=Table1[[#This Row],[SAP No]]) * (INDEX(ReferenceCard,,2)=Table1[[#This Row],[Mould No]]), 0), 4),)</f>
        <v>4</v>
      </c>
      <c r="J511" s="4" cm="1">
        <f t="array" ref="J511">IFERROR(INDEX(ReferenceCard, MATCH(1, (INDEX(ReferenceCard,,1)=Table1[[#This Row],[SAP No]]) * (INDEX(ReferenceCard,,2)=Table1[[#This Row],[Mould No]]), 0), 9),)</f>
        <v>35.6</v>
      </c>
      <c r="K511" s="4" cm="1">
        <f t="array" ref="K511">IFERROR(INDEX(ReferenceCard, MATCH(1, (INDEX(ReferenceCard,,1)=Table1[[#This Row],[SAP No]]) * (INDEX(ReferenceCard,,2)=Table1[[#This Row],[Mould No]]), 0), 7),)</f>
        <v>35.6</v>
      </c>
      <c r="L511">
        <v>14</v>
      </c>
      <c r="M511">
        <v>0</v>
      </c>
      <c r="N511">
        <v>0</v>
      </c>
      <c r="O511">
        <v>0</v>
      </c>
      <c r="P511">
        <f>Table1[[#This Row],[Shot]]*Table1[[#This Row],[Cav]]</f>
        <v>56</v>
      </c>
      <c r="Q511">
        <v>0</v>
      </c>
      <c r="R511">
        <f>(Table1[[#This Row],[Part Weight (gm)]]*Table1[[#This Row],[Finish Good]])/1000</f>
        <v>0</v>
      </c>
      <c r="S511">
        <v>0</v>
      </c>
      <c r="T511">
        <f>IF(Table1[[#This Row],[Qty Order]]="Sample","-",IF(Table1[[#This Row],[Qty Order]]="RTFN","-",Table1[[#This Row],[Qty Order]]-Table1[[#This Row],[Qty Accumulate]]))</f>
        <v>0</v>
      </c>
      <c r="U511">
        <f>((Table1[[#This Row],[Shift Output]]*Table1[[#This Row],[Part Weight (gm)]])/1000)+Table1[[#This Row],[Reject Startup (kg)]]+Table1[[#This Row],[Reject Purging (kg)]]+Table1[[#This Row],[Reject Preform (kg)]]</f>
        <v>1.9936</v>
      </c>
      <c r="V511" s="37">
        <f>(Table1[[#This Row],[Gross Weight (gm)]]-Table1[[#This Row],[Part Weight (gm)]])*Table1[[#This Row],[Shift Output]]/1000</f>
        <v>0</v>
      </c>
      <c r="W511" s="3">
        <v>0</v>
      </c>
      <c r="X511" s="36">
        <f>Table1[[#This Row],[Reject Startup (kg)]]/Table1[[#This Row],[Material Used]]</f>
        <v>0</v>
      </c>
      <c r="Y511" s="3">
        <v>0</v>
      </c>
      <c r="Z511" s="36">
        <f>Table1[[#This Row],[Reject Prod (kg)]]/Table1[[#This Row],[Material Used]]</f>
        <v>0</v>
      </c>
      <c r="AA511" s="4">
        <v>0</v>
      </c>
      <c r="AB511" s="5">
        <v>0</v>
      </c>
      <c r="AC511" s="4" cm="1">
        <f t="array" ref="AC511">IFERROR(INDEX(ReferenceCard, MATCH(1, (INDEX(ReferenceCard,,1)=Table1[[#This Row],[SAP No]]) * (INDEX(ReferenceCard,,2)=Table1[[#This Row],[Mould No]]), 0), 9),)</f>
        <v>35.6</v>
      </c>
      <c r="AD511" s="5">
        <v>0</v>
      </c>
      <c r="AE511" s="5">
        <v>0</v>
      </c>
      <c r="AF511" s="5">
        <v>0</v>
      </c>
      <c r="AG511" s="5">
        <v>0</v>
      </c>
      <c r="AH511" s="5">
        <v>7.37</v>
      </c>
      <c r="AI511" s="5">
        <v>0</v>
      </c>
      <c r="AJ511" s="5">
        <v>0</v>
      </c>
      <c r="AK511" t="s">
        <v>123</v>
      </c>
      <c r="AL511" s="2"/>
      <c r="AM511" s="2"/>
      <c r="AN511" s="3">
        <v>0</v>
      </c>
      <c r="AO511" s="3">
        <v>0</v>
      </c>
      <c r="AP51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2" spans="1:42" x14ac:dyDescent="0.35">
      <c r="A512" s="1">
        <v>46007</v>
      </c>
      <c r="B512">
        <v>1</v>
      </c>
      <c r="C512" t="s">
        <v>0</v>
      </c>
      <c r="D512" t="str" cm="1">
        <f t="array" ref="D512">IFERROR(INDEX(ReferenceCard, MATCH(1, (INDEX(ReferenceCard,,1)=Table1[[#This Row],[SAP No]]) * (INDEX(ReferenceCard,,2)=Table1[[#This Row],[Mould No]]), 0), 6),)</f>
        <v>PET</v>
      </c>
      <c r="E512">
        <v>369308</v>
      </c>
      <c r="F512">
        <v>0</v>
      </c>
      <c r="G512" t="str" cm="1">
        <f t="array" ref="G512">IFERROR(INDEX(ReferenceCard, MATCH(1, (INDEX(ReferenceCard,,1)=Table1[[#This Row],[SAP No]]) * (INDEX(ReferenceCard,,2)=Table1[[#This Row],[Mould No]]), 0), 3),)</f>
        <v>BW38-0280-LS-R-RED</v>
      </c>
      <c r="H512">
        <v>0</v>
      </c>
      <c r="I512" cm="1">
        <f t="array" ref="I512">IFERROR(INDEX(ReferenceCard, MATCH(1, (INDEX(ReferenceCard,,1)=Table1[[#This Row],[SAP No]]) * (INDEX(ReferenceCard,,2)=Table1[[#This Row],[Mould No]]), 0), 4),)</f>
        <v>4</v>
      </c>
      <c r="J512" s="4" cm="1">
        <f t="array" ref="J512">IFERROR(INDEX(ReferenceCard, MATCH(1, (INDEX(ReferenceCard,,1)=Table1[[#This Row],[SAP No]]) * (INDEX(ReferenceCard,,2)=Table1[[#This Row],[Mould No]]), 0), 9),)</f>
        <v>31</v>
      </c>
      <c r="K512" s="4" cm="1">
        <f t="array" ref="K512">IFERROR(INDEX(ReferenceCard, MATCH(1, (INDEX(ReferenceCard,,1)=Table1[[#This Row],[SAP No]]) * (INDEX(ReferenceCard,,2)=Table1[[#This Row],[Mould No]]), 0), 7),)</f>
        <v>31</v>
      </c>
      <c r="L512">
        <v>1386</v>
      </c>
      <c r="M512">
        <v>0</v>
      </c>
      <c r="N512">
        <v>0</v>
      </c>
      <c r="O512">
        <v>0</v>
      </c>
      <c r="P512">
        <f>Table1[[#This Row],[Shot]]*Table1[[#This Row],[Cav]]</f>
        <v>5544</v>
      </c>
      <c r="Q512">
        <v>0</v>
      </c>
      <c r="R512">
        <f>(Table1[[#This Row],[Part Weight (gm)]]*Table1[[#This Row],[Finish Good]])/1000</f>
        <v>0</v>
      </c>
      <c r="S512">
        <v>0</v>
      </c>
      <c r="T512">
        <f>IF(Table1[[#This Row],[Qty Order]]="Sample","-",IF(Table1[[#This Row],[Qty Order]]="RTFN","-",Table1[[#This Row],[Qty Order]]-Table1[[#This Row],[Qty Accumulate]]))</f>
        <v>0</v>
      </c>
      <c r="U512">
        <f>((Table1[[#This Row],[Shift Output]]*Table1[[#This Row],[Part Weight (gm)]])/1000)+Table1[[#This Row],[Reject Startup (kg)]]+Table1[[#This Row],[Reject Purging (kg)]]+Table1[[#This Row],[Reject Preform (kg)]]</f>
        <v>171.864</v>
      </c>
      <c r="V512" s="37">
        <f>(Table1[[#This Row],[Gross Weight (gm)]]-Table1[[#This Row],[Part Weight (gm)]])*Table1[[#This Row],[Shift Output]]/1000</f>
        <v>0</v>
      </c>
      <c r="W512" s="3">
        <v>0</v>
      </c>
      <c r="X512" s="36">
        <f>Table1[[#This Row],[Reject Startup (kg)]]/Table1[[#This Row],[Material Used]]</f>
        <v>0</v>
      </c>
      <c r="Y512" s="3">
        <v>0</v>
      </c>
      <c r="Z512" s="36">
        <f>Table1[[#This Row],[Reject Prod (kg)]]/Table1[[#This Row],[Material Used]]</f>
        <v>0</v>
      </c>
      <c r="AA512" s="4">
        <v>0</v>
      </c>
      <c r="AB512" s="5">
        <v>3.2999999999999901</v>
      </c>
      <c r="AC512" s="4" cm="1">
        <f t="array" ref="AC512">IFERROR(INDEX(ReferenceCard, MATCH(1, (INDEX(ReferenceCard,,1)=Table1[[#This Row],[SAP No]]) * (INDEX(ReferenceCard,,2)=Table1[[#This Row],[Mould No]]), 0), 9),)</f>
        <v>31</v>
      </c>
      <c r="AD512" s="5">
        <v>0</v>
      </c>
      <c r="AE512" s="5">
        <v>0</v>
      </c>
      <c r="AF512" s="5">
        <v>0</v>
      </c>
      <c r="AG512" s="5">
        <v>0</v>
      </c>
      <c r="AH512" s="5">
        <v>1.33</v>
      </c>
      <c r="AI512" s="5">
        <v>0</v>
      </c>
      <c r="AJ512" s="5">
        <v>0</v>
      </c>
      <c r="AK512" t="s">
        <v>124</v>
      </c>
      <c r="AL512" s="2"/>
      <c r="AM512" s="2"/>
      <c r="AN512" s="3">
        <v>0</v>
      </c>
      <c r="AO512" s="3">
        <v>0</v>
      </c>
      <c r="AP51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3" spans="1:42" x14ac:dyDescent="0.35">
      <c r="A513" s="1">
        <v>46007</v>
      </c>
      <c r="B513">
        <v>1</v>
      </c>
      <c r="C513" t="s">
        <v>3</v>
      </c>
      <c r="D513" t="str" cm="1">
        <f t="array" ref="D513">IFERROR(INDEX(ReferenceCard, MATCH(1, (INDEX(ReferenceCard,,1)=Table1[[#This Row],[SAP No]]) * (INDEX(ReferenceCard,,2)=Table1[[#This Row],[Mould No]]), 0), 6),)</f>
        <v>PET</v>
      </c>
      <c r="E513">
        <v>324163</v>
      </c>
      <c r="F513">
        <v>0</v>
      </c>
      <c r="G513" t="str" cm="1">
        <f t="array" ref="G513">IFERROR(INDEX(ReferenceCard, MATCH(1, (INDEX(ReferenceCard,,1)=Table1[[#This Row],[SAP No]]) * (INDEX(ReferenceCard,,2)=Table1[[#This Row],[Mould No]]), 0), 3),)</f>
        <v>BC28-0265-A-Q-CL</v>
      </c>
      <c r="H513">
        <v>0</v>
      </c>
      <c r="I513" cm="1">
        <f t="array" ref="I513">IFERROR(INDEX(ReferenceCard, MATCH(1, (INDEX(ReferenceCard,,1)=Table1[[#This Row],[SAP No]]) * (INDEX(ReferenceCard,,2)=Table1[[#This Row],[Mould No]]), 0), 4),)</f>
        <v>4</v>
      </c>
      <c r="J513" s="4" cm="1">
        <f t="array" ref="J513">IFERROR(INDEX(ReferenceCard, MATCH(1, (INDEX(ReferenceCard,,1)=Table1[[#This Row],[SAP No]]) * (INDEX(ReferenceCard,,2)=Table1[[#This Row],[Mould No]]), 0), 9),)</f>
        <v>24</v>
      </c>
      <c r="K513" s="4" cm="1">
        <f t="array" ref="K513">IFERROR(INDEX(ReferenceCard, MATCH(1, (INDEX(ReferenceCard,,1)=Table1[[#This Row],[SAP No]]) * (INDEX(ReferenceCard,,2)=Table1[[#This Row],[Mould No]]), 0), 7),)</f>
        <v>23.5</v>
      </c>
      <c r="L513">
        <v>1339</v>
      </c>
      <c r="M513">
        <v>0</v>
      </c>
      <c r="N513">
        <v>0</v>
      </c>
      <c r="O513">
        <v>0</v>
      </c>
      <c r="P513">
        <f>Table1[[#This Row],[Shot]]*Table1[[#This Row],[Cav]]</f>
        <v>5356</v>
      </c>
      <c r="Q513">
        <v>0</v>
      </c>
      <c r="R513">
        <f>(Table1[[#This Row],[Part Weight (gm)]]*Table1[[#This Row],[Finish Good]])/1000</f>
        <v>0</v>
      </c>
      <c r="S513">
        <v>0</v>
      </c>
      <c r="T513">
        <f>IF(Table1[[#This Row],[Qty Order]]="Sample","-",IF(Table1[[#This Row],[Qty Order]]="RTFN","-",Table1[[#This Row],[Qty Order]]-Table1[[#This Row],[Qty Accumulate]]))</f>
        <v>0</v>
      </c>
      <c r="U513">
        <f>((Table1[[#This Row],[Shift Output]]*Table1[[#This Row],[Part Weight (gm)]])/1000)+Table1[[#This Row],[Reject Startup (kg)]]+Table1[[#This Row],[Reject Purging (kg)]]+Table1[[#This Row],[Reject Preform (kg)]]</f>
        <v>125.866</v>
      </c>
      <c r="V513" s="37">
        <f>(Table1[[#This Row],[Gross Weight (gm)]]-Table1[[#This Row],[Part Weight (gm)]])*Table1[[#This Row],[Shift Output]]/1000</f>
        <v>2.6779999999999999</v>
      </c>
      <c r="W513" s="3">
        <v>0</v>
      </c>
      <c r="X513" s="36">
        <f>Table1[[#This Row],[Reject Startup (kg)]]/Table1[[#This Row],[Material Used]]</f>
        <v>0</v>
      </c>
      <c r="Y513" s="3">
        <v>0</v>
      </c>
      <c r="Z513" s="36">
        <f>Table1[[#This Row],[Reject Prod (kg)]]/Table1[[#This Row],[Material Used]]</f>
        <v>0</v>
      </c>
      <c r="AA513" s="4">
        <v>22.349168777465799</v>
      </c>
      <c r="AB513" s="5">
        <v>4.7</v>
      </c>
      <c r="AC513" s="4" cm="1">
        <f t="array" ref="AC513">IFERROR(INDEX(ReferenceCard, MATCH(1, (INDEX(ReferenceCard,,1)=Table1[[#This Row],[SAP No]]) * (INDEX(ReferenceCard,,2)=Table1[[#This Row],[Mould No]]), 0), 9),)</f>
        <v>24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L513" s="2"/>
      <c r="AM513" s="2"/>
      <c r="AN513" s="3">
        <v>0</v>
      </c>
      <c r="AO513" s="3">
        <v>0</v>
      </c>
      <c r="AP51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4" spans="1:42" x14ac:dyDescent="0.35">
      <c r="A514" s="1">
        <v>46007</v>
      </c>
      <c r="B514">
        <v>1</v>
      </c>
      <c r="C514" t="s">
        <v>5</v>
      </c>
      <c r="D514" t="str" cm="1">
        <f t="array" ref="D514">IFERROR(INDEX(ReferenceCard, MATCH(1, (INDEX(ReferenceCard,,1)=Table1[[#This Row],[SAP No]]) * (INDEX(ReferenceCard,,2)=Table1[[#This Row],[Mould No]]), 0), 6),)</f>
        <v>PET</v>
      </c>
      <c r="E514">
        <v>543590</v>
      </c>
      <c r="F514">
        <v>0</v>
      </c>
      <c r="G514" t="str" cm="1">
        <f t="array" ref="G514">IFERROR(INDEX(ReferenceCard, MATCH(1, (INDEX(ReferenceCard,,1)=Table1[[#This Row],[SAP No]]) * (INDEX(ReferenceCard,,2)=Table1[[#This Row],[Mould No]]), 0), 3),)</f>
        <v>BC28-0130-R-R-AM</v>
      </c>
      <c r="H514">
        <v>0</v>
      </c>
      <c r="I514" cm="1">
        <f t="array" ref="I514">IFERROR(INDEX(ReferenceCard, MATCH(1, (INDEX(ReferenceCard,,1)=Table1[[#This Row],[SAP No]]) * (INDEX(ReferenceCard,,2)=Table1[[#This Row],[Mould No]]), 0), 4),)</f>
        <v>4</v>
      </c>
      <c r="J514" s="4" cm="1">
        <f t="array" ref="J514">IFERROR(INDEX(ReferenceCard, MATCH(1, (INDEX(ReferenceCard,,1)=Table1[[#This Row],[SAP No]]) * (INDEX(ReferenceCard,,2)=Table1[[#This Row],[Mould No]]), 0), 9),)</f>
        <v>19</v>
      </c>
      <c r="K514" s="4" cm="1">
        <f t="array" ref="K514">IFERROR(INDEX(ReferenceCard, MATCH(1, (INDEX(ReferenceCard,,1)=Table1[[#This Row],[SAP No]]) * (INDEX(ReferenceCard,,2)=Table1[[#This Row],[Mould No]]), 0), 7),)</f>
        <v>19</v>
      </c>
      <c r="L514">
        <v>2485</v>
      </c>
      <c r="M514">
        <v>0</v>
      </c>
      <c r="N514">
        <v>0</v>
      </c>
      <c r="O514">
        <v>0</v>
      </c>
      <c r="P514">
        <f>Table1[[#This Row],[Shot]]*Table1[[#This Row],[Cav]]</f>
        <v>9940</v>
      </c>
      <c r="Q514">
        <v>0</v>
      </c>
      <c r="R514">
        <f>(Table1[[#This Row],[Part Weight (gm)]]*Table1[[#This Row],[Finish Good]])/1000</f>
        <v>0</v>
      </c>
      <c r="S514">
        <v>0</v>
      </c>
      <c r="T514">
        <f>IF(Table1[[#This Row],[Qty Order]]="Sample","-",IF(Table1[[#This Row],[Qty Order]]="RTFN","-",Table1[[#This Row],[Qty Order]]-Table1[[#This Row],[Qty Accumulate]]))</f>
        <v>0</v>
      </c>
      <c r="U514">
        <f>((Table1[[#This Row],[Shift Output]]*Table1[[#This Row],[Part Weight (gm)]])/1000)+Table1[[#This Row],[Reject Startup (kg)]]+Table1[[#This Row],[Reject Purging (kg)]]+Table1[[#This Row],[Reject Preform (kg)]]</f>
        <v>188.86</v>
      </c>
      <c r="V514" s="37">
        <f>(Table1[[#This Row],[Gross Weight (gm)]]-Table1[[#This Row],[Part Weight (gm)]])*Table1[[#This Row],[Shift Output]]/1000</f>
        <v>0</v>
      </c>
      <c r="W514" s="3">
        <v>0</v>
      </c>
      <c r="X514" s="36">
        <f>Table1[[#This Row],[Reject Startup (kg)]]/Table1[[#This Row],[Material Used]]</f>
        <v>0</v>
      </c>
      <c r="Y514" s="3">
        <v>0</v>
      </c>
      <c r="Z514" s="36">
        <f>Table1[[#This Row],[Reject Prod (kg)]]/Table1[[#This Row],[Material Used]]</f>
        <v>0</v>
      </c>
      <c r="AA514" s="4">
        <v>22.690635681152301</v>
      </c>
      <c r="AB514" s="5">
        <v>12</v>
      </c>
      <c r="AC514" s="4" cm="1">
        <f t="array" ref="AC514">IFERROR(INDEX(ReferenceCard, MATCH(1, (INDEX(ReferenceCard,,1)=Table1[[#This Row],[SAP No]]) * (INDEX(ReferenceCard,,2)=Table1[[#This Row],[Mould No]]), 0), 9),)</f>
        <v>19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L514" s="2"/>
      <c r="AM514" s="2"/>
      <c r="AN514" s="3">
        <v>0</v>
      </c>
      <c r="AO514" s="3">
        <v>0</v>
      </c>
      <c r="AP51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5" spans="1:42" x14ac:dyDescent="0.35">
      <c r="A515" s="1">
        <v>46007</v>
      </c>
      <c r="B515">
        <v>1</v>
      </c>
      <c r="C515" t="s">
        <v>7</v>
      </c>
      <c r="D515" t="str" cm="1">
        <f t="array" ref="D515">IFERROR(INDEX(ReferenceCard, MATCH(1, (INDEX(ReferenceCard,,1)=Table1[[#This Row],[SAP No]]) * (INDEX(ReferenceCard,,2)=Table1[[#This Row],[Mould No]]), 0), 6),)</f>
        <v>PET</v>
      </c>
      <c r="E515">
        <v>426555</v>
      </c>
      <c r="F515">
        <v>0</v>
      </c>
      <c r="G515" t="str" cm="1">
        <f t="array" ref="G515">IFERROR(INDEX(ReferenceCard, MATCH(1, (INDEX(ReferenceCard,,1)=Table1[[#This Row],[SAP No]]) * (INDEX(ReferenceCard,,2)=Table1[[#This Row],[Mould No]]), 0), 3),)</f>
        <v>BX38-0330-Z-S-CL-HW</v>
      </c>
      <c r="H515">
        <v>0</v>
      </c>
      <c r="I515" cm="1">
        <f t="array" ref="I515">IFERROR(INDEX(ReferenceCard, MATCH(1, (INDEX(ReferenceCard,,1)=Table1[[#This Row],[SAP No]]) * (INDEX(ReferenceCard,,2)=Table1[[#This Row],[Mould No]]), 0), 4),)</f>
        <v>4</v>
      </c>
      <c r="J515" s="4" cm="1">
        <f t="array" ref="J515">IFERROR(INDEX(ReferenceCard, MATCH(1, (INDEX(ReferenceCard,,1)=Table1[[#This Row],[SAP No]]) * (INDEX(ReferenceCard,,2)=Table1[[#This Row],[Mould No]]), 0), 9),)</f>
        <v>29</v>
      </c>
      <c r="K515" s="4" cm="1">
        <f t="array" ref="K515">IFERROR(INDEX(ReferenceCard, MATCH(1, (INDEX(ReferenceCard,,1)=Table1[[#This Row],[SAP No]]) * (INDEX(ReferenceCard,,2)=Table1[[#This Row],[Mould No]]), 0), 7),)</f>
        <v>29</v>
      </c>
      <c r="L515">
        <v>1186</v>
      </c>
      <c r="M515">
        <v>0</v>
      </c>
      <c r="N515">
        <v>0</v>
      </c>
      <c r="O515">
        <v>0</v>
      </c>
      <c r="P515">
        <f>Table1[[#This Row],[Shot]]*Table1[[#This Row],[Cav]]</f>
        <v>4744</v>
      </c>
      <c r="Q515">
        <v>0</v>
      </c>
      <c r="R515">
        <f>(Table1[[#This Row],[Part Weight (gm)]]*Table1[[#This Row],[Finish Good]])/1000</f>
        <v>0</v>
      </c>
      <c r="S515">
        <v>0</v>
      </c>
      <c r="T515">
        <f>IF(Table1[[#This Row],[Qty Order]]="Sample","-",IF(Table1[[#This Row],[Qty Order]]="RTFN","-",Table1[[#This Row],[Qty Order]]-Table1[[#This Row],[Qty Accumulate]]))</f>
        <v>0</v>
      </c>
      <c r="U515">
        <f>((Table1[[#This Row],[Shift Output]]*Table1[[#This Row],[Part Weight (gm)]])/1000)+Table1[[#This Row],[Reject Startup (kg)]]+Table1[[#This Row],[Reject Purging (kg)]]+Table1[[#This Row],[Reject Preform (kg)]]</f>
        <v>137.57599999999999</v>
      </c>
      <c r="V515" s="37">
        <f>(Table1[[#This Row],[Gross Weight (gm)]]-Table1[[#This Row],[Part Weight (gm)]])*Table1[[#This Row],[Shift Output]]/1000</f>
        <v>0</v>
      </c>
      <c r="W515" s="3">
        <v>0</v>
      </c>
      <c r="X515" s="36">
        <f>Table1[[#This Row],[Reject Startup (kg)]]/Table1[[#This Row],[Material Used]]</f>
        <v>0</v>
      </c>
      <c r="Y515" s="3">
        <v>0</v>
      </c>
      <c r="Z515" s="36">
        <f>Table1[[#This Row],[Reject Prod (kg)]]/Table1[[#This Row],[Material Used]]</f>
        <v>0</v>
      </c>
      <c r="AA515" s="4">
        <v>25.698307037353501</v>
      </c>
      <c r="AB515" s="5">
        <v>4.71</v>
      </c>
      <c r="AC515" s="4" cm="1">
        <f t="array" ref="AC515">IFERROR(INDEX(ReferenceCard, MATCH(1, (INDEX(ReferenceCard,,1)=Table1[[#This Row],[SAP No]]) * (INDEX(ReferenceCard,,2)=Table1[[#This Row],[Mould No]]), 0), 9),)</f>
        <v>29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L515" s="2"/>
      <c r="AM515" s="2"/>
      <c r="AN515" s="3">
        <v>0</v>
      </c>
      <c r="AO515" s="3">
        <v>0</v>
      </c>
      <c r="AP51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6" spans="1:42" x14ac:dyDescent="0.35">
      <c r="A516" s="1">
        <v>46007</v>
      </c>
      <c r="B516">
        <v>1</v>
      </c>
      <c r="C516" t="s">
        <v>9</v>
      </c>
      <c r="D516" t="str" cm="1">
        <f t="array" ref="D516">IFERROR(INDEX(ReferenceCard, MATCH(1, (INDEX(ReferenceCard,,1)=Table1[[#This Row],[SAP No]]) * (INDEX(ReferenceCard,,2)=Table1[[#This Row],[Mould No]]), 0), 6),)</f>
        <v>rPET</v>
      </c>
      <c r="E516">
        <v>593537</v>
      </c>
      <c r="F516">
        <v>0</v>
      </c>
      <c r="G516" t="str" cm="1">
        <f t="array" ref="G516">IFERROR(INDEX(ReferenceCard, MATCH(1, (INDEX(ReferenceCard,,1)=Table1[[#This Row],[SAP No]]) * (INDEX(ReferenceCard,,2)=Table1[[#This Row],[Mould No]]), 0), 3),)</f>
        <v>BX38-1000-RN-R-CL-rPET</v>
      </c>
      <c r="H516">
        <v>0</v>
      </c>
      <c r="I516" cm="1">
        <f t="array" ref="I516">IFERROR(INDEX(ReferenceCard, MATCH(1, (INDEX(ReferenceCard,,1)=Table1[[#This Row],[SAP No]]) * (INDEX(ReferenceCard,,2)=Table1[[#This Row],[Mould No]]), 0), 4),)</f>
        <v>4</v>
      </c>
      <c r="J516" s="4" cm="1">
        <f t="array" ref="J516">IFERROR(INDEX(ReferenceCard, MATCH(1, (INDEX(ReferenceCard,,1)=Table1[[#This Row],[SAP No]]) * (INDEX(ReferenceCard,,2)=Table1[[#This Row],[Mould No]]), 0), 9),)</f>
        <v>56.5</v>
      </c>
      <c r="K516" s="4" cm="1">
        <f t="array" ref="K516">IFERROR(INDEX(ReferenceCard, MATCH(1, (INDEX(ReferenceCard,,1)=Table1[[#This Row],[SAP No]]) * (INDEX(ReferenceCard,,2)=Table1[[#This Row],[Mould No]]), 0), 7),)</f>
        <v>56.8</v>
      </c>
      <c r="L516">
        <v>0</v>
      </c>
      <c r="M516">
        <v>0</v>
      </c>
      <c r="N516">
        <v>0</v>
      </c>
      <c r="O516">
        <v>0</v>
      </c>
      <c r="P516">
        <f>Table1[[#This Row],[Shot]]*Table1[[#This Row],[Cav]]</f>
        <v>0</v>
      </c>
      <c r="Q516">
        <v>0</v>
      </c>
      <c r="R516">
        <f>(Table1[[#This Row],[Part Weight (gm)]]*Table1[[#This Row],[Finish Good]])/1000</f>
        <v>0</v>
      </c>
      <c r="S516">
        <v>0</v>
      </c>
      <c r="T516">
        <f>IF(Table1[[#This Row],[Qty Order]]="Sample","-",IF(Table1[[#This Row],[Qty Order]]="RTFN","-",Table1[[#This Row],[Qty Order]]-Table1[[#This Row],[Qty Accumulate]]))</f>
        <v>0</v>
      </c>
      <c r="U516">
        <f>((Table1[[#This Row],[Shift Output]]*Table1[[#This Row],[Part Weight (gm)]])/1000)+Table1[[#This Row],[Reject Startup (kg)]]+Table1[[#This Row],[Reject Purging (kg)]]+Table1[[#This Row],[Reject Preform (kg)]]</f>
        <v>0</v>
      </c>
      <c r="V516" s="37">
        <f>(Table1[[#This Row],[Gross Weight (gm)]]-Table1[[#This Row],[Part Weight (gm)]])*Table1[[#This Row],[Shift Output]]/1000</f>
        <v>0</v>
      </c>
      <c r="W516" s="3">
        <v>0</v>
      </c>
      <c r="X516" s="36" t="e">
        <f>Table1[[#This Row],[Reject Startup (kg)]]/Table1[[#This Row],[Material Used]]</f>
        <v>#DIV/0!</v>
      </c>
      <c r="Y516" s="3">
        <v>0</v>
      </c>
      <c r="Z516" s="36" t="e">
        <f>Table1[[#This Row],[Reject Prod (kg)]]/Table1[[#This Row],[Material Used]]</f>
        <v>#DIV/0!</v>
      </c>
      <c r="AA516" s="4">
        <v>0</v>
      </c>
      <c r="AB516" s="5">
        <v>0</v>
      </c>
      <c r="AC516" s="4" cm="1">
        <f t="array" ref="AC516">IFERROR(INDEX(ReferenceCard, MATCH(1, (INDEX(ReferenceCard,,1)=Table1[[#This Row],[SAP No]]) * (INDEX(ReferenceCard,,2)=Table1[[#This Row],[Mould No]]), 0), 9),)</f>
        <v>56.5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12</v>
      </c>
      <c r="AJ516" s="5">
        <v>0</v>
      </c>
      <c r="AL516" s="2"/>
      <c r="AM516" s="2"/>
      <c r="AN516" s="3">
        <v>0</v>
      </c>
      <c r="AO516" s="3">
        <v>0</v>
      </c>
      <c r="AP51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7" spans="1:42" x14ac:dyDescent="0.35">
      <c r="A517" s="1">
        <v>46007</v>
      </c>
      <c r="B517">
        <v>1</v>
      </c>
      <c r="C517" t="s">
        <v>11</v>
      </c>
      <c r="D517" t="str" cm="1">
        <f t="array" ref="D517">IFERROR(INDEX(ReferenceCard, MATCH(1, (INDEX(ReferenceCard,,1)=Table1[[#This Row],[SAP No]]) * (INDEX(ReferenceCard,,2)=Table1[[#This Row],[Mould No]]), 0), 6),)</f>
        <v>rPET</v>
      </c>
      <c r="E517">
        <v>620994</v>
      </c>
      <c r="F517">
        <v>0</v>
      </c>
      <c r="G517" t="str" cm="1">
        <f t="array" ref="G517">IFERROR(INDEX(ReferenceCard, MATCH(1, (INDEX(ReferenceCard,,1)=Table1[[#This Row],[SAP No]]) * (INDEX(ReferenceCard,,2)=Table1[[#This Row],[Mould No]]), 0), 3),)</f>
        <v>JJ63-0400-SH-S-CL-rPET</v>
      </c>
      <c r="H517">
        <v>0</v>
      </c>
      <c r="I517" cm="1">
        <f t="array" ref="I517">IFERROR(INDEX(ReferenceCard, MATCH(1, (INDEX(ReferenceCard,,1)=Table1[[#This Row],[SAP No]]) * (INDEX(ReferenceCard,,2)=Table1[[#This Row],[Mould No]]), 0), 4),)</f>
        <v>4</v>
      </c>
      <c r="J517" s="4" cm="1">
        <f t="array" ref="J517">IFERROR(INDEX(ReferenceCard, MATCH(1, (INDEX(ReferenceCard,,1)=Table1[[#This Row],[SAP No]]) * (INDEX(ReferenceCard,,2)=Table1[[#This Row],[Mould No]]), 0), 9),)</f>
        <v>32.74</v>
      </c>
      <c r="K517" s="4" cm="1">
        <f t="array" ref="K517">IFERROR(INDEX(ReferenceCard, MATCH(1, (INDEX(ReferenceCard,,1)=Table1[[#This Row],[SAP No]]) * (INDEX(ReferenceCard,,2)=Table1[[#This Row],[Mould No]]), 0), 7),)</f>
        <v>33</v>
      </c>
      <c r="L517">
        <v>6004</v>
      </c>
      <c r="M517">
        <v>0</v>
      </c>
      <c r="N517">
        <v>0</v>
      </c>
      <c r="O517">
        <v>0</v>
      </c>
      <c r="P517">
        <f>Table1[[#This Row],[Shot]]*Table1[[#This Row],[Cav]]</f>
        <v>24016</v>
      </c>
      <c r="Q517">
        <v>0</v>
      </c>
      <c r="R517">
        <f>(Table1[[#This Row],[Part Weight (gm)]]*Table1[[#This Row],[Finish Good]])/1000</f>
        <v>0</v>
      </c>
      <c r="S517">
        <v>0</v>
      </c>
      <c r="T517">
        <f>IF(Table1[[#This Row],[Qty Order]]="Sample","-",IF(Table1[[#This Row],[Qty Order]]="RTFN","-",Table1[[#This Row],[Qty Order]]-Table1[[#This Row],[Qty Accumulate]]))</f>
        <v>0</v>
      </c>
      <c r="U517">
        <f>((Table1[[#This Row],[Shift Output]]*Table1[[#This Row],[Part Weight (gm)]])/1000)+Table1[[#This Row],[Reject Startup (kg)]]+Table1[[#This Row],[Reject Purging (kg)]]+Table1[[#This Row],[Reject Preform (kg)]]</f>
        <v>792.52800000000002</v>
      </c>
      <c r="V517" s="37">
        <f>(Table1[[#This Row],[Gross Weight (gm)]]-Table1[[#This Row],[Part Weight (gm)]])*Table1[[#This Row],[Shift Output]]/1000</f>
        <v>-6.2441599999999529</v>
      </c>
      <c r="W517" s="3">
        <v>0</v>
      </c>
      <c r="X517" s="36">
        <f>Table1[[#This Row],[Reject Startup (kg)]]/Table1[[#This Row],[Material Used]]</f>
        <v>0</v>
      </c>
      <c r="Y517" s="3">
        <v>0</v>
      </c>
      <c r="Z517" s="36">
        <f>Table1[[#This Row],[Reject Prod (kg)]]/Table1[[#This Row],[Material Used]]</f>
        <v>0</v>
      </c>
      <c r="AA517" s="4">
        <v>26.2168865203857</v>
      </c>
      <c r="AB517" s="5">
        <v>5.46999999999999</v>
      </c>
      <c r="AC517" s="4" cm="1">
        <f t="array" ref="AC517">IFERROR(INDEX(ReferenceCard, MATCH(1, (INDEX(ReferenceCard,,1)=Table1[[#This Row],[SAP No]]) * (INDEX(ReferenceCard,,2)=Table1[[#This Row],[Mould No]]), 0), 9),)</f>
        <v>32.74</v>
      </c>
      <c r="AD517" s="5">
        <v>0</v>
      </c>
      <c r="AE517" s="5">
        <v>0</v>
      </c>
      <c r="AF517" s="5">
        <v>0</v>
      </c>
      <c r="AG517" s="5">
        <v>0.72999999999999898</v>
      </c>
      <c r="AH517" s="5">
        <v>5.7999999999999901</v>
      </c>
      <c r="AI517" s="5">
        <v>0</v>
      </c>
      <c r="AJ517" s="5">
        <v>0</v>
      </c>
      <c r="AL517" s="2"/>
      <c r="AM517" s="2"/>
      <c r="AN517" s="3">
        <v>0</v>
      </c>
      <c r="AO517" s="3">
        <v>0</v>
      </c>
      <c r="AP51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8" spans="1:42" x14ac:dyDescent="0.35">
      <c r="A518" s="1">
        <v>46007</v>
      </c>
      <c r="B518">
        <v>1</v>
      </c>
      <c r="C518" t="s">
        <v>14</v>
      </c>
      <c r="D518" t="str" cm="1">
        <f t="array" ref="D518">IFERROR(INDEX(ReferenceCard, MATCH(1, (INDEX(ReferenceCard,,1)=Table1[[#This Row],[SAP No]]) * (INDEX(ReferenceCard,,2)=Table1[[#This Row],[Mould No]]), 0), 6),)</f>
        <v>PET</v>
      </c>
      <c r="E518">
        <v>324165</v>
      </c>
      <c r="F518">
        <v>0</v>
      </c>
      <c r="G518" t="str" cm="1">
        <f t="array" ref="G518">IFERROR(INDEX(ReferenceCard, MATCH(1, (INDEX(ReferenceCard,,1)=Table1[[#This Row],[SAP No]]) * (INDEX(ReferenceCard,,2)=Table1[[#This Row],[Mould No]]), 0), 3),)</f>
        <v>JJ63-0400-SH-S-WH</v>
      </c>
      <c r="H518">
        <v>0</v>
      </c>
      <c r="I518" cm="1">
        <f t="array" ref="I518">IFERROR(INDEX(ReferenceCard, MATCH(1, (INDEX(ReferenceCard,,1)=Table1[[#This Row],[SAP No]]) * (INDEX(ReferenceCard,,2)=Table1[[#This Row],[Mould No]]), 0), 4),)</f>
        <v>4</v>
      </c>
      <c r="J518" s="4" cm="1">
        <f t="array" ref="J518">IFERROR(INDEX(ReferenceCard, MATCH(1, (INDEX(ReferenceCard,,1)=Table1[[#This Row],[SAP No]]) * (INDEX(ReferenceCard,,2)=Table1[[#This Row],[Mould No]]), 0), 9),)</f>
        <v>32.56</v>
      </c>
      <c r="K518" s="4" cm="1">
        <f t="array" ref="K518">IFERROR(INDEX(ReferenceCard, MATCH(1, (INDEX(ReferenceCard,,1)=Table1[[#This Row],[SAP No]]) * (INDEX(ReferenceCard,,2)=Table1[[#This Row],[Mould No]]), 0), 7),)</f>
        <v>33</v>
      </c>
      <c r="L518">
        <v>2244</v>
      </c>
      <c r="M518">
        <v>0</v>
      </c>
      <c r="N518">
        <v>0</v>
      </c>
      <c r="O518">
        <v>0</v>
      </c>
      <c r="P518">
        <f>Table1[[#This Row],[Shot]]*Table1[[#This Row],[Cav]]</f>
        <v>8976</v>
      </c>
      <c r="Q518">
        <v>0</v>
      </c>
      <c r="R518">
        <f>(Table1[[#This Row],[Part Weight (gm)]]*Table1[[#This Row],[Finish Good]])/1000</f>
        <v>0</v>
      </c>
      <c r="S518">
        <v>0</v>
      </c>
      <c r="T518">
        <f>IF(Table1[[#This Row],[Qty Order]]="Sample","-",IF(Table1[[#This Row],[Qty Order]]="RTFN","-",Table1[[#This Row],[Qty Order]]-Table1[[#This Row],[Qty Accumulate]]))</f>
        <v>0</v>
      </c>
      <c r="U518">
        <f>((Table1[[#This Row],[Shift Output]]*Table1[[#This Row],[Part Weight (gm)]])/1000)+Table1[[#This Row],[Reject Startup (kg)]]+Table1[[#This Row],[Reject Purging (kg)]]+Table1[[#This Row],[Reject Preform (kg)]]</f>
        <v>296.20800000000003</v>
      </c>
      <c r="V518" s="37">
        <f>(Table1[[#This Row],[Gross Weight (gm)]]-Table1[[#This Row],[Part Weight (gm)]])*Table1[[#This Row],[Shift Output]]/1000</f>
        <v>-3.9494399999999796</v>
      </c>
      <c r="W518" s="3">
        <v>0</v>
      </c>
      <c r="X518" s="36">
        <f>Table1[[#This Row],[Reject Startup (kg)]]/Table1[[#This Row],[Material Used]]</f>
        <v>0</v>
      </c>
      <c r="Y518" s="3">
        <v>0</v>
      </c>
      <c r="Z518" s="36">
        <f>Table1[[#This Row],[Reject Prod (kg)]]/Table1[[#This Row],[Material Used]]</f>
        <v>0</v>
      </c>
      <c r="AA518" s="4">
        <v>22.547927856445298</v>
      </c>
      <c r="AB518" s="5">
        <v>10.26</v>
      </c>
      <c r="AC518" s="4" cm="1">
        <f t="array" ref="AC518">IFERROR(INDEX(ReferenceCard, MATCH(1, (INDEX(ReferenceCard,,1)=Table1[[#This Row],[SAP No]]) * (INDEX(ReferenceCard,,2)=Table1[[#This Row],[Mould No]]), 0), 9),)</f>
        <v>32.56</v>
      </c>
      <c r="AD518" s="5">
        <v>0</v>
      </c>
      <c r="AE518" s="5">
        <v>0</v>
      </c>
      <c r="AF518" s="5">
        <v>0.58999999999999897</v>
      </c>
      <c r="AG518" s="5">
        <v>0.04</v>
      </c>
      <c r="AH518" s="5">
        <v>1.1100000000000001</v>
      </c>
      <c r="AI518" s="5">
        <v>0</v>
      </c>
      <c r="AJ518" s="5">
        <v>0</v>
      </c>
      <c r="AK518" t="s">
        <v>125</v>
      </c>
      <c r="AL518" s="2" t="s">
        <v>126</v>
      </c>
      <c r="AM518" s="2" t="s">
        <v>127</v>
      </c>
      <c r="AN518" s="3"/>
      <c r="AO518" s="3"/>
      <c r="AP51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19" spans="1:42" x14ac:dyDescent="0.35">
      <c r="A519" s="1">
        <v>46007</v>
      </c>
      <c r="B519">
        <v>1</v>
      </c>
      <c r="C519" t="s">
        <v>16</v>
      </c>
      <c r="D519" t="str" cm="1">
        <f t="array" ref="D519">IFERROR(INDEX(ReferenceCard, MATCH(1, (INDEX(ReferenceCard,,1)=Table1[[#This Row],[SAP No]]) * (INDEX(ReferenceCard,,2)=Table1[[#This Row],[Mould No]]), 0), 6),)</f>
        <v>PET</v>
      </c>
      <c r="E519">
        <v>323092</v>
      </c>
      <c r="F519">
        <v>0</v>
      </c>
      <c r="G519" t="str" cm="1">
        <f t="array" ref="G519">IFERROR(INDEX(ReferenceCard, MATCH(1, (INDEX(ReferenceCard,,1)=Table1[[#This Row],[SAP No]]) * (INDEX(ReferenceCard,,2)=Table1[[#This Row],[Mould No]]), 0), 3),)</f>
        <v>BX38-1000-GH-R-CL(GREEN) (ASEM)</v>
      </c>
      <c r="H519">
        <v>0</v>
      </c>
      <c r="I519" cm="1">
        <f t="array" ref="I519">IFERROR(INDEX(ReferenceCard, MATCH(1, (INDEX(ReferenceCard,,1)=Table1[[#This Row],[SAP No]]) * (INDEX(ReferenceCard,,2)=Table1[[#This Row],[Mould No]]), 0), 4),)</f>
        <v>4</v>
      </c>
      <c r="J519" s="4" cm="1">
        <f t="array" ref="J519">IFERROR(INDEX(ReferenceCard, MATCH(1, (INDEX(ReferenceCard,,1)=Table1[[#This Row],[SAP No]]) * (INDEX(ReferenceCard,,2)=Table1[[#This Row],[Mould No]]), 0), 9),)</f>
        <v>48.9</v>
      </c>
      <c r="K519" s="4" cm="1">
        <f t="array" ref="K519">IFERROR(INDEX(ReferenceCard, MATCH(1, (INDEX(ReferenceCard,,1)=Table1[[#This Row],[SAP No]]) * (INDEX(ReferenceCard,,2)=Table1[[#This Row],[Mould No]]), 0), 7),)</f>
        <v>48.9</v>
      </c>
      <c r="L519">
        <v>0</v>
      </c>
      <c r="M519">
        <v>0</v>
      </c>
      <c r="N519">
        <v>0</v>
      </c>
      <c r="O519">
        <v>0</v>
      </c>
      <c r="P519">
        <f>Table1[[#This Row],[Shot]]*Table1[[#This Row],[Cav]]</f>
        <v>0</v>
      </c>
      <c r="Q519">
        <v>0</v>
      </c>
      <c r="R519">
        <f>(Table1[[#This Row],[Part Weight (gm)]]*Table1[[#This Row],[Finish Good]])/1000</f>
        <v>0</v>
      </c>
      <c r="S519">
        <v>0</v>
      </c>
      <c r="T519">
        <f>IF(Table1[[#This Row],[Qty Order]]="Sample","-",IF(Table1[[#This Row],[Qty Order]]="RTFN","-",Table1[[#This Row],[Qty Order]]-Table1[[#This Row],[Qty Accumulate]]))</f>
        <v>0</v>
      </c>
      <c r="U519">
        <f>((Table1[[#This Row],[Shift Output]]*Table1[[#This Row],[Part Weight (gm)]])/1000)+Table1[[#This Row],[Reject Startup (kg)]]+Table1[[#This Row],[Reject Purging (kg)]]+Table1[[#This Row],[Reject Preform (kg)]]</f>
        <v>21</v>
      </c>
      <c r="V519" s="37">
        <f>(Table1[[#This Row],[Gross Weight (gm)]]-Table1[[#This Row],[Part Weight (gm)]])*Table1[[#This Row],[Shift Output]]/1000</f>
        <v>0</v>
      </c>
      <c r="W519" s="3">
        <v>7</v>
      </c>
      <c r="X519" s="36">
        <f>Table1[[#This Row],[Reject Startup (kg)]]/Table1[[#This Row],[Material Used]]</f>
        <v>0.33333333333333331</v>
      </c>
      <c r="Y519" s="3">
        <v>35</v>
      </c>
      <c r="Z519" s="36">
        <f>Table1[[#This Row],[Reject Prod (kg)]]/Table1[[#This Row],[Material Used]]</f>
        <v>1.6666666666666667</v>
      </c>
      <c r="AA519" s="4">
        <v>0</v>
      </c>
      <c r="AB519" s="5">
        <v>0</v>
      </c>
      <c r="AC519" s="4" cm="1">
        <f t="array" ref="AC519">IFERROR(INDEX(ReferenceCard, MATCH(1, (INDEX(ReferenceCard,,1)=Table1[[#This Row],[SAP No]]) * (INDEX(ReferenceCard,,2)=Table1[[#This Row],[Mould No]]), 0), 9),)</f>
        <v>48.9</v>
      </c>
      <c r="AD519" s="5">
        <v>0</v>
      </c>
      <c r="AE519" s="5">
        <v>0</v>
      </c>
      <c r="AF519" s="5">
        <v>0</v>
      </c>
      <c r="AG519" s="5">
        <v>0</v>
      </c>
      <c r="AH519" s="5">
        <v>4.7300000000000004</v>
      </c>
      <c r="AI519" s="5">
        <v>0</v>
      </c>
      <c r="AJ519" s="5">
        <v>0</v>
      </c>
      <c r="AK519" t="s">
        <v>128</v>
      </c>
      <c r="AL519" s="2"/>
      <c r="AM519" s="2"/>
      <c r="AN519" s="3">
        <v>7</v>
      </c>
      <c r="AO519" s="3">
        <v>7</v>
      </c>
      <c r="AP519" s="6">
        <f>((Table1[[#This Row],[Reject Startup (kg)]]+Table1[[#This Row],[Reject Prod (kg)]]+Table1[[#This Row],[Reject Purging (kg)]]+Table1[[#This Row],[Reject Preform (kg)]])/Table1[[#This Row],[Part Weight (gm)]])*1000</f>
        <v>1145.1942740286299</v>
      </c>
    </row>
    <row r="520" spans="1:42" x14ac:dyDescent="0.35">
      <c r="A520" s="1">
        <v>46007</v>
      </c>
      <c r="B520">
        <v>1</v>
      </c>
      <c r="C520" t="s">
        <v>23</v>
      </c>
      <c r="D520" t="str" cm="1">
        <f t="array" ref="D520">IFERROR(INDEX(ReferenceCard, MATCH(1, (INDEX(ReferenceCard,,1)=Table1[[#This Row],[SAP No]]) * (INDEX(ReferenceCard,,2)=Table1[[#This Row],[Mould No]]), 0), 6),)</f>
        <v>PPSB520Y</v>
      </c>
      <c r="E520">
        <v>586276</v>
      </c>
      <c r="F520">
        <v>2</v>
      </c>
      <c r="G520" t="str" cm="1">
        <f t="array" ref="G520">IFERROR(INDEX(ReferenceCard, MATCH(1, (INDEX(ReferenceCard,,1)=Table1[[#This Row],[SAP No]]) * (INDEX(ReferenceCard,,2)=Table1[[#This Row],[Mould No]]), 0), 3),)</f>
        <v>BC28-0056-D-APH-LEB-604001-MOLD2</v>
      </c>
      <c r="H520">
        <v>0</v>
      </c>
      <c r="I520" cm="1">
        <f t="array" ref="I520">IFERROR(INDEX(ReferenceCard, MATCH(1, (INDEX(ReferenceCard,,1)=Table1[[#This Row],[SAP No]]) * (INDEX(ReferenceCard,,2)=Table1[[#This Row],[Mould No]]), 0), 4),)</f>
        <v>6</v>
      </c>
      <c r="J520" s="4" cm="1">
        <f t="array" ref="J520">IFERROR(INDEX(ReferenceCard, MATCH(1, (INDEX(ReferenceCard,,1)=Table1[[#This Row],[SAP No]]) * (INDEX(ReferenceCard,,2)=Table1[[#This Row],[Mould No]]), 0), 9),)</f>
        <v>12.3</v>
      </c>
      <c r="K520" s="4" cm="1">
        <f t="array" ref="K520">IFERROR(INDEX(ReferenceCard, MATCH(1, (INDEX(ReferenceCard,,1)=Table1[[#This Row],[SAP No]]) * (INDEX(ReferenceCard,,2)=Table1[[#This Row],[Mould No]]), 0), 7),)</f>
        <v>12.3</v>
      </c>
      <c r="L520">
        <v>2101</v>
      </c>
      <c r="M520">
        <v>0</v>
      </c>
      <c r="N520">
        <v>0</v>
      </c>
      <c r="O520">
        <v>0</v>
      </c>
      <c r="P520">
        <f>Table1[[#This Row],[Shot]]*Table1[[#This Row],[Cav]]</f>
        <v>12606</v>
      </c>
      <c r="Q520">
        <v>0</v>
      </c>
      <c r="R520">
        <f>(Table1[[#This Row],[Part Weight (gm)]]*Table1[[#This Row],[Finish Good]])/1000</f>
        <v>0</v>
      </c>
      <c r="S520">
        <v>0</v>
      </c>
      <c r="T520">
        <f>IF(Table1[[#This Row],[Qty Order]]="Sample","-",IF(Table1[[#This Row],[Qty Order]]="RTFN","-",Table1[[#This Row],[Qty Order]]-Table1[[#This Row],[Qty Accumulate]]))</f>
        <v>0</v>
      </c>
      <c r="U520">
        <f>((Table1[[#This Row],[Shift Output]]*Table1[[#This Row],[Part Weight (gm)]])/1000)+Table1[[#This Row],[Reject Startup (kg)]]+Table1[[#This Row],[Reject Purging (kg)]]+Table1[[#This Row],[Reject Preform (kg)]]</f>
        <v>155.05380000000002</v>
      </c>
      <c r="V520" s="37">
        <f>(Table1[[#This Row],[Gross Weight (gm)]]-Table1[[#This Row],[Part Weight (gm)]])*Table1[[#This Row],[Shift Output]]/1000</f>
        <v>0</v>
      </c>
      <c r="W520" s="3">
        <v>0</v>
      </c>
      <c r="X520" s="36">
        <f>Table1[[#This Row],[Reject Startup (kg)]]/Table1[[#This Row],[Material Used]]</f>
        <v>0</v>
      </c>
      <c r="Y520" s="3">
        <v>0</v>
      </c>
      <c r="Z520" s="36">
        <f>Table1[[#This Row],[Reject Prod (kg)]]/Table1[[#This Row],[Material Used]]</f>
        <v>0</v>
      </c>
      <c r="AA520" s="4">
        <v>25.5092468261718</v>
      </c>
      <c r="AB520" s="5">
        <v>12</v>
      </c>
      <c r="AC520" s="4" cm="1">
        <f t="array" ref="AC520">IFERROR(INDEX(ReferenceCard, MATCH(1, (INDEX(ReferenceCard,,1)=Table1[[#This Row],[SAP No]]) * (INDEX(ReferenceCard,,2)=Table1[[#This Row],[Mould No]]), 0), 9),)</f>
        <v>12.3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L520" s="2"/>
      <c r="AM520" s="2"/>
      <c r="AN520" s="3">
        <v>0</v>
      </c>
      <c r="AO520" s="3">
        <v>0</v>
      </c>
      <c r="AP52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1" spans="1:42" x14ac:dyDescent="0.35">
      <c r="A521" s="1">
        <v>46007</v>
      </c>
      <c r="B521">
        <v>1</v>
      </c>
      <c r="C521" t="s">
        <v>25</v>
      </c>
      <c r="D521" t="str" cm="1">
        <f t="array" ref="D521">IFERROR(INDEX(ReferenceCard, MATCH(1, (INDEX(ReferenceCard,,1)=Table1[[#This Row],[SAP No]]) * (INDEX(ReferenceCard,,2)=Table1[[#This Row],[Mould No]]), 0), 6),)</f>
        <v>PET</v>
      </c>
      <c r="E521">
        <v>323133</v>
      </c>
      <c r="F521">
        <v>0</v>
      </c>
      <c r="G521" t="str" cm="1">
        <f t="array" ref="G521">IFERROR(INDEX(ReferenceCard, MATCH(1, (INDEX(ReferenceCard,,1)=Table1[[#This Row],[SAP No]]) * (INDEX(ReferenceCard,,2)=Table1[[#This Row],[Mould No]]), 0), 3),)</f>
        <v>BX38-2000-RH-R-CL(GREEN) (ASEM)</v>
      </c>
      <c r="H521">
        <v>0</v>
      </c>
      <c r="I521" cm="1">
        <f t="array" ref="I521">IFERROR(INDEX(ReferenceCard, MATCH(1, (INDEX(ReferenceCard,,1)=Table1[[#This Row],[SAP No]]) * (INDEX(ReferenceCard,,2)=Table1[[#This Row],[Mould No]]), 0), 4),)</f>
        <v>4</v>
      </c>
      <c r="J521" s="4" cm="1">
        <f t="array" ref="J521">IFERROR(INDEX(ReferenceCard, MATCH(1, (INDEX(ReferenceCard,,1)=Table1[[#This Row],[SAP No]]) * (INDEX(ReferenceCard,,2)=Table1[[#This Row],[Mould No]]), 0), 9),)</f>
        <v>77</v>
      </c>
      <c r="K521" s="4" cm="1">
        <f t="array" ref="K521">IFERROR(INDEX(ReferenceCard, MATCH(1, (INDEX(ReferenceCard,,1)=Table1[[#This Row],[SAP No]]) * (INDEX(ReferenceCard,,2)=Table1[[#This Row],[Mould No]]), 0), 7),)</f>
        <v>77</v>
      </c>
      <c r="L521">
        <v>56</v>
      </c>
      <c r="M521">
        <v>0</v>
      </c>
      <c r="N521">
        <v>0</v>
      </c>
      <c r="O521">
        <v>0</v>
      </c>
      <c r="P521">
        <f>Table1[[#This Row],[Shot]]*Table1[[#This Row],[Cav]]</f>
        <v>224</v>
      </c>
      <c r="Q521">
        <v>0</v>
      </c>
      <c r="R521">
        <f>(Table1[[#This Row],[Part Weight (gm)]]*Table1[[#This Row],[Finish Good]])/1000</f>
        <v>0</v>
      </c>
      <c r="S521">
        <v>0</v>
      </c>
      <c r="T521">
        <f>IF(Table1[[#This Row],[Qty Order]]="Sample","-",IF(Table1[[#This Row],[Qty Order]]="RTFN","-",Table1[[#This Row],[Qty Order]]-Table1[[#This Row],[Qty Accumulate]]))</f>
        <v>0</v>
      </c>
      <c r="U521">
        <f>((Table1[[#This Row],[Shift Output]]*Table1[[#This Row],[Part Weight (gm)]])/1000)+Table1[[#This Row],[Reject Startup (kg)]]+Table1[[#This Row],[Reject Purging (kg)]]+Table1[[#This Row],[Reject Preform (kg)]]</f>
        <v>17.248000000000001</v>
      </c>
      <c r="V521" s="37">
        <f>(Table1[[#This Row],[Gross Weight (gm)]]-Table1[[#This Row],[Part Weight (gm)]])*Table1[[#This Row],[Shift Output]]/1000</f>
        <v>0</v>
      </c>
      <c r="W521" s="3">
        <v>0</v>
      </c>
      <c r="X521" s="36">
        <f>Table1[[#This Row],[Reject Startup (kg)]]/Table1[[#This Row],[Material Used]]</f>
        <v>0</v>
      </c>
      <c r="Y521" s="3">
        <v>0</v>
      </c>
      <c r="Z521" s="36">
        <f>Table1[[#This Row],[Reject Prod (kg)]]/Table1[[#This Row],[Material Used]]</f>
        <v>0</v>
      </c>
      <c r="AA521" s="4">
        <v>0</v>
      </c>
      <c r="AB521" s="5">
        <v>0.22</v>
      </c>
      <c r="AC521" s="4" cm="1">
        <f t="array" ref="AC521">IFERROR(INDEX(ReferenceCard, MATCH(1, (INDEX(ReferenceCard,,1)=Table1[[#This Row],[SAP No]]) * (INDEX(ReferenceCard,,2)=Table1[[#This Row],[Mould No]]), 0), 9),)</f>
        <v>77</v>
      </c>
      <c r="AD521" s="5">
        <v>0</v>
      </c>
      <c r="AE521" s="5">
        <v>0</v>
      </c>
      <c r="AF521" s="5">
        <v>0</v>
      </c>
      <c r="AG521" s="5">
        <v>2.68</v>
      </c>
      <c r="AH521" s="5">
        <v>9.1099999999999905</v>
      </c>
      <c r="AI521" s="5">
        <v>0</v>
      </c>
      <c r="AJ521" s="5">
        <v>0</v>
      </c>
      <c r="AK521" t="s">
        <v>129</v>
      </c>
      <c r="AL521" s="2"/>
      <c r="AM521" s="2"/>
      <c r="AN521" s="3">
        <v>0</v>
      </c>
      <c r="AO521" s="3">
        <v>0</v>
      </c>
      <c r="AP52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2" spans="1:42" x14ac:dyDescent="0.35">
      <c r="A522" s="1">
        <v>46007</v>
      </c>
      <c r="B522">
        <v>1</v>
      </c>
      <c r="C522" t="s">
        <v>27</v>
      </c>
      <c r="D522" t="str" cm="1">
        <f t="array" ref="D522">IFERROR(INDEX(ReferenceCard, MATCH(1, (INDEX(ReferenceCard,,1)=Table1[[#This Row],[SAP No]]) * (INDEX(ReferenceCard,,2)=Table1[[#This Row],[Mould No]]), 0), 6),)</f>
        <v>PPSB520Y</v>
      </c>
      <c r="E522">
        <v>552181</v>
      </c>
      <c r="F522">
        <v>4</v>
      </c>
      <c r="G522" t="str" cm="1">
        <f t="array" ref="G522">IFERROR(INDEX(ReferenceCard, MATCH(1, (INDEX(ReferenceCard,,1)=Table1[[#This Row],[SAP No]]) * (INDEX(ReferenceCard,,2)=Table1[[#This Row],[Mould No]]), 0), 3),)</f>
        <v>BC28-0090-D-APH-5180-3538-PP-6 NOTCHES-MOLD4</v>
      </c>
      <c r="H522">
        <v>0</v>
      </c>
      <c r="I522" cm="1">
        <f t="array" ref="I522">IFERROR(INDEX(ReferenceCard, MATCH(1, (INDEX(ReferenceCard,,1)=Table1[[#This Row],[SAP No]]) * (INDEX(ReferenceCard,,2)=Table1[[#This Row],[Mould No]]), 0), 4),)</f>
        <v>6</v>
      </c>
      <c r="J522" s="4" cm="1">
        <f t="array" ref="J522">IFERROR(INDEX(ReferenceCard, MATCH(1, (INDEX(ReferenceCard,,1)=Table1[[#This Row],[SAP No]]) * (INDEX(ReferenceCard,,2)=Table1[[#This Row],[Mould No]]), 0), 9),)</f>
        <v>18.8</v>
      </c>
      <c r="K522" s="4" cm="1">
        <f t="array" ref="K522">IFERROR(INDEX(ReferenceCard, MATCH(1, (INDEX(ReferenceCard,,1)=Table1[[#This Row],[SAP No]]) * (INDEX(ReferenceCard,,2)=Table1[[#This Row],[Mould No]]), 0), 7),)</f>
        <v>18.8</v>
      </c>
      <c r="L522">
        <v>123</v>
      </c>
      <c r="M522">
        <v>0</v>
      </c>
      <c r="N522">
        <v>0</v>
      </c>
      <c r="O522">
        <v>0</v>
      </c>
      <c r="P522">
        <f>Table1[[#This Row],[Shot]]*Table1[[#This Row],[Cav]]</f>
        <v>738</v>
      </c>
      <c r="Q522">
        <v>0</v>
      </c>
      <c r="R522">
        <f>(Table1[[#This Row],[Part Weight (gm)]]*Table1[[#This Row],[Finish Good]])/1000</f>
        <v>0</v>
      </c>
      <c r="S522">
        <v>0</v>
      </c>
      <c r="T522">
        <f>IF(Table1[[#This Row],[Qty Order]]="Sample","-",IF(Table1[[#This Row],[Qty Order]]="RTFN","-",Table1[[#This Row],[Qty Order]]-Table1[[#This Row],[Qty Accumulate]]))</f>
        <v>0</v>
      </c>
      <c r="U522">
        <f>((Table1[[#This Row],[Shift Output]]*Table1[[#This Row],[Part Weight (gm)]])/1000)+Table1[[#This Row],[Reject Startup (kg)]]+Table1[[#This Row],[Reject Purging (kg)]]+Table1[[#This Row],[Reject Preform (kg)]]</f>
        <v>13.8744</v>
      </c>
      <c r="V522" s="37">
        <f>(Table1[[#This Row],[Gross Weight (gm)]]-Table1[[#This Row],[Part Weight (gm)]])*Table1[[#This Row],[Shift Output]]/1000</f>
        <v>0</v>
      </c>
      <c r="W522" s="3">
        <v>0</v>
      </c>
      <c r="X522" s="36">
        <f>Table1[[#This Row],[Reject Startup (kg)]]/Table1[[#This Row],[Material Used]]</f>
        <v>0</v>
      </c>
      <c r="Y522" s="3">
        <v>0</v>
      </c>
      <c r="Z522" s="36">
        <f>Table1[[#This Row],[Reject Prod (kg)]]/Table1[[#This Row],[Material Used]]</f>
        <v>0</v>
      </c>
      <c r="AA522" s="4">
        <v>0</v>
      </c>
      <c r="AB522" s="5">
        <v>9.0399999999999903</v>
      </c>
      <c r="AC522" s="4" cm="1">
        <f t="array" ref="AC522">IFERROR(INDEX(ReferenceCard, MATCH(1, (INDEX(ReferenceCard,,1)=Table1[[#This Row],[SAP No]]) * (INDEX(ReferenceCard,,2)=Table1[[#This Row],[Mould No]]), 0), 9),)</f>
        <v>18.8</v>
      </c>
      <c r="AD522" s="5">
        <v>0</v>
      </c>
      <c r="AE522" s="5">
        <v>0</v>
      </c>
      <c r="AF522" s="5">
        <v>0</v>
      </c>
      <c r="AG522" s="5">
        <v>0</v>
      </c>
      <c r="AH522" s="5">
        <v>2.96</v>
      </c>
      <c r="AI522" s="5">
        <v>0</v>
      </c>
      <c r="AJ522" s="5">
        <v>0</v>
      </c>
      <c r="AL522" s="2"/>
      <c r="AM522" s="2"/>
      <c r="AN522" s="3">
        <v>0</v>
      </c>
      <c r="AO522" s="3">
        <v>0</v>
      </c>
      <c r="AP52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3" spans="1:42" x14ac:dyDescent="0.35">
      <c r="A523" s="1">
        <v>46007</v>
      </c>
      <c r="B523">
        <v>1</v>
      </c>
      <c r="C523" t="s">
        <v>29</v>
      </c>
      <c r="D523" t="str" cm="1">
        <f t="array" ref="D523">IFERROR(INDEX(ReferenceCard, MATCH(1, (INDEX(ReferenceCard,,1)=Table1[[#This Row],[SAP No]]) * (INDEX(ReferenceCard,,2)=Table1[[#This Row],[Mould No]]), 0), 6),)</f>
        <v>PET</v>
      </c>
      <c r="E523">
        <v>620599</v>
      </c>
      <c r="F523">
        <v>0</v>
      </c>
      <c r="G523" t="str" cm="1">
        <f t="array" ref="G523">IFERROR(INDEX(ReferenceCard, MATCH(1, (INDEX(ReferenceCard,,1)=Table1[[#This Row],[SAP No]]) * (INDEX(ReferenceCard,,2)=Table1[[#This Row],[Mould No]]), 0), 3),)</f>
        <v>BC28-0750-K4-R-CL (55g)</v>
      </c>
      <c r="H523">
        <v>0</v>
      </c>
      <c r="I523" cm="1">
        <f t="array" ref="I523">IFERROR(INDEX(ReferenceCard, MATCH(1, (INDEX(ReferenceCard,,1)=Table1[[#This Row],[SAP No]]) * (INDEX(ReferenceCard,,2)=Table1[[#This Row],[Mould No]]), 0), 4),)</f>
        <v>4</v>
      </c>
      <c r="J523" s="4" cm="1">
        <f t="array" ref="J523">IFERROR(INDEX(ReferenceCard, MATCH(1, (INDEX(ReferenceCard,,1)=Table1[[#This Row],[SAP No]]) * (INDEX(ReferenceCard,,2)=Table1[[#This Row],[Mould No]]), 0), 9),)</f>
        <v>55</v>
      </c>
      <c r="K523" s="4" cm="1">
        <f t="array" ref="K523">IFERROR(INDEX(ReferenceCard, MATCH(1, (INDEX(ReferenceCard,,1)=Table1[[#This Row],[SAP No]]) * (INDEX(ReferenceCard,,2)=Table1[[#This Row],[Mould No]]), 0), 7),)</f>
        <v>55</v>
      </c>
      <c r="L523">
        <v>1919</v>
      </c>
      <c r="M523">
        <v>0</v>
      </c>
      <c r="N523">
        <v>0</v>
      </c>
      <c r="O523">
        <v>0</v>
      </c>
      <c r="P523">
        <f>Table1[[#This Row],[Shot]]*Table1[[#This Row],[Cav]]</f>
        <v>7676</v>
      </c>
      <c r="Q523">
        <v>0</v>
      </c>
      <c r="R523">
        <f>(Table1[[#This Row],[Part Weight (gm)]]*Table1[[#This Row],[Finish Good]])/1000</f>
        <v>0</v>
      </c>
      <c r="S523">
        <v>0</v>
      </c>
      <c r="T523">
        <f>IF(Table1[[#This Row],[Qty Order]]="Sample","-",IF(Table1[[#This Row],[Qty Order]]="RTFN","-",Table1[[#This Row],[Qty Order]]-Table1[[#This Row],[Qty Accumulate]]))</f>
        <v>0</v>
      </c>
      <c r="U523">
        <f>((Table1[[#This Row],[Shift Output]]*Table1[[#This Row],[Part Weight (gm)]])/1000)+Table1[[#This Row],[Reject Startup (kg)]]+Table1[[#This Row],[Reject Purging (kg)]]+Table1[[#This Row],[Reject Preform (kg)]]</f>
        <v>422.18</v>
      </c>
      <c r="V523" s="37">
        <f>(Table1[[#This Row],[Gross Weight (gm)]]-Table1[[#This Row],[Part Weight (gm)]])*Table1[[#This Row],[Shift Output]]/1000</f>
        <v>0</v>
      </c>
      <c r="W523" s="3">
        <v>0</v>
      </c>
      <c r="X523" s="36">
        <f>Table1[[#This Row],[Reject Startup (kg)]]/Table1[[#This Row],[Material Used]]</f>
        <v>0</v>
      </c>
      <c r="Y523" s="3">
        <v>0</v>
      </c>
      <c r="Z523" s="36">
        <f>Table1[[#This Row],[Reject Prod (kg)]]/Table1[[#This Row],[Material Used]]</f>
        <v>0</v>
      </c>
      <c r="AA523" s="4">
        <v>27.9209384918212</v>
      </c>
      <c r="AB523" s="5">
        <v>12</v>
      </c>
      <c r="AC523" s="4" cm="1">
        <f t="array" ref="AC523">IFERROR(INDEX(ReferenceCard, MATCH(1, (INDEX(ReferenceCard,,1)=Table1[[#This Row],[SAP No]]) * (INDEX(ReferenceCard,,2)=Table1[[#This Row],[Mould No]]), 0), 9),)</f>
        <v>55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L523" s="2"/>
      <c r="AM523" s="2"/>
      <c r="AN523" s="3">
        <v>0</v>
      </c>
      <c r="AO523" s="3">
        <v>0</v>
      </c>
      <c r="AP52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4" spans="1:42" x14ac:dyDescent="0.35">
      <c r="A524" s="1">
        <v>46007</v>
      </c>
      <c r="B524">
        <v>1</v>
      </c>
      <c r="C524" t="s">
        <v>31</v>
      </c>
      <c r="D524" t="str" cm="1">
        <f t="array" ref="D524">IFERROR(INDEX(ReferenceCard, MATCH(1, (INDEX(ReferenceCard,,1)=Table1[[#This Row],[SAP No]]) * (INDEX(ReferenceCard,,2)=Table1[[#This Row],[Mould No]]), 0), 6),)</f>
        <v>PPSB520Y</v>
      </c>
      <c r="E524">
        <v>586276</v>
      </c>
      <c r="F524">
        <v>4</v>
      </c>
      <c r="G524" t="str" cm="1">
        <f t="array" ref="G524">IFERROR(INDEX(ReferenceCard, MATCH(1, (INDEX(ReferenceCard,,1)=Table1[[#This Row],[SAP No]]) * (INDEX(ReferenceCard,,2)=Table1[[#This Row],[Mould No]]), 0), 3),)</f>
        <v>BC28-0056-D-APH-LEB-604001-MOLD4</v>
      </c>
      <c r="H524">
        <v>0</v>
      </c>
      <c r="I524" cm="1">
        <f t="array" ref="I524">IFERROR(INDEX(ReferenceCard, MATCH(1, (INDEX(ReferenceCard,,1)=Table1[[#This Row],[SAP No]]) * (INDEX(ReferenceCard,,2)=Table1[[#This Row],[Mould No]]), 0), 4),)</f>
        <v>6</v>
      </c>
      <c r="J524" s="4" cm="1">
        <f t="array" ref="J524">IFERROR(INDEX(ReferenceCard, MATCH(1, (INDEX(ReferenceCard,,1)=Table1[[#This Row],[SAP No]]) * (INDEX(ReferenceCard,,2)=Table1[[#This Row],[Mould No]]), 0), 9),)</f>
        <v>12.3</v>
      </c>
      <c r="K524" s="4" cm="1">
        <f t="array" ref="K524">IFERROR(INDEX(ReferenceCard, MATCH(1, (INDEX(ReferenceCard,,1)=Table1[[#This Row],[SAP No]]) * (INDEX(ReferenceCard,,2)=Table1[[#This Row],[Mould No]]), 0), 7),)</f>
        <v>12.3</v>
      </c>
      <c r="L524">
        <v>2048</v>
      </c>
      <c r="M524">
        <v>0</v>
      </c>
      <c r="N524">
        <v>0</v>
      </c>
      <c r="O524">
        <v>0</v>
      </c>
      <c r="P524">
        <f>Table1[[#This Row],[Shot]]*Table1[[#This Row],[Cav]]</f>
        <v>12288</v>
      </c>
      <c r="Q524">
        <v>0</v>
      </c>
      <c r="R524">
        <f>(Table1[[#This Row],[Part Weight (gm)]]*Table1[[#This Row],[Finish Good]])/1000</f>
        <v>0</v>
      </c>
      <c r="S524">
        <v>0</v>
      </c>
      <c r="T524">
        <f>IF(Table1[[#This Row],[Qty Order]]="Sample","-",IF(Table1[[#This Row],[Qty Order]]="RTFN","-",Table1[[#This Row],[Qty Order]]-Table1[[#This Row],[Qty Accumulate]]))</f>
        <v>0</v>
      </c>
      <c r="U524">
        <f>((Table1[[#This Row],[Shift Output]]*Table1[[#This Row],[Part Weight (gm)]])/1000)+Table1[[#This Row],[Reject Startup (kg)]]+Table1[[#This Row],[Reject Purging (kg)]]+Table1[[#This Row],[Reject Preform (kg)]]</f>
        <v>151.14240000000001</v>
      </c>
      <c r="V524" s="37">
        <f>(Table1[[#This Row],[Gross Weight (gm)]]-Table1[[#This Row],[Part Weight (gm)]])*Table1[[#This Row],[Shift Output]]/1000</f>
        <v>0</v>
      </c>
      <c r="W524" s="3">
        <v>0</v>
      </c>
      <c r="X524" s="36">
        <f>Table1[[#This Row],[Reject Startup (kg)]]/Table1[[#This Row],[Material Used]]</f>
        <v>0</v>
      </c>
      <c r="Y524" s="3">
        <v>0</v>
      </c>
      <c r="Z524" s="36">
        <f>Table1[[#This Row],[Reject Prod (kg)]]/Table1[[#This Row],[Material Used]]</f>
        <v>0</v>
      </c>
      <c r="AA524" s="4">
        <v>26.161907196044901</v>
      </c>
      <c r="AB524" s="5">
        <v>12</v>
      </c>
      <c r="AC524" s="4" cm="1">
        <f t="array" ref="AC524">IFERROR(INDEX(ReferenceCard, MATCH(1, (INDEX(ReferenceCard,,1)=Table1[[#This Row],[SAP No]]) * (INDEX(ReferenceCard,,2)=Table1[[#This Row],[Mould No]]), 0), 9),)</f>
        <v>12.3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L524" s="2"/>
      <c r="AM524" s="2"/>
      <c r="AN524" s="3">
        <v>0</v>
      </c>
      <c r="AO524" s="3">
        <v>0</v>
      </c>
      <c r="AP52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5" spans="1:42" x14ac:dyDescent="0.35">
      <c r="A525" s="1">
        <v>46007</v>
      </c>
      <c r="B525">
        <v>1</v>
      </c>
      <c r="C525" t="s">
        <v>33</v>
      </c>
      <c r="D525" t="str" cm="1">
        <f t="array" ref="D525">IFERROR(INDEX(ReferenceCard, MATCH(1, (INDEX(ReferenceCard,,1)=Table1[[#This Row],[SAP No]]) * (INDEX(ReferenceCard,,2)=Table1[[#This Row],[Mould No]]), 0), 6),)</f>
        <v>PET</v>
      </c>
      <c r="E525">
        <v>541381</v>
      </c>
      <c r="F525">
        <v>0</v>
      </c>
      <c r="G525" t="str" cm="1">
        <f t="array" ref="G525">IFERROR(INDEX(ReferenceCard, MATCH(1, (INDEX(ReferenceCard,,1)=Table1[[#This Row],[SAP No]]) * (INDEX(ReferenceCard,,2)=Table1[[#This Row],[Mould No]]), 0), 3),)</f>
        <v>BC28-1200-K-R-CL</v>
      </c>
      <c r="H525">
        <v>0</v>
      </c>
      <c r="I525" cm="1">
        <f t="array" ref="I525">IFERROR(INDEX(ReferenceCard, MATCH(1, (INDEX(ReferenceCard,,1)=Table1[[#This Row],[SAP No]]) * (INDEX(ReferenceCard,,2)=Table1[[#This Row],[Mould No]]), 0), 4),)</f>
        <v>4</v>
      </c>
      <c r="J525" s="4" cm="1">
        <f t="array" ref="J525">IFERROR(INDEX(ReferenceCard, MATCH(1, (INDEX(ReferenceCard,,1)=Table1[[#This Row],[SAP No]]) * (INDEX(ReferenceCard,,2)=Table1[[#This Row],[Mould No]]), 0), 9),)</f>
        <v>55</v>
      </c>
      <c r="K525" s="4" cm="1">
        <f t="array" ref="K525">IFERROR(INDEX(ReferenceCard, MATCH(1, (INDEX(ReferenceCard,,1)=Table1[[#This Row],[SAP No]]) * (INDEX(ReferenceCard,,2)=Table1[[#This Row],[Mould No]]), 0), 7),)</f>
        <v>55</v>
      </c>
      <c r="L525">
        <v>167</v>
      </c>
      <c r="M525">
        <v>0</v>
      </c>
      <c r="N525">
        <v>0</v>
      </c>
      <c r="O525">
        <v>0</v>
      </c>
      <c r="P525">
        <f>Table1[[#This Row],[Shot]]*Table1[[#This Row],[Cav]]</f>
        <v>668</v>
      </c>
      <c r="Q525">
        <v>0</v>
      </c>
      <c r="R525">
        <f>(Table1[[#This Row],[Part Weight (gm)]]*Table1[[#This Row],[Finish Good]])/1000</f>
        <v>0</v>
      </c>
      <c r="S525">
        <v>0</v>
      </c>
      <c r="T525">
        <f>IF(Table1[[#This Row],[Qty Order]]="Sample","-",IF(Table1[[#This Row],[Qty Order]]="RTFN","-",Table1[[#This Row],[Qty Order]]-Table1[[#This Row],[Qty Accumulate]]))</f>
        <v>0</v>
      </c>
      <c r="U525">
        <f>((Table1[[#This Row],[Shift Output]]*Table1[[#This Row],[Part Weight (gm)]])/1000)+Table1[[#This Row],[Reject Startup (kg)]]+Table1[[#This Row],[Reject Purging (kg)]]+Table1[[#This Row],[Reject Preform (kg)]]</f>
        <v>36.74</v>
      </c>
      <c r="V525" s="37">
        <f>(Table1[[#This Row],[Gross Weight (gm)]]-Table1[[#This Row],[Part Weight (gm)]])*Table1[[#This Row],[Shift Output]]/1000</f>
        <v>0</v>
      </c>
      <c r="W525" s="3">
        <v>0</v>
      </c>
      <c r="X525" s="36">
        <f>Table1[[#This Row],[Reject Startup (kg)]]/Table1[[#This Row],[Material Used]]</f>
        <v>0</v>
      </c>
      <c r="Y525" s="3">
        <v>0</v>
      </c>
      <c r="Z525" s="36">
        <f>Table1[[#This Row],[Reject Prod (kg)]]/Table1[[#This Row],[Material Used]]</f>
        <v>0</v>
      </c>
      <c r="AA525" s="4">
        <v>0</v>
      </c>
      <c r="AB525" s="5">
        <v>9.0500000000000007</v>
      </c>
      <c r="AC525" s="4" cm="1">
        <f t="array" ref="AC525">IFERROR(INDEX(ReferenceCard, MATCH(1, (INDEX(ReferenceCard,,1)=Table1[[#This Row],[SAP No]]) * (INDEX(ReferenceCard,,2)=Table1[[#This Row],[Mould No]]), 0), 9),)</f>
        <v>55</v>
      </c>
      <c r="AD525" s="5">
        <v>0</v>
      </c>
      <c r="AE525" s="5">
        <v>0</v>
      </c>
      <c r="AF525" s="5">
        <v>0</v>
      </c>
      <c r="AG525" s="5">
        <v>0</v>
      </c>
      <c r="AH525" s="5">
        <v>2.95</v>
      </c>
      <c r="AI525" s="5">
        <v>0</v>
      </c>
      <c r="AJ525" s="5">
        <v>0</v>
      </c>
      <c r="AL525" s="2"/>
      <c r="AM525" s="2"/>
      <c r="AN525" s="3">
        <v>0</v>
      </c>
      <c r="AO525" s="3">
        <v>0</v>
      </c>
      <c r="AP52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6" spans="1:42" x14ac:dyDescent="0.35">
      <c r="A526" s="1">
        <v>46007</v>
      </c>
      <c r="B526">
        <v>1</v>
      </c>
      <c r="C526" t="s">
        <v>35</v>
      </c>
      <c r="D526" t="str" cm="1">
        <f t="array" ref="D526">IFERROR(INDEX(ReferenceCard, MATCH(1, (INDEX(ReferenceCard,,1)=Table1[[#This Row],[SAP No]]) * (INDEX(ReferenceCard,,2)=Table1[[#This Row],[Mould No]]), 0), 6),)</f>
        <v>PPSB520Y</v>
      </c>
      <c r="E526">
        <v>552181</v>
      </c>
      <c r="F526">
        <v>1</v>
      </c>
      <c r="G526" t="str" cm="1">
        <f t="array" ref="G526">IFERROR(INDEX(ReferenceCard, MATCH(1, (INDEX(ReferenceCard,,1)=Table1[[#This Row],[SAP No]]) * (INDEX(ReferenceCard,,2)=Table1[[#This Row],[Mould No]]), 0), 3),)</f>
        <v>BC28-0090-D-APH-5180-3538-PP-6 NOTCHES-MOLD1</v>
      </c>
      <c r="H526">
        <v>0</v>
      </c>
      <c r="I526" cm="1">
        <f t="array" ref="I526">IFERROR(INDEX(ReferenceCard, MATCH(1, (INDEX(ReferenceCard,,1)=Table1[[#This Row],[SAP No]]) * (INDEX(ReferenceCard,,2)=Table1[[#This Row],[Mould No]]), 0), 4),)</f>
        <v>6</v>
      </c>
      <c r="J526" s="4" cm="1">
        <f t="array" ref="J526">IFERROR(INDEX(ReferenceCard, MATCH(1, (INDEX(ReferenceCard,,1)=Table1[[#This Row],[SAP No]]) * (INDEX(ReferenceCard,,2)=Table1[[#This Row],[Mould No]]), 0), 9),)</f>
        <v>18.8</v>
      </c>
      <c r="K526" s="4" cm="1">
        <f t="array" ref="K526">IFERROR(INDEX(ReferenceCard, MATCH(1, (INDEX(ReferenceCard,,1)=Table1[[#This Row],[SAP No]]) * (INDEX(ReferenceCard,,2)=Table1[[#This Row],[Mould No]]), 0), 7),)</f>
        <v>18.8</v>
      </c>
      <c r="L526">
        <v>2479</v>
      </c>
      <c r="M526">
        <v>0</v>
      </c>
      <c r="N526">
        <v>0</v>
      </c>
      <c r="O526">
        <v>0</v>
      </c>
      <c r="P526">
        <f>Table1[[#This Row],[Shot]]*Table1[[#This Row],[Cav]]</f>
        <v>14874</v>
      </c>
      <c r="Q526">
        <v>0</v>
      </c>
      <c r="R526">
        <f>(Table1[[#This Row],[Part Weight (gm)]]*Table1[[#This Row],[Finish Good]])/1000</f>
        <v>0</v>
      </c>
      <c r="S526">
        <v>0</v>
      </c>
      <c r="T526">
        <f>IF(Table1[[#This Row],[Qty Order]]="Sample","-",IF(Table1[[#This Row],[Qty Order]]="RTFN","-",Table1[[#This Row],[Qty Order]]-Table1[[#This Row],[Qty Accumulate]]))</f>
        <v>0</v>
      </c>
      <c r="U526">
        <f>((Table1[[#This Row],[Shift Output]]*Table1[[#This Row],[Part Weight (gm)]])/1000)+Table1[[#This Row],[Reject Startup (kg)]]+Table1[[#This Row],[Reject Purging (kg)]]+Table1[[#This Row],[Reject Preform (kg)]]</f>
        <v>279.63120000000004</v>
      </c>
      <c r="V526" s="37">
        <f>(Table1[[#This Row],[Gross Weight (gm)]]-Table1[[#This Row],[Part Weight (gm)]])*Table1[[#This Row],[Shift Output]]/1000</f>
        <v>0</v>
      </c>
      <c r="W526" s="3">
        <v>0</v>
      </c>
      <c r="X526" s="36">
        <f>Table1[[#This Row],[Reject Startup (kg)]]/Table1[[#This Row],[Material Used]]</f>
        <v>0</v>
      </c>
      <c r="Y526" s="3">
        <v>0</v>
      </c>
      <c r="Z526" s="36">
        <f>Table1[[#This Row],[Reject Prod (kg)]]/Table1[[#This Row],[Material Used]]</f>
        <v>0</v>
      </c>
      <c r="AA526" s="4">
        <v>30.99387550354</v>
      </c>
      <c r="AB526" s="5">
        <v>8.3499999999999908</v>
      </c>
      <c r="AC526" s="4" cm="1">
        <f t="array" ref="AC526">IFERROR(INDEX(ReferenceCard, MATCH(1, (INDEX(ReferenceCard,,1)=Table1[[#This Row],[SAP No]]) * (INDEX(ReferenceCard,,2)=Table1[[#This Row],[Mould No]]), 0), 9),)</f>
        <v>18.8</v>
      </c>
      <c r="AD526" s="5">
        <v>0</v>
      </c>
      <c r="AE526" s="5">
        <v>0</v>
      </c>
      <c r="AF526" s="5">
        <v>0</v>
      </c>
      <c r="AG526" s="5">
        <v>2.02999999999999</v>
      </c>
      <c r="AH526" s="5">
        <v>1.61</v>
      </c>
      <c r="AI526" s="5">
        <v>0</v>
      </c>
      <c r="AJ526" s="5">
        <v>0</v>
      </c>
      <c r="AL526" s="2"/>
      <c r="AM526" s="2"/>
      <c r="AN526" s="3">
        <v>0</v>
      </c>
      <c r="AO526" s="3">
        <v>0</v>
      </c>
      <c r="AP52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7" spans="1:42" x14ac:dyDescent="0.35">
      <c r="A527" s="1">
        <v>46007</v>
      </c>
      <c r="B527">
        <v>1</v>
      </c>
      <c r="C527" t="s">
        <v>18</v>
      </c>
      <c r="D527" t="str" cm="1">
        <f t="array" ref="D527">IFERROR(INDEX(ReferenceCard, MATCH(1, (INDEX(ReferenceCard,,1)=Table1[[#This Row],[SAP No]]) * (INDEX(ReferenceCard,,2)=Table1[[#This Row],[Mould No]]), 0), 6),)</f>
        <v>PPSB520Y</v>
      </c>
      <c r="E527">
        <v>555979</v>
      </c>
      <c r="F527">
        <v>4</v>
      </c>
      <c r="G527" t="str" cm="1">
        <f t="array" ref="G527">IFERROR(INDEX(ReferenceCard, MATCH(1, (INDEX(ReferenceCard,,1)=Table1[[#This Row],[SAP No]]) * (INDEX(ReferenceCard,,2)=Table1[[#This Row],[Mould No]]), 0), 3),)</f>
        <v>BC28-0170-D-APH-5180-3539-PP-6 NOTCHES-MOLD4</v>
      </c>
      <c r="H527">
        <v>0</v>
      </c>
      <c r="I527" cm="1">
        <f t="array" ref="I527">IFERROR(INDEX(ReferenceCard, MATCH(1, (INDEX(ReferenceCard,,1)=Table1[[#This Row],[SAP No]]) * (INDEX(ReferenceCard,,2)=Table1[[#This Row],[Mould No]]), 0), 4),)</f>
        <v>6</v>
      </c>
      <c r="J527" s="4" cm="1">
        <f t="array" ref="J527">IFERROR(INDEX(ReferenceCard, MATCH(1, (INDEX(ReferenceCard,,1)=Table1[[#This Row],[SAP No]]) * (INDEX(ReferenceCard,,2)=Table1[[#This Row],[Mould No]]), 0), 9),)</f>
        <v>28</v>
      </c>
      <c r="K527" s="4" cm="1">
        <f t="array" ref="K527">IFERROR(INDEX(ReferenceCard, MATCH(1, (INDEX(ReferenceCard,,1)=Table1[[#This Row],[SAP No]]) * (INDEX(ReferenceCard,,2)=Table1[[#This Row],[Mould No]]), 0), 7),)</f>
        <v>28</v>
      </c>
      <c r="L527">
        <v>975</v>
      </c>
      <c r="M527">
        <v>0</v>
      </c>
      <c r="N527">
        <v>0</v>
      </c>
      <c r="O527">
        <v>0</v>
      </c>
      <c r="P527">
        <f>Table1[[#This Row],[Shot]]*Table1[[#This Row],[Cav]]</f>
        <v>5850</v>
      </c>
      <c r="Q527">
        <v>0</v>
      </c>
      <c r="R527">
        <f>(Table1[[#This Row],[Part Weight (gm)]]*Table1[[#This Row],[Finish Good]])/1000</f>
        <v>0</v>
      </c>
      <c r="S527">
        <v>0</v>
      </c>
      <c r="T527">
        <f>IF(Table1[[#This Row],[Qty Order]]="Sample","-",IF(Table1[[#This Row],[Qty Order]]="RTFN","-",Table1[[#This Row],[Qty Order]]-Table1[[#This Row],[Qty Accumulate]]))</f>
        <v>0</v>
      </c>
      <c r="U527">
        <f>((Table1[[#This Row],[Shift Output]]*Table1[[#This Row],[Part Weight (gm)]])/1000)+Table1[[#This Row],[Reject Startup (kg)]]+Table1[[#This Row],[Reject Purging (kg)]]+Table1[[#This Row],[Reject Preform (kg)]]</f>
        <v>163.80000000000001</v>
      </c>
      <c r="V527" s="37">
        <f>(Table1[[#This Row],[Gross Weight (gm)]]-Table1[[#This Row],[Part Weight (gm)]])*Table1[[#This Row],[Shift Output]]/1000</f>
        <v>0</v>
      </c>
      <c r="W527" s="3">
        <v>0</v>
      </c>
      <c r="X527" s="36">
        <f>Table1[[#This Row],[Reject Startup (kg)]]/Table1[[#This Row],[Material Used]]</f>
        <v>0</v>
      </c>
      <c r="Y527" s="3">
        <v>0</v>
      </c>
      <c r="Z527" s="36">
        <f>Table1[[#This Row],[Reject Prod (kg)]]/Table1[[#This Row],[Material Used]]</f>
        <v>0</v>
      </c>
      <c r="AA527" s="4">
        <v>43.5</v>
      </c>
      <c r="AB527" s="5">
        <v>12</v>
      </c>
      <c r="AC527" s="4" cm="1">
        <f t="array" ref="AC527">IFERROR(INDEX(ReferenceCard, MATCH(1, (INDEX(ReferenceCard,,1)=Table1[[#This Row],[SAP No]]) * (INDEX(ReferenceCard,,2)=Table1[[#This Row],[Mould No]]), 0), 9),)</f>
        <v>28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L527" s="2"/>
      <c r="AM527" s="2"/>
      <c r="AN527" s="3">
        <v>0</v>
      </c>
      <c r="AO527" s="3">
        <v>0</v>
      </c>
      <c r="AP52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8" spans="1:42" x14ac:dyDescent="0.35">
      <c r="A528" s="1">
        <v>46006</v>
      </c>
      <c r="B528">
        <v>2</v>
      </c>
      <c r="C528" t="s">
        <v>0</v>
      </c>
      <c r="D528" t="str" cm="1">
        <f t="array" ref="D528">IFERROR(INDEX(ReferenceCard, MATCH(1, (INDEX(ReferenceCard,,1)=Table1[[#This Row],[SAP No]]) * (INDEX(ReferenceCard,,2)=Table1[[#This Row],[Mould No]]), 0), 6),)</f>
        <v>PET</v>
      </c>
      <c r="E528">
        <v>369308</v>
      </c>
      <c r="F528">
        <v>0</v>
      </c>
      <c r="G528" t="str" cm="1">
        <f t="array" ref="G528">IFERROR(INDEX(ReferenceCard, MATCH(1, (INDEX(ReferenceCard,,1)=Table1[[#This Row],[SAP No]]) * (INDEX(ReferenceCard,,2)=Table1[[#This Row],[Mould No]]), 0), 3),)</f>
        <v>BW38-0280-LS-R-RED</v>
      </c>
      <c r="H528">
        <v>0</v>
      </c>
      <c r="I528" cm="1">
        <f t="array" ref="I528">IFERROR(INDEX(ReferenceCard, MATCH(1, (INDEX(ReferenceCard,,1)=Table1[[#This Row],[SAP No]]) * (INDEX(ReferenceCard,,2)=Table1[[#This Row],[Mould No]]), 0), 4),)</f>
        <v>4</v>
      </c>
      <c r="J528" s="4" cm="1">
        <f t="array" ref="J528">IFERROR(INDEX(ReferenceCard, MATCH(1, (INDEX(ReferenceCard,,1)=Table1[[#This Row],[SAP No]]) * (INDEX(ReferenceCard,,2)=Table1[[#This Row],[Mould No]]), 0), 9),)</f>
        <v>31</v>
      </c>
      <c r="K528" s="4" cm="1">
        <f t="array" ref="K528">IFERROR(INDEX(ReferenceCard, MATCH(1, (INDEX(ReferenceCard,,1)=Table1[[#This Row],[SAP No]]) * (INDEX(ReferenceCard,,2)=Table1[[#This Row],[Mould No]]), 0), 7),)</f>
        <v>31</v>
      </c>
      <c r="L528">
        <v>2043</v>
      </c>
      <c r="M528">
        <v>0</v>
      </c>
      <c r="N528">
        <v>0</v>
      </c>
      <c r="O528">
        <v>0</v>
      </c>
      <c r="P528">
        <f>Table1[[#This Row],[Shot]]*Table1[[#This Row],[Cav]]</f>
        <v>8172</v>
      </c>
      <c r="Q528">
        <v>0</v>
      </c>
      <c r="R528">
        <f>(Table1[[#This Row],[Part Weight (gm)]]*Table1[[#This Row],[Finish Good]])/1000</f>
        <v>0</v>
      </c>
      <c r="S528">
        <v>0</v>
      </c>
      <c r="T528">
        <f>IF(Table1[[#This Row],[Qty Order]]="Sample","-",IF(Table1[[#This Row],[Qty Order]]="RTFN","-",Table1[[#This Row],[Qty Order]]-Table1[[#This Row],[Qty Accumulate]]))</f>
        <v>0</v>
      </c>
      <c r="U528">
        <f>((Table1[[#This Row],[Shift Output]]*Table1[[#This Row],[Part Weight (gm)]])/1000)+Table1[[#This Row],[Reject Startup (kg)]]+Table1[[#This Row],[Reject Purging (kg)]]+Table1[[#This Row],[Reject Preform (kg)]]</f>
        <v>253.33199999999999</v>
      </c>
      <c r="V528" s="37">
        <f>(Table1[[#This Row],[Gross Weight (gm)]]-Table1[[#This Row],[Part Weight (gm)]])*Table1[[#This Row],[Shift Output]]/1000</f>
        <v>0</v>
      </c>
      <c r="W528" s="3">
        <v>0</v>
      </c>
      <c r="X528" s="36">
        <f>Table1[[#This Row],[Reject Startup (kg)]]/Table1[[#This Row],[Material Used]]</f>
        <v>0</v>
      </c>
      <c r="Y528" s="3">
        <v>0</v>
      </c>
      <c r="Z528" s="36">
        <f>Table1[[#This Row],[Reject Prod (kg)]]/Table1[[#This Row],[Material Used]]</f>
        <v>0</v>
      </c>
      <c r="AA528" s="4">
        <v>27.0569744110107</v>
      </c>
      <c r="AB528" s="5">
        <v>6.79</v>
      </c>
      <c r="AC528" s="4" cm="1">
        <f t="array" ref="AC528">IFERROR(INDEX(ReferenceCard, MATCH(1, (INDEX(ReferenceCard,,1)=Table1[[#This Row],[SAP No]]) * (INDEX(ReferenceCard,,2)=Table1[[#This Row],[Mould No]]), 0), 9),)</f>
        <v>31</v>
      </c>
      <c r="AD528" s="5">
        <v>0</v>
      </c>
      <c r="AE528" s="5">
        <v>0</v>
      </c>
      <c r="AF528" s="5">
        <v>0</v>
      </c>
      <c r="AG528" s="5">
        <v>4.46999999999999</v>
      </c>
      <c r="AH528" s="5">
        <v>0.73999999999999899</v>
      </c>
      <c r="AI528" s="5">
        <v>0</v>
      </c>
      <c r="AJ528" s="5">
        <v>0</v>
      </c>
      <c r="AL528" s="2"/>
      <c r="AM528" s="2"/>
      <c r="AN528" s="3">
        <v>0</v>
      </c>
      <c r="AO528" s="3">
        <v>0</v>
      </c>
      <c r="AP52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29" spans="1:42" x14ac:dyDescent="0.35">
      <c r="A529" s="1">
        <v>46006</v>
      </c>
      <c r="B529">
        <v>2</v>
      </c>
      <c r="C529" t="s">
        <v>3</v>
      </c>
      <c r="D529" t="str" cm="1">
        <f t="array" ref="D529">IFERROR(INDEX(ReferenceCard, MATCH(1, (INDEX(ReferenceCard,,1)=Table1[[#This Row],[SAP No]]) * (INDEX(ReferenceCard,,2)=Table1[[#This Row],[Mould No]]), 0), 6),)</f>
        <v>PET</v>
      </c>
      <c r="E529">
        <v>324163</v>
      </c>
      <c r="F529">
        <v>0</v>
      </c>
      <c r="G529" t="str" cm="1">
        <f t="array" ref="G529">IFERROR(INDEX(ReferenceCard, MATCH(1, (INDEX(ReferenceCard,,1)=Table1[[#This Row],[SAP No]]) * (INDEX(ReferenceCard,,2)=Table1[[#This Row],[Mould No]]), 0), 3),)</f>
        <v>BC28-0265-A-Q-CL</v>
      </c>
      <c r="H529">
        <v>0</v>
      </c>
      <c r="I529" cm="1">
        <f t="array" ref="I529">IFERROR(INDEX(ReferenceCard, MATCH(1, (INDEX(ReferenceCard,,1)=Table1[[#This Row],[SAP No]]) * (INDEX(ReferenceCard,,2)=Table1[[#This Row],[Mould No]]), 0), 4),)</f>
        <v>4</v>
      </c>
      <c r="J529" s="4" cm="1">
        <f t="array" ref="J529">IFERROR(INDEX(ReferenceCard, MATCH(1, (INDEX(ReferenceCard,,1)=Table1[[#This Row],[SAP No]]) * (INDEX(ReferenceCard,,2)=Table1[[#This Row],[Mould No]]), 0), 9),)</f>
        <v>24</v>
      </c>
      <c r="K529" s="4" cm="1">
        <f t="array" ref="K529">IFERROR(INDEX(ReferenceCard, MATCH(1, (INDEX(ReferenceCard,,1)=Table1[[#This Row],[SAP No]]) * (INDEX(ReferenceCard,,2)=Table1[[#This Row],[Mould No]]), 0), 7),)</f>
        <v>23.5</v>
      </c>
      <c r="L529">
        <v>1919</v>
      </c>
      <c r="M529">
        <v>0</v>
      </c>
      <c r="N529">
        <v>0</v>
      </c>
      <c r="O529">
        <v>0</v>
      </c>
      <c r="P529">
        <f>Table1[[#This Row],[Shot]]*Table1[[#This Row],[Cav]]</f>
        <v>7676</v>
      </c>
      <c r="Q529">
        <v>0</v>
      </c>
      <c r="R529">
        <f>(Table1[[#This Row],[Part Weight (gm)]]*Table1[[#This Row],[Finish Good]])/1000</f>
        <v>0</v>
      </c>
      <c r="S529">
        <v>0</v>
      </c>
      <c r="T529">
        <f>IF(Table1[[#This Row],[Qty Order]]="Sample","-",IF(Table1[[#This Row],[Qty Order]]="RTFN","-",Table1[[#This Row],[Qty Order]]-Table1[[#This Row],[Qty Accumulate]]))</f>
        <v>0</v>
      </c>
      <c r="U529">
        <f>((Table1[[#This Row],[Shift Output]]*Table1[[#This Row],[Part Weight (gm)]])/1000)+Table1[[#This Row],[Reject Startup (kg)]]+Table1[[#This Row],[Reject Purging (kg)]]+Table1[[#This Row],[Reject Preform (kg)]]</f>
        <v>180.386</v>
      </c>
      <c r="V529" s="37">
        <f>(Table1[[#This Row],[Gross Weight (gm)]]-Table1[[#This Row],[Part Weight (gm)]])*Table1[[#This Row],[Shift Output]]/1000</f>
        <v>3.8380000000000001</v>
      </c>
      <c r="W529" s="3">
        <v>0</v>
      </c>
      <c r="X529" s="36">
        <f>Table1[[#This Row],[Reject Startup (kg)]]/Table1[[#This Row],[Material Used]]</f>
        <v>0</v>
      </c>
      <c r="Y529" s="3">
        <v>0</v>
      </c>
      <c r="Z529" s="36">
        <f>Table1[[#This Row],[Reject Prod (kg)]]/Table1[[#This Row],[Material Used]]</f>
        <v>0</v>
      </c>
      <c r="AA529" s="4">
        <v>22.513048171996999</v>
      </c>
      <c r="AB529" s="5">
        <v>12</v>
      </c>
      <c r="AC529" s="4" cm="1">
        <f t="array" ref="AC529">IFERROR(INDEX(ReferenceCard, MATCH(1, (INDEX(ReferenceCard,,1)=Table1[[#This Row],[SAP No]]) * (INDEX(ReferenceCard,,2)=Table1[[#This Row],[Mould No]]), 0), 9),)</f>
        <v>24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L529" s="2"/>
      <c r="AM529" s="2"/>
      <c r="AN529" s="3">
        <v>0</v>
      </c>
      <c r="AO529" s="3">
        <v>0</v>
      </c>
      <c r="AP52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0" spans="1:42" x14ac:dyDescent="0.35">
      <c r="A530" s="1">
        <v>46006</v>
      </c>
      <c r="B530">
        <v>2</v>
      </c>
      <c r="C530" t="s">
        <v>5</v>
      </c>
      <c r="D530" t="str" cm="1">
        <f t="array" ref="D530">IFERROR(INDEX(ReferenceCard, MATCH(1, (INDEX(ReferenceCard,,1)=Table1[[#This Row],[SAP No]]) * (INDEX(ReferenceCard,,2)=Table1[[#This Row],[Mould No]]), 0), 6),)</f>
        <v>PET</v>
      </c>
      <c r="E530">
        <v>543590</v>
      </c>
      <c r="F530">
        <v>0</v>
      </c>
      <c r="G530" t="str" cm="1">
        <f t="array" ref="G530">IFERROR(INDEX(ReferenceCard, MATCH(1, (INDEX(ReferenceCard,,1)=Table1[[#This Row],[SAP No]]) * (INDEX(ReferenceCard,,2)=Table1[[#This Row],[Mould No]]), 0), 3),)</f>
        <v>BC28-0130-R-R-AM</v>
      </c>
      <c r="H530">
        <v>0</v>
      </c>
      <c r="I530" cm="1">
        <f t="array" ref="I530">IFERROR(INDEX(ReferenceCard, MATCH(1, (INDEX(ReferenceCard,,1)=Table1[[#This Row],[SAP No]]) * (INDEX(ReferenceCard,,2)=Table1[[#This Row],[Mould No]]), 0), 4),)</f>
        <v>4</v>
      </c>
      <c r="J530" s="4" cm="1">
        <f t="array" ref="J530">IFERROR(INDEX(ReferenceCard, MATCH(1, (INDEX(ReferenceCard,,1)=Table1[[#This Row],[SAP No]]) * (INDEX(ReferenceCard,,2)=Table1[[#This Row],[Mould No]]), 0), 9),)</f>
        <v>19</v>
      </c>
      <c r="K530" s="4" cm="1">
        <f t="array" ref="K530">IFERROR(INDEX(ReferenceCard, MATCH(1, (INDEX(ReferenceCard,,1)=Table1[[#This Row],[SAP No]]) * (INDEX(ReferenceCard,,2)=Table1[[#This Row],[Mould No]]), 0), 7),)</f>
        <v>19</v>
      </c>
      <c r="L530">
        <v>1576</v>
      </c>
      <c r="M530">
        <v>0</v>
      </c>
      <c r="N530">
        <v>0</v>
      </c>
      <c r="O530">
        <v>0</v>
      </c>
      <c r="P530">
        <f>Table1[[#This Row],[Shot]]*Table1[[#This Row],[Cav]]</f>
        <v>6304</v>
      </c>
      <c r="Q530">
        <v>0</v>
      </c>
      <c r="R530">
        <f>(Table1[[#This Row],[Part Weight (gm)]]*Table1[[#This Row],[Finish Good]])/1000</f>
        <v>0</v>
      </c>
      <c r="S530">
        <v>0</v>
      </c>
      <c r="T530">
        <f>IF(Table1[[#This Row],[Qty Order]]="Sample","-",IF(Table1[[#This Row],[Qty Order]]="RTFN","-",Table1[[#This Row],[Qty Order]]-Table1[[#This Row],[Qty Accumulate]]))</f>
        <v>0</v>
      </c>
      <c r="U530">
        <f>((Table1[[#This Row],[Shift Output]]*Table1[[#This Row],[Part Weight (gm)]])/1000)+Table1[[#This Row],[Reject Startup (kg)]]+Table1[[#This Row],[Reject Purging (kg)]]+Table1[[#This Row],[Reject Preform (kg)]]</f>
        <v>119.776</v>
      </c>
      <c r="V530" s="37">
        <f>(Table1[[#This Row],[Gross Weight (gm)]]-Table1[[#This Row],[Part Weight (gm)]])*Table1[[#This Row],[Shift Output]]/1000</f>
        <v>0</v>
      </c>
      <c r="W530" s="3">
        <v>0</v>
      </c>
      <c r="X530" s="36">
        <f>Table1[[#This Row],[Reject Startup (kg)]]/Table1[[#This Row],[Material Used]]</f>
        <v>0</v>
      </c>
      <c r="Y530" s="3">
        <v>0</v>
      </c>
      <c r="Z530" s="36">
        <f>Table1[[#This Row],[Reject Prod (kg)]]/Table1[[#This Row],[Material Used]]</f>
        <v>0</v>
      </c>
      <c r="AA530" s="4">
        <v>22.6565952301025</v>
      </c>
      <c r="AB530" s="5">
        <v>10.7799999999999</v>
      </c>
      <c r="AC530" s="4" cm="1">
        <f t="array" ref="AC530">IFERROR(INDEX(ReferenceCard, MATCH(1, (INDEX(ReferenceCard,,1)=Table1[[#This Row],[SAP No]]) * (INDEX(ReferenceCard,,2)=Table1[[#This Row],[Mould No]]), 0), 9),)</f>
        <v>19</v>
      </c>
      <c r="AD530" s="5">
        <v>0</v>
      </c>
      <c r="AE530" s="5">
        <v>0</v>
      </c>
      <c r="AF530" s="5">
        <v>0</v>
      </c>
      <c r="AG530" s="5">
        <v>0</v>
      </c>
      <c r="AH530" s="5">
        <v>1.22</v>
      </c>
      <c r="AI530" s="5">
        <v>0</v>
      </c>
      <c r="AJ530" s="5">
        <v>0</v>
      </c>
      <c r="AL530" s="2"/>
      <c r="AM530" s="2"/>
      <c r="AN530" s="3">
        <v>0</v>
      </c>
      <c r="AO530" s="3">
        <v>0</v>
      </c>
      <c r="AP53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1" spans="1:42" x14ac:dyDescent="0.35">
      <c r="A531" s="1">
        <v>46006</v>
      </c>
      <c r="B531">
        <v>2</v>
      </c>
      <c r="C531" t="s">
        <v>7</v>
      </c>
      <c r="D531" t="str" cm="1">
        <f t="array" ref="D531">IFERROR(INDEX(ReferenceCard, MATCH(1, (INDEX(ReferenceCard,,1)=Table1[[#This Row],[SAP No]]) * (INDEX(ReferenceCard,,2)=Table1[[#This Row],[Mould No]]), 0), 6),)</f>
        <v>PET</v>
      </c>
      <c r="E531">
        <v>426555</v>
      </c>
      <c r="F531">
        <v>0</v>
      </c>
      <c r="G531" t="str" cm="1">
        <f t="array" ref="G531">IFERROR(INDEX(ReferenceCard, MATCH(1, (INDEX(ReferenceCard,,1)=Table1[[#This Row],[SAP No]]) * (INDEX(ReferenceCard,,2)=Table1[[#This Row],[Mould No]]), 0), 3),)</f>
        <v>BX38-0330-Z-S-CL-HW</v>
      </c>
      <c r="H531">
        <v>0</v>
      </c>
      <c r="I531" cm="1">
        <f t="array" ref="I531">IFERROR(INDEX(ReferenceCard, MATCH(1, (INDEX(ReferenceCard,,1)=Table1[[#This Row],[SAP No]]) * (INDEX(ReferenceCard,,2)=Table1[[#This Row],[Mould No]]), 0), 4),)</f>
        <v>4</v>
      </c>
      <c r="J531" s="4" cm="1">
        <f t="array" ref="J531">IFERROR(INDEX(ReferenceCard, MATCH(1, (INDEX(ReferenceCard,,1)=Table1[[#This Row],[SAP No]]) * (INDEX(ReferenceCard,,2)=Table1[[#This Row],[Mould No]]), 0), 9),)</f>
        <v>29</v>
      </c>
      <c r="K531" s="4" cm="1">
        <f t="array" ref="K531">IFERROR(INDEX(ReferenceCard, MATCH(1, (INDEX(ReferenceCard,,1)=Table1[[#This Row],[SAP No]]) * (INDEX(ReferenceCard,,2)=Table1[[#This Row],[Mould No]]), 0), 7),)</f>
        <v>29</v>
      </c>
      <c r="L531">
        <v>1680</v>
      </c>
      <c r="M531">
        <v>0</v>
      </c>
      <c r="N531">
        <v>0</v>
      </c>
      <c r="O531">
        <v>0</v>
      </c>
      <c r="P531">
        <f>Table1[[#This Row],[Shot]]*Table1[[#This Row],[Cav]]</f>
        <v>6720</v>
      </c>
      <c r="Q531">
        <v>0</v>
      </c>
      <c r="R531">
        <f>(Table1[[#This Row],[Part Weight (gm)]]*Table1[[#This Row],[Finish Good]])/1000</f>
        <v>0</v>
      </c>
      <c r="S531">
        <v>0</v>
      </c>
      <c r="T531">
        <f>IF(Table1[[#This Row],[Qty Order]]="Sample","-",IF(Table1[[#This Row],[Qty Order]]="RTFN","-",Table1[[#This Row],[Qty Order]]-Table1[[#This Row],[Qty Accumulate]]))</f>
        <v>0</v>
      </c>
      <c r="U531">
        <f>((Table1[[#This Row],[Shift Output]]*Table1[[#This Row],[Part Weight (gm)]])/1000)+Table1[[#This Row],[Reject Startup (kg)]]+Table1[[#This Row],[Reject Purging (kg)]]+Table1[[#This Row],[Reject Preform (kg)]]</f>
        <v>194.88</v>
      </c>
      <c r="V531" s="37">
        <f>(Table1[[#This Row],[Gross Weight (gm)]]-Table1[[#This Row],[Part Weight (gm)]])*Table1[[#This Row],[Shift Output]]/1000</f>
        <v>0</v>
      </c>
      <c r="W531" s="3">
        <v>0</v>
      </c>
      <c r="X531" s="36">
        <f>Table1[[#This Row],[Reject Startup (kg)]]/Table1[[#This Row],[Material Used]]</f>
        <v>0</v>
      </c>
      <c r="Y531" s="3">
        <v>0</v>
      </c>
      <c r="Z531" s="36">
        <f>Table1[[#This Row],[Reject Prod (kg)]]/Table1[[#This Row],[Material Used]]</f>
        <v>0</v>
      </c>
      <c r="AA531" s="4">
        <v>25.7130737304687</v>
      </c>
      <c r="AB531" s="5">
        <v>12</v>
      </c>
      <c r="AC531" s="4" cm="1">
        <f t="array" ref="AC531">IFERROR(INDEX(ReferenceCard, MATCH(1, (INDEX(ReferenceCard,,1)=Table1[[#This Row],[SAP No]]) * (INDEX(ReferenceCard,,2)=Table1[[#This Row],[Mould No]]), 0), 9),)</f>
        <v>29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L531" s="2"/>
      <c r="AM531" s="2"/>
      <c r="AN531" s="3">
        <v>0</v>
      </c>
      <c r="AO531" s="3">
        <v>0</v>
      </c>
      <c r="AP53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2" spans="1:42" x14ac:dyDescent="0.35">
      <c r="A532" s="1">
        <v>46006</v>
      </c>
      <c r="B532">
        <v>2</v>
      </c>
      <c r="C532" t="s">
        <v>9</v>
      </c>
      <c r="D532" t="str" cm="1">
        <f t="array" ref="D532">IFERROR(INDEX(ReferenceCard, MATCH(1, (INDEX(ReferenceCard,,1)=Table1[[#This Row],[SAP No]]) * (INDEX(ReferenceCard,,2)=Table1[[#This Row],[Mould No]]), 0), 6),)</f>
        <v>rPET</v>
      </c>
      <c r="E532">
        <v>593537</v>
      </c>
      <c r="F532">
        <v>0</v>
      </c>
      <c r="G532" t="str" cm="1">
        <f t="array" ref="G532">IFERROR(INDEX(ReferenceCard, MATCH(1, (INDEX(ReferenceCard,,1)=Table1[[#This Row],[SAP No]]) * (INDEX(ReferenceCard,,2)=Table1[[#This Row],[Mould No]]), 0), 3),)</f>
        <v>BX38-1000-RN-R-CL-rPET</v>
      </c>
      <c r="H532">
        <v>0</v>
      </c>
      <c r="I532" cm="1">
        <f t="array" ref="I532">IFERROR(INDEX(ReferenceCard, MATCH(1, (INDEX(ReferenceCard,,1)=Table1[[#This Row],[SAP No]]) * (INDEX(ReferenceCard,,2)=Table1[[#This Row],[Mould No]]), 0), 4),)</f>
        <v>4</v>
      </c>
      <c r="J532" s="4" cm="1">
        <f t="array" ref="J532">IFERROR(INDEX(ReferenceCard, MATCH(1, (INDEX(ReferenceCard,,1)=Table1[[#This Row],[SAP No]]) * (INDEX(ReferenceCard,,2)=Table1[[#This Row],[Mould No]]), 0), 9),)</f>
        <v>56.5</v>
      </c>
      <c r="K532" s="4" cm="1">
        <f t="array" ref="K532">IFERROR(INDEX(ReferenceCard, MATCH(1, (INDEX(ReferenceCard,,1)=Table1[[#This Row],[SAP No]]) * (INDEX(ReferenceCard,,2)=Table1[[#This Row],[Mould No]]), 0), 7),)</f>
        <v>56.8</v>
      </c>
      <c r="L532">
        <v>0</v>
      </c>
      <c r="M532">
        <v>0</v>
      </c>
      <c r="N532">
        <v>0</v>
      </c>
      <c r="O532">
        <v>0</v>
      </c>
      <c r="P532">
        <f>Table1[[#This Row],[Shot]]*Table1[[#This Row],[Cav]]</f>
        <v>0</v>
      </c>
      <c r="Q532">
        <v>0</v>
      </c>
      <c r="R532">
        <f>(Table1[[#This Row],[Part Weight (gm)]]*Table1[[#This Row],[Finish Good]])/1000</f>
        <v>0</v>
      </c>
      <c r="S532">
        <v>0</v>
      </c>
      <c r="T532">
        <f>IF(Table1[[#This Row],[Qty Order]]="Sample","-",IF(Table1[[#This Row],[Qty Order]]="RTFN","-",Table1[[#This Row],[Qty Order]]-Table1[[#This Row],[Qty Accumulate]]))</f>
        <v>0</v>
      </c>
      <c r="U532">
        <f>((Table1[[#This Row],[Shift Output]]*Table1[[#This Row],[Part Weight (gm)]])/1000)+Table1[[#This Row],[Reject Startup (kg)]]+Table1[[#This Row],[Reject Purging (kg)]]+Table1[[#This Row],[Reject Preform (kg)]]</f>
        <v>0</v>
      </c>
      <c r="V532" s="37">
        <f>(Table1[[#This Row],[Gross Weight (gm)]]-Table1[[#This Row],[Part Weight (gm)]])*Table1[[#This Row],[Shift Output]]/1000</f>
        <v>0</v>
      </c>
      <c r="W532" s="3">
        <v>0</v>
      </c>
      <c r="X532" s="36" t="e">
        <f>Table1[[#This Row],[Reject Startup (kg)]]/Table1[[#This Row],[Material Used]]</f>
        <v>#DIV/0!</v>
      </c>
      <c r="Y532" s="3">
        <v>0</v>
      </c>
      <c r="Z532" s="36" t="e">
        <f>Table1[[#This Row],[Reject Prod (kg)]]/Table1[[#This Row],[Material Used]]</f>
        <v>#DIV/0!</v>
      </c>
      <c r="AA532" s="4">
        <v>0</v>
      </c>
      <c r="AB532" s="5">
        <v>0</v>
      </c>
      <c r="AC532" s="4" cm="1">
        <f t="array" ref="AC532">IFERROR(INDEX(ReferenceCard, MATCH(1, (INDEX(ReferenceCard,,1)=Table1[[#This Row],[SAP No]]) * (INDEX(ReferenceCard,,2)=Table1[[#This Row],[Mould No]]), 0), 9),)</f>
        <v>56.5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12</v>
      </c>
      <c r="AJ532" s="5">
        <v>0</v>
      </c>
      <c r="AL532" s="2"/>
      <c r="AM532" s="2"/>
      <c r="AN532" s="3">
        <v>0</v>
      </c>
      <c r="AO532" s="3">
        <v>0</v>
      </c>
      <c r="AP53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3" spans="1:42" x14ac:dyDescent="0.35">
      <c r="A533" s="1">
        <v>46006</v>
      </c>
      <c r="B533">
        <v>2</v>
      </c>
      <c r="C533" t="s">
        <v>11</v>
      </c>
      <c r="D533" t="str" cm="1">
        <f t="array" ref="D533">IFERROR(INDEX(ReferenceCard, MATCH(1, (INDEX(ReferenceCard,,1)=Table1[[#This Row],[SAP No]]) * (INDEX(ReferenceCard,,2)=Table1[[#This Row],[Mould No]]), 0), 6),)</f>
        <v>rPET</v>
      </c>
      <c r="E533">
        <v>620994</v>
      </c>
      <c r="F533">
        <v>0</v>
      </c>
      <c r="G533" t="str" cm="1">
        <f t="array" ref="G533">IFERROR(INDEX(ReferenceCard, MATCH(1, (INDEX(ReferenceCard,,1)=Table1[[#This Row],[SAP No]]) * (INDEX(ReferenceCard,,2)=Table1[[#This Row],[Mould No]]), 0), 3),)</f>
        <v>JJ63-0400-SH-S-CL-rPET</v>
      </c>
      <c r="H533">
        <v>0</v>
      </c>
      <c r="I533" cm="1">
        <f t="array" ref="I533">IFERROR(INDEX(ReferenceCard, MATCH(1, (INDEX(ReferenceCard,,1)=Table1[[#This Row],[SAP No]]) * (INDEX(ReferenceCard,,2)=Table1[[#This Row],[Mould No]]), 0), 4),)</f>
        <v>4</v>
      </c>
      <c r="J533" s="4" cm="1">
        <f t="array" ref="J533">IFERROR(INDEX(ReferenceCard, MATCH(1, (INDEX(ReferenceCard,,1)=Table1[[#This Row],[SAP No]]) * (INDEX(ReferenceCard,,2)=Table1[[#This Row],[Mould No]]), 0), 9),)</f>
        <v>32.74</v>
      </c>
      <c r="K533" s="4" cm="1">
        <f t="array" ref="K533">IFERROR(INDEX(ReferenceCard, MATCH(1, (INDEX(ReferenceCard,,1)=Table1[[#This Row],[SAP No]]) * (INDEX(ReferenceCard,,2)=Table1[[#This Row],[Mould No]]), 0), 7),)</f>
        <v>33</v>
      </c>
      <c r="L533">
        <v>7755</v>
      </c>
      <c r="M533">
        <v>0</v>
      </c>
      <c r="N533">
        <v>0</v>
      </c>
      <c r="O533">
        <v>0</v>
      </c>
      <c r="P533">
        <f>Table1[[#This Row],[Shot]]*Table1[[#This Row],[Cav]]</f>
        <v>31020</v>
      </c>
      <c r="Q533">
        <v>0</v>
      </c>
      <c r="R533">
        <f>(Table1[[#This Row],[Part Weight (gm)]]*Table1[[#This Row],[Finish Good]])/1000</f>
        <v>0</v>
      </c>
      <c r="S533">
        <v>0</v>
      </c>
      <c r="T533">
        <f>IF(Table1[[#This Row],[Qty Order]]="Sample","-",IF(Table1[[#This Row],[Qty Order]]="RTFN","-",Table1[[#This Row],[Qty Order]]-Table1[[#This Row],[Qty Accumulate]]))</f>
        <v>0</v>
      </c>
      <c r="U533">
        <f>((Table1[[#This Row],[Shift Output]]*Table1[[#This Row],[Part Weight (gm)]])/1000)+Table1[[#This Row],[Reject Startup (kg)]]+Table1[[#This Row],[Reject Purging (kg)]]+Table1[[#This Row],[Reject Preform (kg)]]</f>
        <v>1023.66</v>
      </c>
      <c r="V533" s="37">
        <f>(Table1[[#This Row],[Gross Weight (gm)]]-Table1[[#This Row],[Part Weight (gm)]])*Table1[[#This Row],[Shift Output]]/1000</f>
        <v>-8.0651999999999386</v>
      </c>
      <c r="W533" s="3">
        <v>0</v>
      </c>
      <c r="X533" s="36">
        <f>Table1[[#This Row],[Reject Startup (kg)]]/Table1[[#This Row],[Material Used]]</f>
        <v>0</v>
      </c>
      <c r="Y533" s="3">
        <v>0</v>
      </c>
      <c r="Z533" s="36">
        <f>Table1[[#This Row],[Reject Prod (kg)]]/Table1[[#This Row],[Material Used]]</f>
        <v>0</v>
      </c>
      <c r="AA533" s="4">
        <v>27.020299911498999</v>
      </c>
      <c r="AB533" s="5">
        <v>6.86</v>
      </c>
      <c r="AC533" s="4" cm="1">
        <f t="array" ref="AC533">IFERROR(INDEX(ReferenceCard, MATCH(1, (INDEX(ReferenceCard,,1)=Table1[[#This Row],[SAP No]]) * (INDEX(ReferenceCard,,2)=Table1[[#This Row],[Mould No]]), 0), 9),)</f>
        <v>32.74</v>
      </c>
      <c r="AD533" s="5">
        <v>0</v>
      </c>
      <c r="AE533" s="5">
        <v>0</v>
      </c>
      <c r="AF533" s="5">
        <v>0</v>
      </c>
      <c r="AG533" s="5">
        <v>0</v>
      </c>
      <c r="AH533" s="5">
        <v>5.1399999999999899</v>
      </c>
      <c r="AI533" s="5">
        <v>0</v>
      </c>
      <c r="AJ533" s="5">
        <v>0</v>
      </c>
      <c r="AL533" s="2"/>
      <c r="AM533" s="2"/>
      <c r="AN533" s="3">
        <v>0</v>
      </c>
      <c r="AO533" s="3">
        <v>0</v>
      </c>
      <c r="AP53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4" spans="1:42" x14ac:dyDescent="0.35">
      <c r="A534" s="1">
        <v>46006</v>
      </c>
      <c r="B534">
        <v>2</v>
      </c>
      <c r="C534" t="s">
        <v>14</v>
      </c>
      <c r="D534" t="str" cm="1">
        <f t="array" ref="D534">IFERROR(INDEX(ReferenceCard, MATCH(1, (INDEX(ReferenceCard,,1)=Table1[[#This Row],[SAP No]]) * (INDEX(ReferenceCard,,2)=Table1[[#This Row],[Mould No]]), 0), 6),)</f>
        <v>PET</v>
      </c>
      <c r="E534">
        <v>324165</v>
      </c>
      <c r="F534">
        <v>0</v>
      </c>
      <c r="G534" t="str" cm="1">
        <f t="array" ref="G534">IFERROR(INDEX(ReferenceCard, MATCH(1, (INDEX(ReferenceCard,,1)=Table1[[#This Row],[SAP No]]) * (INDEX(ReferenceCard,,2)=Table1[[#This Row],[Mould No]]), 0), 3),)</f>
        <v>JJ63-0400-SH-S-WH</v>
      </c>
      <c r="H534">
        <v>0</v>
      </c>
      <c r="I534" cm="1">
        <f t="array" ref="I534">IFERROR(INDEX(ReferenceCard, MATCH(1, (INDEX(ReferenceCard,,1)=Table1[[#This Row],[SAP No]]) * (INDEX(ReferenceCard,,2)=Table1[[#This Row],[Mould No]]), 0), 4),)</f>
        <v>4</v>
      </c>
      <c r="J534" s="4" cm="1">
        <f t="array" ref="J534">IFERROR(INDEX(ReferenceCard, MATCH(1, (INDEX(ReferenceCard,,1)=Table1[[#This Row],[SAP No]]) * (INDEX(ReferenceCard,,2)=Table1[[#This Row],[Mould No]]), 0), 9),)</f>
        <v>32.56</v>
      </c>
      <c r="K534" s="4" cm="1">
        <f t="array" ref="K534">IFERROR(INDEX(ReferenceCard, MATCH(1, (INDEX(ReferenceCard,,1)=Table1[[#This Row],[SAP No]]) * (INDEX(ReferenceCard,,2)=Table1[[#This Row],[Mould No]]), 0), 7),)</f>
        <v>33</v>
      </c>
      <c r="L534">
        <v>3599</v>
      </c>
      <c r="M534">
        <v>0</v>
      </c>
      <c r="N534">
        <v>0</v>
      </c>
      <c r="O534">
        <v>0</v>
      </c>
      <c r="P534">
        <f>Table1[[#This Row],[Shot]]*Table1[[#This Row],[Cav]]</f>
        <v>14396</v>
      </c>
      <c r="Q534">
        <v>0</v>
      </c>
      <c r="R534">
        <f>(Table1[[#This Row],[Part Weight (gm)]]*Table1[[#This Row],[Finish Good]])/1000</f>
        <v>0</v>
      </c>
      <c r="S534">
        <v>0</v>
      </c>
      <c r="T534">
        <f>IF(Table1[[#This Row],[Qty Order]]="Sample","-",IF(Table1[[#This Row],[Qty Order]]="RTFN","-",Table1[[#This Row],[Qty Order]]-Table1[[#This Row],[Qty Accumulate]]))</f>
        <v>0</v>
      </c>
      <c r="U534">
        <f>((Table1[[#This Row],[Shift Output]]*Table1[[#This Row],[Part Weight (gm)]])/1000)+Table1[[#This Row],[Reject Startup (kg)]]+Table1[[#This Row],[Reject Purging (kg)]]+Table1[[#This Row],[Reject Preform (kg)]]</f>
        <v>475.06799999999998</v>
      </c>
      <c r="V534" s="37">
        <f>(Table1[[#This Row],[Gross Weight (gm)]]-Table1[[#This Row],[Part Weight (gm)]])*Table1[[#This Row],[Shift Output]]/1000</f>
        <v>-6.3342399999999675</v>
      </c>
      <c r="W534" s="3">
        <v>0</v>
      </c>
      <c r="X534" s="36">
        <f>Table1[[#This Row],[Reject Startup (kg)]]/Table1[[#This Row],[Material Used]]</f>
        <v>0</v>
      </c>
      <c r="Y534" s="3">
        <v>0</v>
      </c>
      <c r="Z534" s="36">
        <f>Table1[[#This Row],[Reject Prod (kg)]]/Table1[[#This Row],[Material Used]]</f>
        <v>0</v>
      </c>
      <c r="AA534" s="4">
        <v>22.390157699584901</v>
      </c>
      <c r="AB534" s="5">
        <v>11.65</v>
      </c>
      <c r="AC534" s="4" cm="1">
        <f t="array" ref="AC534">IFERROR(INDEX(ReferenceCard, MATCH(1, (INDEX(ReferenceCard,,1)=Table1[[#This Row],[SAP No]]) * (INDEX(ReferenceCard,,2)=Table1[[#This Row],[Mould No]]), 0), 9),)</f>
        <v>32.56</v>
      </c>
      <c r="AD534" s="5">
        <v>0</v>
      </c>
      <c r="AE534" s="5">
        <v>0</v>
      </c>
      <c r="AF534" s="5">
        <v>0.22</v>
      </c>
      <c r="AG534" s="5">
        <v>0</v>
      </c>
      <c r="AH534" s="5">
        <v>0.13</v>
      </c>
      <c r="AI534" s="5">
        <v>0</v>
      </c>
      <c r="AJ534" s="5">
        <v>0</v>
      </c>
      <c r="AK534" t="s">
        <v>132</v>
      </c>
      <c r="AL534" s="2"/>
      <c r="AM534" s="2"/>
      <c r="AN534" s="3">
        <v>0</v>
      </c>
      <c r="AO534" s="3">
        <v>0</v>
      </c>
      <c r="AP53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5" spans="1:42" x14ac:dyDescent="0.35">
      <c r="A535" s="1">
        <v>46006</v>
      </c>
      <c r="B535">
        <v>2</v>
      </c>
      <c r="C535" t="s">
        <v>16</v>
      </c>
      <c r="D535" t="str" cm="1">
        <f t="array" ref="D535">IFERROR(INDEX(ReferenceCard, MATCH(1, (INDEX(ReferenceCard,,1)=Table1[[#This Row],[SAP No]]) * (INDEX(ReferenceCard,,2)=Table1[[#This Row],[Mould No]]), 0), 6),)</f>
        <v>PET</v>
      </c>
      <c r="E535">
        <v>323092</v>
      </c>
      <c r="F535">
        <v>0</v>
      </c>
      <c r="G535" t="str" cm="1">
        <f t="array" ref="G535">IFERROR(INDEX(ReferenceCard, MATCH(1, (INDEX(ReferenceCard,,1)=Table1[[#This Row],[SAP No]]) * (INDEX(ReferenceCard,,2)=Table1[[#This Row],[Mould No]]), 0), 3),)</f>
        <v>BX38-1000-GH-R-CL(GREEN) (ASEM)</v>
      </c>
      <c r="H535">
        <v>0</v>
      </c>
      <c r="I535" cm="1">
        <f t="array" ref="I535">IFERROR(INDEX(ReferenceCard, MATCH(1, (INDEX(ReferenceCard,,1)=Table1[[#This Row],[SAP No]]) * (INDEX(ReferenceCard,,2)=Table1[[#This Row],[Mould No]]), 0), 4),)</f>
        <v>4</v>
      </c>
      <c r="J535" s="4" cm="1">
        <f t="array" ref="J535">IFERROR(INDEX(ReferenceCard, MATCH(1, (INDEX(ReferenceCard,,1)=Table1[[#This Row],[SAP No]]) * (INDEX(ReferenceCard,,2)=Table1[[#This Row],[Mould No]]), 0), 9),)</f>
        <v>48.9</v>
      </c>
      <c r="K535" s="4" cm="1">
        <f t="array" ref="K535">IFERROR(INDEX(ReferenceCard, MATCH(1, (INDEX(ReferenceCard,,1)=Table1[[#This Row],[SAP No]]) * (INDEX(ReferenceCard,,2)=Table1[[#This Row],[Mould No]]), 0), 7),)</f>
        <v>48.9</v>
      </c>
      <c r="L535">
        <v>0</v>
      </c>
      <c r="M535">
        <v>0</v>
      </c>
      <c r="N535">
        <v>0</v>
      </c>
      <c r="O535">
        <v>0</v>
      </c>
      <c r="P535">
        <f>Table1[[#This Row],[Shot]]*Table1[[#This Row],[Cav]]</f>
        <v>0</v>
      </c>
      <c r="Q535">
        <v>0</v>
      </c>
      <c r="R535">
        <f>(Table1[[#This Row],[Part Weight (gm)]]*Table1[[#This Row],[Finish Good]])/1000</f>
        <v>0</v>
      </c>
      <c r="S535">
        <v>0</v>
      </c>
      <c r="T535">
        <f>IF(Table1[[#This Row],[Qty Order]]="Sample","-",IF(Table1[[#This Row],[Qty Order]]="RTFN","-",Table1[[#This Row],[Qty Order]]-Table1[[#This Row],[Qty Accumulate]]))</f>
        <v>0</v>
      </c>
      <c r="U535">
        <f>((Table1[[#This Row],[Shift Output]]*Table1[[#This Row],[Part Weight (gm)]])/1000)+Table1[[#This Row],[Reject Startup (kg)]]+Table1[[#This Row],[Reject Purging (kg)]]+Table1[[#This Row],[Reject Preform (kg)]]</f>
        <v>0</v>
      </c>
      <c r="V535" s="37">
        <f>(Table1[[#This Row],[Gross Weight (gm)]]-Table1[[#This Row],[Part Weight (gm)]])*Table1[[#This Row],[Shift Output]]/1000</f>
        <v>0</v>
      </c>
      <c r="W535" s="3">
        <v>0</v>
      </c>
      <c r="X535" s="36" t="e">
        <f>Table1[[#This Row],[Reject Startup (kg)]]/Table1[[#This Row],[Material Used]]</f>
        <v>#DIV/0!</v>
      </c>
      <c r="Y535" s="3">
        <v>0</v>
      </c>
      <c r="Z535" s="36" t="e">
        <f>Table1[[#This Row],[Reject Prod (kg)]]/Table1[[#This Row],[Material Used]]</f>
        <v>#DIV/0!</v>
      </c>
      <c r="AA535" s="4">
        <v>0</v>
      </c>
      <c r="AB535" s="5">
        <v>0</v>
      </c>
      <c r="AC535" s="4" cm="1">
        <f t="array" ref="AC535">IFERROR(INDEX(ReferenceCard, MATCH(1, (INDEX(ReferenceCard,,1)=Table1[[#This Row],[SAP No]]) * (INDEX(ReferenceCard,,2)=Table1[[#This Row],[Mould No]]), 0), 9),)</f>
        <v>48.9</v>
      </c>
      <c r="AD535" s="5">
        <v>0</v>
      </c>
      <c r="AE535" s="5">
        <v>0</v>
      </c>
      <c r="AF535" s="5">
        <v>0</v>
      </c>
      <c r="AG535" s="5">
        <v>0</v>
      </c>
      <c r="AH535" s="5">
        <v>12</v>
      </c>
      <c r="AI535" s="5">
        <v>0</v>
      </c>
      <c r="AJ535" s="5">
        <v>0</v>
      </c>
      <c r="AK535" t="s">
        <v>110</v>
      </c>
      <c r="AL535" s="2"/>
      <c r="AM535" s="2"/>
      <c r="AN535" s="3">
        <v>0</v>
      </c>
      <c r="AO535" s="3">
        <v>0</v>
      </c>
      <c r="AP53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6" spans="1:42" x14ac:dyDescent="0.35">
      <c r="A536" s="1">
        <v>46006</v>
      </c>
      <c r="B536">
        <v>2</v>
      </c>
      <c r="C536" t="s">
        <v>23</v>
      </c>
      <c r="D536" t="str" cm="1">
        <f t="array" ref="D536">IFERROR(INDEX(ReferenceCard, MATCH(1, (INDEX(ReferenceCard,,1)=Table1[[#This Row],[SAP No]]) * (INDEX(ReferenceCard,,2)=Table1[[#This Row],[Mould No]]), 0), 6),)</f>
        <v>PPSB520Y</v>
      </c>
      <c r="E536">
        <v>586276</v>
      </c>
      <c r="F536">
        <v>2</v>
      </c>
      <c r="G536" t="str" cm="1">
        <f t="array" ref="G536">IFERROR(INDEX(ReferenceCard, MATCH(1, (INDEX(ReferenceCard,,1)=Table1[[#This Row],[SAP No]]) * (INDEX(ReferenceCard,,2)=Table1[[#This Row],[Mould No]]), 0), 3),)</f>
        <v>BC28-0056-D-APH-LEB-604001-MOLD2</v>
      </c>
      <c r="H536">
        <v>0</v>
      </c>
      <c r="I536" cm="1">
        <f t="array" ref="I536">IFERROR(INDEX(ReferenceCard, MATCH(1, (INDEX(ReferenceCard,,1)=Table1[[#This Row],[SAP No]]) * (INDEX(ReferenceCard,,2)=Table1[[#This Row],[Mould No]]), 0), 4),)</f>
        <v>6</v>
      </c>
      <c r="J536" s="4" cm="1">
        <f t="array" ref="J536">IFERROR(INDEX(ReferenceCard, MATCH(1, (INDEX(ReferenceCard,,1)=Table1[[#This Row],[SAP No]]) * (INDEX(ReferenceCard,,2)=Table1[[#This Row],[Mould No]]), 0), 9),)</f>
        <v>12.3</v>
      </c>
      <c r="K536" s="4" cm="1">
        <f t="array" ref="K536">IFERROR(INDEX(ReferenceCard, MATCH(1, (INDEX(ReferenceCard,,1)=Table1[[#This Row],[SAP No]]) * (INDEX(ReferenceCard,,2)=Table1[[#This Row],[Mould No]]), 0), 7),)</f>
        <v>12.3</v>
      </c>
      <c r="L536">
        <v>1390</v>
      </c>
      <c r="M536">
        <v>0</v>
      </c>
      <c r="N536">
        <v>0</v>
      </c>
      <c r="O536">
        <v>0</v>
      </c>
      <c r="P536">
        <f>Table1[[#This Row],[Shot]]*Table1[[#This Row],[Cav]]</f>
        <v>8340</v>
      </c>
      <c r="Q536">
        <v>0</v>
      </c>
      <c r="R536">
        <f>(Table1[[#This Row],[Part Weight (gm)]]*Table1[[#This Row],[Finish Good]])/1000</f>
        <v>0</v>
      </c>
      <c r="S536">
        <v>0</v>
      </c>
      <c r="T536">
        <f>IF(Table1[[#This Row],[Qty Order]]="Sample","-",IF(Table1[[#This Row],[Qty Order]]="RTFN","-",Table1[[#This Row],[Qty Order]]-Table1[[#This Row],[Qty Accumulate]]))</f>
        <v>0</v>
      </c>
      <c r="U536">
        <f>((Table1[[#This Row],[Shift Output]]*Table1[[#This Row],[Part Weight (gm)]])/1000)+Table1[[#This Row],[Reject Startup (kg)]]+Table1[[#This Row],[Reject Purging (kg)]]+Table1[[#This Row],[Reject Preform (kg)]]</f>
        <v>102.58199999999999</v>
      </c>
      <c r="V536" s="37">
        <f>(Table1[[#This Row],[Gross Weight (gm)]]-Table1[[#This Row],[Part Weight (gm)]])*Table1[[#This Row],[Shift Output]]/1000</f>
        <v>0</v>
      </c>
      <c r="W536" s="3">
        <v>0</v>
      </c>
      <c r="X536" s="36">
        <f>Table1[[#This Row],[Reject Startup (kg)]]/Table1[[#This Row],[Material Used]]</f>
        <v>0</v>
      </c>
      <c r="Y536" s="3">
        <v>0</v>
      </c>
      <c r="Z536" s="36">
        <f>Table1[[#This Row],[Reject Prod (kg)]]/Table1[[#This Row],[Material Used]]</f>
        <v>0</v>
      </c>
      <c r="AA536" s="4">
        <v>25.511348724365199</v>
      </c>
      <c r="AB536" s="5">
        <v>12</v>
      </c>
      <c r="AC536" s="4" cm="1">
        <f t="array" ref="AC536">IFERROR(INDEX(ReferenceCard, MATCH(1, (INDEX(ReferenceCard,,1)=Table1[[#This Row],[SAP No]]) * (INDEX(ReferenceCard,,2)=Table1[[#This Row],[Mould No]]), 0), 9),)</f>
        <v>12.3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L536" s="2"/>
      <c r="AM536" s="2"/>
      <c r="AN536" s="3">
        <v>0</v>
      </c>
      <c r="AO536" s="3">
        <v>0</v>
      </c>
      <c r="AP53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7" spans="1:42" x14ac:dyDescent="0.35">
      <c r="A537" s="1">
        <v>46006</v>
      </c>
      <c r="B537">
        <v>2</v>
      </c>
      <c r="C537" t="s">
        <v>25</v>
      </c>
      <c r="D537" t="str" cm="1">
        <f t="array" ref="D537">IFERROR(INDEX(ReferenceCard, MATCH(1, (INDEX(ReferenceCard,,1)=Table1[[#This Row],[SAP No]]) * (INDEX(ReferenceCard,,2)=Table1[[#This Row],[Mould No]]), 0), 6),)</f>
        <v>PET</v>
      </c>
      <c r="E537">
        <v>323133</v>
      </c>
      <c r="F537">
        <v>0</v>
      </c>
      <c r="G537" t="str" cm="1">
        <f t="array" ref="G537">IFERROR(INDEX(ReferenceCard, MATCH(1, (INDEX(ReferenceCard,,1)=Table1[[#This Row],[SAP No]]) * (INDEX(ReferenceCard,,2)=Table1[[#This Row],[Mould No]]), 0), 3),)</f>
        <v>BX38-2000-RH-R-CL(GREEN) (ASEM)</v>
      </c>
      <c r="H537">
        <v>0</v>
      </c>
      <c r="I537" cm="1">
        <f t="array" ref="I537">IFERROR(INDEX(ReferenceCard, MATCH(1, (INDEX(ReferenceCard,,1)=Table1[[#This Row],[SAP No]]) * (INDEX(ReferenceCard,,2)=Table1[[#This Row],[Mould No]]), 0), 4),)</f>
        <v>4</v>
      </c>
      <c r="J537" s="4" cm="1">
        <f t="array" ref="J537">IFERROR(INDEX(ReferenceCard, MATCH(1, (INDEX(ReferenceCard,,1)=Table1[[#This Row],[SAP No]]) * (INDEX(ReferenceCard,,2)=Table1[[#This Row],[Mould No]]), 0), 9),)</f>
        <v>77</v>
      </c>
      <c r="K537" s="4" cm="1">
        <f t="array" ref="K537">IFERROR(INDEX(ReferenceCard, MATCH(1, (INDEX(ReferenceCard,,1)=Table1[[#This Row],[SAP No]]) * (INDEX(ReferenceCard,,2)=Table1[[#This Row],[Mould No]]), 0), 7),)</f>
        <v>77</v>
      </c>
      <c r="L537">
        <v>2446</v>
      </c>
      <c r="M537">
        <v>0</v>
      </c>
      <c r="N537">
        <v>0</v>
      </c>
      <c r="O537">
        <v>0</v>
      </c>
      <c r="P537">
        <f>Table1[[#This Row],[Shot]]*Table1[[#This Row],[Cav]]</f>
        <v>9784</v>
      </c>
      <c r="Q537">
        <v>0</v>
      </c>
      <c r="R537">
        <f>(Table1[[#This Row],[Part Weight (gm)]]*Table1[[#This Row],[Finish Good]])/1000</f>
        <v>0</v>
      </c>
      <c r="S537">
        <v>0</v>
      </c>
      <c r="T537">
        <f>IF(Table1[[#This Row],[Qty Order]]="Sample","-",IF(Table1[[#This Row],[Qty Order]]="RTFN","-",Table1[[#This Row],[Qty Order]]-Table1[[#This Row],[Qty Accumulate]]))</f>
        <v>0</v>
      </c>
      <c r="U537">
        <f>((Table1[[#This Row],[Shift Output]]*Table1[[#This Row],[Part Weight (gm)]])/1000)+Table1[[#This Row],[Reject Startup (kg)]]+Table1[[#This Row],[Reject Purging (kg)]]+Table1[[#This Row],[Reject Preform (kg)]]</f>
        <v>753.36800000000005</v>
      </c>
      <c r="V537" s="37">
        <f>(Table1[[#This Row],[Gross Weight (gm)]]-Table1[[#This Row],[Part Weight (gm)]])*Table1[[#This Row],[Shift Output]]/1000</f>
        <v>0</v>
      </c>
      <c r="W537" s="3">
        <v>0</v>
      </c>
      <c r="X537" s="36">
        <f>Table1[[#This Row],[Reject Startup (kg)]]/Table1[[#This Row],[Material Used]]</f>
        <v>0</v>
      </c>
      <c r="Y537" s="3">
        <v>0</v>
      </c>
      <c r="Z537" s="36">
        <f>Table1[[#This Row],[Reject Prod (kg)]]/Table1[[#This Row],[Material Used]]</f>
        <v>0</v>
      </c>
      <c r="AA537" s="4">
        <v>28.732872009277301</v>
      </c>
      <c r="AB537" s="5">
        <v>11.97</v>
      </c>
      <c r="AC537" s="4" cm="1">
        <f t="array" ref="AC537">IFERROR(INDEX(ReferenceCard, MATCH(1, (INDEX(ReferenceCard,,1)=Table1[[#This Row],[SAP No]]) * (INDEX(ReferenceCard,,2)=Table1[[#This Row],[Mould No]]), 0), 9),)</f>
        <v>77</v>
      </c>
      <c r="AD537" s="5">
        <v>0</v>
      </c>
      <c r="AE537" s="5">
        <v>0</v>
      </c>
      <c r="AF537" s="5">
        <v>0</v>
      </c>
      <c r="AG537" s="5">
        <v>0</v>
      </c>
      <c r="AH537" s="5">
        <v>2.9999999999999898E-2</v>
      </c>
      <c r="AI537" s="5">
        <v>0</v>
      </c>
      <c r="AJ537" s="5">
        <v>0</v>
      </c>
      <c r="AL537" s="2"/>
      <c r="AM537" s="2"/>
      <c r="AN537" s="3">
        <v>0</v>
      </c>
      <c r="AO537" s="3">
        <v>0</v>
      </c>
      <c r="AP53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8" spans="1:42" x14ac:dyDescent="0.35">
      <c r="A538" s="1">
        <v>46006</v>
      </c>
      <c r="B538">
        <v>2</v>
      </c>
      <c r="C538" t="s">
        <v>27</v>
      </c>
      <c r="D538" t="str" cm="1">
        <f t="array" ref="D538">IFERROR(INDEX(ReferenceCard, MATCH(1, (INDEX(ReferenceCard,,1)=Table1[[#This Row],[SAP No]]) * (INDEX(ReferenceCard,,2)=Table1[[#This Row],[Mould No]]), 0), 6),)</f>
        <v>PPSB520Y</v>
      </c>
      <c r="E538">
        <v>552181</v>
      </c>
      <c r="F538">
        <v>4</v>
      </c>
      <c r="G538" t="str" cm="1">
        <f t="array" ref="G538">IFERROR(INDEX(ReferenceCard, MATCH(1, (INDEX(ReferenceCard,,1)=Table1[[#This Row],[SAP No]]) * (INDEX(ReferenceCard,,2)=Table1[[#This Row],[Mould No]]), 0), 3),)</f>
        <v>BC28-0090-D-APH-5180-3538-PP-6 NOTCHES-MOLD4</v>
      </c>
      <c r="H538">
        <v>0</v>
      </c>
      <c r="I538" cm="1">
        <f t="array" ref="I538">IFERROR(INDEX(ReferenceCard, MATCH(1, (INDEX(ReferenceCard,,1)=Table1[[#This Row],[SAP No]]) * (INDEX(ReferenceCard,,2)=Table1[[#This Row],[Mould No]]), 0), 4),)</f>
        <v>6</v>
      </c>
      <c r="J538" s="4" cm="1">
        <f t="array" ref="J538">IFERROR(INDEX(ReferenceCard, MATCH(1, (INDEX(ReferenceCard,,1)=Table1[[#This Row],[SAP No]]) * (INDEX(ReferenceCard,,2)=Table1[[#This Row],[Mould No]]), 0), 9),)</f>
        <v>18.8</v>
      </c>
      <c r="K538" s="4" cm="1">
        <f t="array" ref="K538">IFERROR(INDEX(ReferenceCard, MATCH(1, (INDEX(ReferenceCard,,1)=Table1[[#This Row],[SAP No]]) * (INDEX(ReferenceCard,,2)=Table1[[#This Row],[Mould No]]), 0), 7),)</f>
        <v>18.8</v>
      </c>
      <c r="L538">
        <v>119</v>
      </c>
      <c r="M538">
        <v>0</v>
      </c>
      <c r="N538">
        <v>0</v>
      </c>
      <c r="O538">
        <v>0</v>
      </c>
      <c r="P538">
        <f>Table1[[#This Row],[Shot]]*Table1[[#This Row],[Cav]]</f>
        <v>714</v>
      </c>
      <c r="Q538">
        <v>0</v>
      </c>
      <c r="R538">
        <f>(Table1[[#This Row],[Part Weight (gm)]]*Table1[[#This Row],[Finish Good]])/1000</f>
        <v>0</v>
      </c>
      <c r="S538">
        <v>0</v>
      </c>
      <c r="T538">
        <f>IF(Table1[[#This Row],[Qty Order]]="Sample","-",IF(Table1[[#This Row],[Qty Order]]="RTFN","-",Table1[[#This Row],[Qty Order]]-Table1[[#This Row],[Qty Accumulate]]))</f>
        <v>0</v>
      </c>
      <c r="U538">
        <f>((Table1[[#This Row],[Shift Output]]*Table1[[#This Row],[Part Weight (gm)]])/1000)+Table1[[#This Row],[Reject Startup (kg)]]+Table1[[#This Row],[Reject Purging (kg)]]+Table1[[#This Row],[Reject Preform (kg)]]</f>
        <v>13.423200000000001</v>
      </c>
      <c r="V538" s="37">
        <f>(Table1[[#This Row],[Gross Weight (gm)]]-Table1[[#This Row],[Part Weight (gm)]])*Table1[[#This Row],[Shift Output]]/1000</f>
        <v>0</v>
      </c>
      <c r="W538" s="3">
        <v>0</v>
      </c>
      <c r="X538" s="36">
        <f>Table1[[#This Row],[Reject Startup (kg)]]/Table1[[#This Row],[Material Used]]</f>
        <v>0</v>
      </c>
      <c r="Y538" s="3">
        <v>0</v>
      </c>
      <c r="Z538" s="36">
        <f>Table1[[#This Row],[Reject Prod (kg)]]/Table1[[#This Row],[Material Used]]</f>
        <v>0</v>
      </c>
      <c r="AA538" s="4">
        <v>0</v>
      </c>
      <c r="AB538" s="5">
        <v>0</v>
      </c>
      <c r="AC538" s="4" cm="1">
        <f t="array" ref="AC538">IFERROR(INDEX(ReferenceCard, MATCH(1, (INDEX(ReferenceCard,,1)=Table1[[#This Row],[SAP No]]) * (INDEX(ReferenceCard,,2)=Table1[[#This Row],[Mould No]]), 0), 9),)</f>
        <v>18.8</v>
      </c>
      <c r="AD538" s="5">
        <v>0</v>
      </c>
      <c r="AE538" s="5">
        <v>0</v>
      </c>
      <c r="AF538" s="5">
        <v>0</v>
      </c>
      <c r="AG538" s="5">
        <v>0</v>
      </c>
      <c r="AH538" s="5">
        <v>12</v>
      </c>
      <c r="AI538" s="5">
        <v>0</v>
      </c>
      <c r="AJ538" s="5">
        <v>0</v>
      </c>
      <c r="AL538" s="2"/>
      <c r="AM538" s="2"/>
      <c r="AN538" s="3">
        <v>0</v>
      </c>
      <c r="AO538" s="3">
        <v>0</v>
      </c>
      <c r="AP53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39" spans="1:42" x14ac:dyDescent="0.35">
      <c r="A539" s="1">
        <v>46006</v>
      </c>
      <c r="B539">
        <v>2</v>
      </c>
      <c r="C539" t="s">
        <v>29</v>
      </c>
      <c r="D539" t="str" cm="1">
        <f t="array" ref="D539">IFERROR(INDEX(ReferenceCard, MATCH(1, (INDEX(ReferenceCard,,1)=Table1[[#This Row],[SAP No]]) * (INDEX(ReferenceCard,,2)=Table1[[#This Row],[Mould No]]), 0), 6),)</f>
        <v>PET</v>
      </c>
      <c r="E539">
        <v>620599</v>
      </c>
      <c r="F539">
        <v>0</v>
      </c>
      <c r="G539" t="str" cm="1">
        <f t="array" ref="G539">IFERROR(INDEX(ReferenceCard, MATCH(1, (INDEX(ReferenceCard,,1)=Table1[[#This Row],[SAP No]]) * (INDEX(ReferenceCard,,2)=Table1[[#This Row],[Mould No]]), 0), 3),)</f>
        <v>BC28-0750-K4-R-CL (55g)</v>
      </c>
      <c r="H539">
        <v>0</v>
      </c>
      <c r="I539" cm="1">
        <f t="array" ref="I539">IFERROR(INDEX(ReferenceCard, MATCH(1, (INDEX(ReferenceCard,,1)=Table1[[#This Row],[SAP No]]) * (INDEX(ReferenceCard,,2)=Table1[[#This Row],[Mould No]]), 0), 4),)</f>
        <v>4</v>
      </c>
      <c r="J539" s="4" cm="1">
        <f t="array" ref="J539">IFERROR(INDEX(ReferenceCard, MATCH(1, (INDEX(ReferenceCard,,1)=Table1[[#This Row],[SAP No]]) * (INDEX(ReferenceCard,,2)=Table1[[#This Row],[Mould No]]), 0), 9),)</f>
        <v>55</v>
      </c>
      <c r="K539" s="4" cm="1">
        <f t="array" ref="K539">IFERROR(INDEX(ReferenceCard, MATCH(1, (INDEX(ReferenceCard,,1)=Table1[[#This Row],[SAP No]]) * (INDEX(ReferenceCard,,2)=Table1[[#This Row],[Mould No]]), 0), 7),)</f>
        <v>55</v>
      </c>
      <c r="L539">
        <v>1547</v>
      </c>
      <c r="M539">
        <v>0</v>
      </c>
      <c r="N539">
        <v>0</v>
      </c>
      <c r="O539">
        <v>0</v>
      </c>
      <c r="P539">
        <f>Table1[[#This Row],[Shot]]*Table1[[#This Row],[Cav]]</f>
        <v>6188</v>
      </c>
      <c r="Q539">
        <v>0</v>
      </c>
      <c r="R539">
        <f>(Table1[[#This Row],[Part Weight (gm)]]*Table1[[#This Row],[Finish Good]])/1000</f>
        <v>0</v>
      </c>
      <c r="S539">
        <v>0</v>
      </c>
      <c r="T539">
        <f>IF(Table1[[#This Row],[Qty Order]]="Sample","-",IF(Table1[[#This Row],[Qty Order]]="RTFN","-",Table1[[#This Row],[Qty Order]]-Table1[[#This Row],[Qty Accumulate]]))</f>
        <v>0</v>
      </c>
      <c r="U539">
        <f>((Table1[[#This Row],[Shift Output]]*Table1[[#This Row],[Part Weight (gm)]])/1000)+Table1[[#This Row],[Reject Startup (kg)]]+Table1[[#This Row],[Reject Purging (kg)]]+Table1[[#This Row],[Reject Preform (kg)]]</f>
        <v>340.34</v>
      </c>
      <c r="V539" s="37">
        <f>(Table1[[#This Row],[Gross Weight (gm)]]-Table1[[#This Row],[Part Weight (gm)]])*Table1[[#This Row],[Shift Output]]/1000</f>
        <v>0</v>
      </c>
      <c r="W539" s="3">
        <v>0</v>
      </c>
      <c r="X539" s="36">
        <f>Table1[[#This Row],[Reject Startup (kg)]]/Table1[[#This Row],[Material Used]]</f>
        <v>0</v>
      </c>
      <c r="Y539" s="3">
        <v>0</v>
      </c>
      <c r="Z539" s="36">
        <f>Table1[[#This Row],[Reject Prod (kg)]]/Table1[[#This Row],[Material Used]]</f>
        <v>0</v>
      </c>
      <c r="AA539" s="4">
        <v>27.918470382690401</v>
      </c>
      <c r="AB539" s="5">
        <v>12</v>
      </c>
      <c r="AC539" s="4" cm="1">
        <f t="array" ref="AC539">IFERROR(INDEX(ReferenceCard, MATCH(1, (INDEX(ReferenceCard,,1)=Table1[[#This Row],[SAP No]]) * (INDEX(ReferenceCard,,2)=Table1[[#This Row],[Mould No]]), 0), 9),)</f>
        <v>55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L539" s="2"/>
      <c r="AM539" s="2"/>
      <c r="AN539" s="3">
        <v>0</v>
      </c>
      <c r="AO539" s="3">
        <v>0</v>
      </c>
      <c r="AP53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0" spans="1:42" x14ac:dyDescent="0.35">
      <c r="A540" s="1">
        <v>46006</v>
      </c>
      <c r="B540">
        <v>2</v>
      </c>
      <c r="C540" t="s">
        <v>31</v>
      </c>
      <c r="D540" t="str" cm="1">
        <f t="array" ref="D540">IFERROR(INDEX(ReferenceCard, MATCH(1, (INDEX(ReferenceCard,,1)=Table1[[#This Row],[SAP No]]) * (INDEX(ReferenceCard,,2)=Table1[[#This Row],[Mould No]]), 0), 6),)</f>
        <v>PPSB520Y</v>
      </c>
      <c r="E540">
        <v>586276</v>
      </c>
      <c r="F540">
        <v>4</v>
      </c>
      <c r="G540" t="str" cm="1">
        <f t="array" ref="G540">IFERROR(INDEX(ReferenceCard, MATCH(1, (INDEX(ReferenceCard,,1)=Table1[[#This Row],[SAP No]]) * (INDEX(ReferenceCard,,2)=Table1[[#This Row],[Mould No]]), 0), 3),)</f>
        <v>BC28-0056-D-APH-LEB-604001-MOLD4</v>
      </c>
      <c r="H540">
        <v>0</v>
      </c>
      <c r="I540" cm="1">
        <f t="array" ref="I540">IFERROR(INDEX(ReferenceCard, MATCH(1, (INDEX(ReferenceCard,,1)=Table1[[#This Row],[SAP No]]) * (INDEX(ReferenceCard,,2)=Table1[[#This Row],[Mould No]]), 0), 4),)</f>
        <v>6</v>
      </c>
      <c r="J540" s="4" cm="1">
        <f t="array" ref="J540">IFERROR(INDEX(ReferenceCard, MATCH(1, (INDEX(ReferenceCard,,1)=Table1[[#This Row],[SAP No]]) * (INDEX(ReferenceCard,,2)=Table1[[#This Row],[Mould No]]), 0), 9),)</f>
        <v>12.3</v>
      </c>
      <c r="K540" s="4" cm="1">
        <f t="array" ref="K540">IFERROR(INDEX(ReferenceCard, MATCH(1, (INDEX(ReferenceCard,,1)=Table1[[#This Row],[SAP No]]) * (INDEX(ReferenceCard,,2)=Table1[[#This Row],[Mould No]]), 0), 7),)</f>
        <v>12.3</v>
      </c>
      <c r="L540">
        <v>1651</v>
      </c>
      <c r="M540">
        <v>0</v>
      </c>
      <c r="N540">
        <v>0</v>
      </c>
      <c r="O540">
        <v>0</v>
      </c>
      <c r="P540">
        <f>Table1[[#This Row],[Shot]]*Table1[[#This Row],[Cav]]</f>
        <v>9906</v>
      </c>
      <c r="Q540">
        <v>0</v>
      </c>
      <c r="R540">
        <f>(Table1[[#This Row],[Part Weight (gm)]]*Table1[[#This Row],[Finish Good]])/1000</f>
        <v>0</v>
      </c>
      <c r="S540">
        <v>0</v>
      </c>
      <c r="T540">
        <f>IF(Table1[[#This Row],[Qty Order]]="Sample","-",IF(Table1[[#This Row],[Qty Order]]="RTFN","-",Table1[[#This Row],[Qty Order]]-Table1[[#This Row],[Qty Accumulate]]))</f>
        <v>0</v>
      </c>
      <c r="U540">
        <f>((Table1[[#This Row],[Shift Output]]*Table1[[#This Row],[Part Weight (gm)]])/1000)+Table1[[#This Row],[Reject Startup (kg)]]+Table1[[#This Row],[Reject Purging (kg)]]+Table1[[#This Row],[Reject Preform (kg)]]</f>
        <v>121.8438</v>
      </c>
      <c r="V540" s="37">
        <f>(Table1[[#This Row],[Gross Weight (gm)]]-Table1[[#This Row],[Part Weight (gm)]])*Table1[[#This Row],[Shift Output]]/1000</f>
        <v>0</v>
      </c>
      <c r="W540" s="3">
        <v>0</v>
      </c>
      <c r="X540" s="36">
        <f>Table1[[#This Row],[Reject Startup (kg)]]/Table1[[#This Row],[Material Used]]</f>
        <v>0</v>
      </c>
      <c r="Y540" s="3">
        <v>0</v>
      </c>
      <c r="Z540" s="36">
        <f>Table1[[#This Row],[Reject Prod (kg)]]/Table1[[#This Row],[Material Used]]</f>
        <v>0</v>
      </c>
      <c r="AA540" s="4">
        <v>26.163566589355401</v>
      </c>
      <c r="AB540" s="5">
        <v>12</v>
      </c>
      <c r="AC540" s="4" cm="1">
        <f t="array" ref="AC540">IFERROR(INDEX(ReferenceCard, MATCH(1, (INDEX(ReferenceCard,,1)=Table1[[#This Row],[SAP No]]) * (INDEX(ReferenceCard,,2)=Table1[[#This Row],[Mould No]]), 0), 9),)</f>
        <v>12.3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L540" s="2"/>
      <c r="AM540" s="2"/>
      <c r="AN540" s="3">
        <v>0</v>
      </c>
      <c r="AO540" s="3">
        <v>0</v>
      </c>
      <c r="AP54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1" spans="1:42" x14ac:dyDescent="0.35">
      <c r="A541" s="1">
        <v>46006</v>
      </c>
      <c r="B541">
        <v>2</v>
      </c>
      <c r="C541" t="s">
        <v>33</v>
      </c>
      <c r="D541" t="str" cm="1">
        <f t="array" ref="D541">IFERROR(INDEX(ReferenceCard, MATCH(1, (INDEX(ReferenceCard,,1)=Table1[[#This Row],[SAP No]]) * (INDEX(ReferenceCard,,2)=Table1[[#This Row],[Mould No]]), 0), 6),)</f>
        <v>PET</v>
      </c>
      <c r="E541">
        <v>541381</v>
      </c>
      <c r="F541">
        <v>0</v>
      </c>
      <c r="G541" t="str" cm="1">
        <f t="array" ref="G541">IFERROR(INDEX(ReferenceCard, MATCH(1, (INDEX(ReferenceCard,,1)=Table1[[#This Row],[SAP No]]) * (INDEX(ReferenceCard,,2)=Table1[[#This Row],[Mould No]]), 0), 3),)</f>
        <v>BC28-1200-K-R-CL</v>
      </c>
      <c r="H541">
        <v>0</v>
      </c>
      <c r="I541" cm="1">
        <f t="array" ref="I541">IFERROR(INDEX(ReferenceCard, MATCH(1, (INDEX(ReferenceCard,,1)=Table1[[#This Row],[SAP No]]) * (INDEX(ReferenceCard,,2)=Table1[[#This Row],[Mould No]]), 0), 4),)</f>
        <v>4</v>
      </c>
      <c r="J541" s="4" cm="1">
        <f t="array" ref="J541">IFERROR(INDEX(ReferenceCard, MATCH(1, (INDEX(ReferenceCard,,1)=Table1[[#This Row],[SAP No]]) * (INDEX(ReferenceCard,,2)=Table1[[#This Row],[Mould No]]), 0), 9),)</f>
        <v>55</v>
      </c>
      <c r="K541" s="4" cm="1">
        <f t="array" ref="K541">IFERROR(INDEX(ReferenceCard, MATCH(1, (INDEX(ReferenceCard,,1)=Table1[[#This Row],[SAP No]]) * (INDEX(ReferenceCard,,2)=Table1[[#This Row],[Mould No]]), 0), 7),)</f>
        <v>55</v>
      </c>
      <c r="L541">
        <v>2687</v>
      </c>
      <c r="M541">
        <v>0</v>
      </c>
      <c r="N541">
        <v>0</v>
      </c>
      <c r="O541">
        <v>0</v>
      </c>
      <c r="P541">
        <f>Table1[[#This Row],[Shot]]*Table1[[#This Row],[Cav]]</f>
        <v>10748</v>
      </c>
      <c r="Q541">
        <v>0</v>
      </c>
      <c r="R541">
        <f>(Table1[[#This Row],[Part Weight (gm)]]*Table1[[#This Row],[Finish Good]])/1000</f>
        <v>0</v>
      </c>
      <c r="S541">
        <v>0</v>
      </c>
      <c r="T541">
        <f>IF(Table1[[#This Row],[Qty Order]]="Sample","-",IF(Table1[[#This Row],[Qty Order]]="RTFN","-",Table1[[#This Row],[Qty Order]]-Table1[[#This Row],[Qty Accumulate]]))</f>
        <v>0</v>
      </c>
      <c r="U541">
        <f>((Table1[[#This Row],[Shift Output]]*Table1[[#This Row],[Part Weight (gm)]])/1000)+Table1[[#This Row],[Reject Startup (kg)]]+Table1[[#This Row],[Reject Purging (kg)]]+Table1[[#This Row],[Reject Preform (kg)]]</f>
        <v>591.14</v>
      </c>
      <c r="V541" s="37">
        <f>(Table1[[#This Row],[Gross Weight (gm)]]-Table1[[#This Row],[Part Weight (gm)]])*Table1[[#This Row],[Shift Output]]/1000</f>
        <v>0</v>
      </c>
      <c r="W541" s="3">
        <v>0</v>
      </c>
      <c r="X541" s="36">
        <f>Table1[[#This Row],[Reject Startup (kg)]]/Table1[[#This Row],[Material Used]]</f>
        <v>0</v>
      </c>
      <c r="Y541" s="3">
        <v>0</v>
      </c>
      <c r="Z541" s="36">
        <f>Table1[[#This Row],[Reject Prod (kg)]]/Table1[[#This Row],[Material Used]]</f>
        <v>0</v>
      </c>
      <c r="AA541" s="4">
        <v>0</v>
      </c>
      <c r="AB541" s="5">
        <v>4.91</v>
      </c>
      <c r="AC541" s="4" cm="1">
        <f t="array" ref="AC541">IFERROR(INDEX(ReferenceCard, MATCH(1, (INDEX(ReferenceCard,,1)=Table1[[#This Row],[SAP No]]) * (INDEX(ReferenceCard,,2)=Table1[[#This Row],[Mould No]]), 0), 9),)</f>
        <v>55</v>
      </c>
      <c r="AD541" s="5">
        <v>0.35999999999999899</v>
      </c>
      <c r="AE541" s="5">
        <v>0</v>
      </c>
      <c r="AF541" s="5">
        <v>0</v>
      </c>
      <c r="AG541" s="5">
        <v>0</v>
      </c>
      <c r="AH541" s="5">
        <v>6.73</v>
      </c>
      <c r="AI541" s="5">
        <v>0</v>
      </c>
      <c r="AJ541" s="5">
        <v>0</v>
      </c>
      <c r="AK541" t="s">
        <v>134</v>
      </c>
      <c r="AL541" s="2"/>
      <c r="AM541" s="2"/>
      <c r="AN541" s="3">
        <v>0</v>
      </c>
      <c r="AO541" s="3">
        <v>0</v>
      </c>
      <c r="AP54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2" spans="1:42" x14ac:dyDescent="0.35">
      <c r="A542" s="1">
        <v>46006</v>
      </c>
      <c r="B542">
        <v>2</v>
      </c>
      <c r="C542" t="s">
        <v>35</v>
      </c>
      <c r="D542" t="str" cm="1">
        <f t="array" ref="D542">IFERROR(INDEX(ReferenceCard, MATCH(1, (INDEX(ReferenceCard,,1)=Table1[[#This Row],[SAP No]]) * (INDEX(ReferenceCard,,2)=Table1[[#This Row],[Mould No]]), 0), 6),)</f>
        <v>PPSB520Y</v>
      </c>
      <c r="E542">
        <v>552181</v>
      </c>
      <c r="F542">
        <v>1</v>
      </c>
      <c r="G542" t="str" cm="1">
        <f t="array" ref="G542">IFERROR(INDEX(ReferenceCard, MATCH(1, (INDEX(ReferenceCard,,1)=Table1[[#This Row],[SAP No]]) * (INDEX(ReferenceCard,,2)=Table1[[#This Row],[Mould No]]), 0), 3),)</f>
        <v>BC28-0090-D-APH-5180-3538-PP-6 NOTCHES-MOLD1</v>
      </c>
      <c r="H542">
        <v>0</v>
      </c>
      <c r="I542" cm="1">
        <f t="array" ref="I542">IFERROR(INDEX(ReferenceCard, MATCH(1, (INDEX(ReferenceCard,,1)=Table1[[#This Row],[SAP No]]) * (INDEX(ReferenceCard,,2)=Table1[[#This Row],[Mould No]]), 0), 4),)</f>
        <v>6</v>
      </c>
      <c r="J542" s="4" cm="1">
        <f t="array" ref="J542">IFERROR(INDEX(ReferenceCard, MATCH(1, (INDEX(ReferenceCard,,1)=Table1[[#This Row],[SAP No]]) * (INDEX(ReferenceCard,,2)=Table1[[#This Row],[Mould No]]), 0), 9),)</f>
        <v>18.8</v>
      </c>
      <c r="K542" s="4" cm="1">
        <f t="array" ref="K542">IFERROR(INDEX(ReferenceCard, MATCH(1, (INDEX(ReferenceCard,,1)=Table1[[#This Row],[SAP No]]) * (INDEX(ReferenceCard,,2)=Table1[[#This Row],[Mould No]]), 0), 7),)</f>
        <v>18.8</v>
      </c>
      <c r="L542">
        <v>1942</v>
      </c>
      <c r="M542">
        <v>0</v>
      </c>
      <c r="N542">
        <v>0</v>
      </c>
      <c r="O542">
        <v>0</v>
      </c>
      <c r="P542">
        <f>Table1[[#This Row],[Shot]]*Table1[[#This Row],[Cav]]</f>
        <v>11652</v>
      </c>
      <c r="Q542">
        <v>0</v>
      </c>
      <c r="R542">
        <f>(Table1[[#This Row],[Part Weight (gm)]]*Table1[[#This Row],[Finish Good]])/1000</f>
        <v>0</v>
      </c>
      <c r="S542">
        <v>0</v>
      </c>
      <c r="T542">
        <f>IF(Table1[[#This Row],[Qty Order]]="Sample","-",IF(Table1[[#This Row],[Qty Order]]="RTFN","-",Table1[[#This Row],[Qty Order]]-Table1[[#This Row],[Qty Accumulate]]))</f>
        <v>0</v>
      </c>
      <c r="U542">
        <f>((Table1[[#This Row],[Shift Output]]*Table1[[#This Row],[Part Weight (gm)]])/1000)+Table1[[#This Row],[Reject Startup (kg)]]+Table1[[#This Row],[Reject Purging (kg)]]+Table1[[#This Row],[Reject Preform (kg)]]</f>
        <v>219.05760000000001</v>
      </c>
      <c r="V542" s="37">
        <f>(Table1[[#This Row],[Gross Weight (gm)]]-Table1[[#This Row],[Part Weight (gm)]])*Table1[[#This Row],[Shift Output]]/1000</f>
        <v>0</v>
      </c>
      <c r="W542" s="3">
        <v>0</v>
      </c>
      <c r="X542" s="36">
        <f>Table1[[#This Row],[Reject Startup (kg)]]/Table1[[#This Row],[Material Used]]</f>
        <v>0</v>
      </c>
      <c r="Y542" s="3">
        <v>0</v>
      </c>
      <c r="Z542" s="36">
        <f>Table1[[#This Row],[Reject Prod (kg)]]/Table1[[#This Row],[Material Used]]</f>
        <v>0</v>
      </c>
      <c r="AA542" s="4">
        <v>31.441961288452099</v>
      </c>
      <c r="AB542" s="5">
        <v>11.9</v>
      </c>
      <c r="AC542" s="4" cm="1">
        <f t="array" ref="AC542">IFERROR(INDEX(ReferenceCard, MATCH(1, (INDEX(ReferenceCard,,1)=Table1[[#This Row],[SAP No]]) * (INDEX(ReferenceCard,,2)=Table1[[#This Row],[Mould No]]), 0), 9),)</f>
        <v>18.8</v>
      </c>
      <c r="AD542" s="5">
        <v>0</v>
      </c>
      <c r="AE542" s="5">
        <v>0</v>
      </c>
      <c r="AF542" s="5">
        <v>0</v>
      </c>
      <c r="AG542" s="5">
        <v>0.1</v>
      </c>
      <c r="AH542" s="5">
        <v>0</v>
      </c>
      <c r="AI542" s="5">
        <v>0</v>
      </c>
      <c r="AJ542" s="5">
        <v>0</v>
      </c>
      <c r="AK542" t="s">
        <v>135</v>
      </c>
      <c r="AL542" s="2"/>
      <c r="AM542" s="2"/>
      <c r="AN542" s="3">
        <v>0</v>
      </c>
      <c r="AO542" s="3">
        <v>0</v>
      </c>
      <c r="AP54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3" spans="1:42" x14ac:dyDescent="0.35">
      <c r="A543" s="1">
        <v>46006</v>
      </c>
      <c r="B543">
        <v>2</v>
      </c>
      <c r="C543" t="s">
        <v>18</v>
      </c>
      <c r="D543" t="str" cm="1">
        <f t="array" ref="D543">IFERROR(INDEX(ReferenceCard, MATCH(1, (INDEX(ReferenceCard,,1)=Table1[[#This Row],[SAP No]]) * (INDEX(ReferenceCard,,2)=Table1[[#This Row],[Mould No]]), 0), 6),)</f>
        <v>PPSB520Y</v>
      </c>
      <c r="E543">
        <v>555979</v>
      </c>
      <c r="F543">
        <v>4</v>
      </c>
      <c r="G543" t="str" cm="1">
        <f t="array" ref="G543">IFERROR(INDEX(ReferenceCard, MATCH(1, (INDEX(ReferenceCard,,1)=Table1[[#This Row],[SAP No]]) * (INDEX(ReferenceCard,,2)=Table1[[#This Row],[Mould No]]), 0), 3),)</f>
        <v>BC28-0170-D-APH-5180-3539-PP-6 NOTCHES-MOLD4</v>
      </c>
      <c r="H543">
        <v>0</v>
      </c>
      <c r="I543" cm="1">
        <f t="array" ref="I543">IFERROR(INDEX(ReferenceCard, MATCH(1, (INDEX(ReferenceCard,,1)=Table1[[#This Row],[SAP No]]) * (INDEX(ReferenceCard,,2)=Table1[[#This Row],[Mould No]]), 0), 4),)</f>
        <v>6</v>
      </c>
      <c r="J543" s="4" cm="1">
        <f t="array" ref="J543">IFERROR(INDEX(ReferenceCard, MATCH(1, (INDEX(ReferenceCard,,1)=Table1[[#This Row],[SAP No]]) * (INDEX(ReferenceCard,,2)=Table1[[#This Row],[Mould No]]), 0), 9),)</f>
        <v>28</v>
      </c>
      <c r="K543" s="4" cm="1">
        <f t="array" ref="K543">IFERROR(INDEX(ReferenceCard, MATCH(1, (INDEX(ReferenceCard,,1)=Table1[[#This Row],[SAP No]]) * (INDEX(ReferenceCard,,2)=Table1[[#This Row],[Mould No]]), 0), 7),)</f>
        <v>28</v>
      </c>
      <c r="L543">
        <v>985</v>
      </c>
      <c r="M543">
        <v>0</v>
      </c>
      <c r="N543">
        <v>0</v>
      </c>
      <c r="O543">
        <v>0</v>
      </c>
      <c r="P543">
        <f>Table1[[#This Row],[Shot]]*Table1[[#This Row],[Cav]]</f>
        <v>5910</v>
      </c>
      <c r="Q543">
        <v>0</v>
      </c>
      <c r="R543">
        <f>(Table1[[#This Row],[Part Weight (gm)]]*Table1[[#This Row],[Finish Good]])/1000</f>
        <v>0</v>
      </c>
      <c r="S543">
        <v>0</v>
      </c>
      <c r="T543">
        <f>IF(Table1[[#This Row],[Qty Order]]="Sample","-",IF(Table1[[#This Row],[Qty Order]]="RTFN","-",Table1[[#This Row],[Qty Order]]-Table1[[#This Row],[Qty Accumulate]]))</f>
        <v>0</v>
      </c>
      <c r="U543">
        <f>((Table1[[#This Row],[Shift Output]]*Table1[[#This Row],[Part Weight (gm)]])/1000)+Table1[[#This Row],[Reject Startup (kg)]]+Table1[[#This Row],[Reject Purging (kg)]]+Table1[[#This Row],[Reject Preform (kg)]]</f>
        <v>165.48</v>
      </c>
      <c r="V543" s="37">
        <f>(Table1[[#This Row],[Gross Weight (gm)]]-Table1[[#This Row],[Part Weight (gm)]])*Table1[[#This Row],[Shift Output]]/1000</f>
        <v>0</v>
      </c>
      <c r="W543" s="3">
        <v>0</v>
      </c>
      <c r="X543" s="36">
        <f>Table1[[#This Row],[Reject Startup (kg)]]/Table1[[#This Row],[Material Used]]</f>
        <v>0</v>
      </c>
      <c r="Y543" s="3">
        <v>0</v>
      </c>
      <c r="Z543" s="36">
        <f>Table1[[#This Row],[Reject Prod (kg)]]/Table1[[#This Row],[Material Used]]</f>
        <v>0</v>
      </c>
      <c r="AA543" s="4">
        <v>43.5</v>
      </c>
      <c r="AB543" s="5">
        <v>12</v>
      </c>
      <c r="AC543" s="4" cm="1">
        <f t="array" ref="AC543">IFERROR(INDEX(ReferenceCard, MATCH(1, (INDEX(ReferenceCard,,1)=Table1[[#This Row],[SAP No]]) * (INDEX(ReferenceCard,,2)=Table1[[#This Row],[Mould No]]), 0), 9),)</f>
        <v>28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L543" s="2"/>
      <c r="AM543" s="2"/>
      <c r="AN543" s="3">
        <v>0</v>
      </c>
      <c r="AO543" s="3">
        <v>0</v>
      </c>
      <c r="AP54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4" spans="1:42" x14ac:dyDescent="0.35">
      <c r="A544" s="1">
        <v>46006</v>
      </c>
      <c r="B544">
        <v>1</v>
      </c>
      <c r="C544" t="s">
        <v>18</v>
      </c>
      <c r="D544" t="str" cm="1">
        <f t="array" ref="D544">IFERROR(INDEX(ReferenceCard, MATCH(1, (INDEX(ReferenceCard,,1)=Table1[[#This Row],[SAP No]]) * (INDEX(ReferenceCard,,2)=Table1[[#This Row],[Mould No]]), 0), 6),)</f>
        <v>PPSB520Y</v>
      </c>
      <c r="E544">
        <v>555979</v>
      </c>
      <c r="F544">
        <v>4</v>
      </c>
      <c r="G544" t="str" cm="1">
        <f t="array" ref="G544">IFERROR(INDEX(ReferenceCard, MATCH(1, (INDEX(ReferenceCard,,1)=Table1[[#This Row],[SAP No]]) * (INDEX(ReferenceCard,,2)=Table1[[#This Row],[Mould No]]), 0), 3),)</f>
        <v>BC28-0170-D-APH-5180-3539-PP-6 NOTCHES-MOLD4</v>
      </c>
      <c r="H544">
        <v>0</v>
      </c>
      <c r="I544" cm="1">
        <f t="array" ref="I544">IFERROR(INDEX(ReferenceCard, MATCH(1, (INDEX(ReferenceCard,,1)=Table1[[#This Row],[SAP No]]) * (INDEX(ReferenceCard,,2)=Table1[[#This Row],[Mould No]]), 0), 4),)</f>
        <v>6</v>
      </c>
      <c r="J544" s="4" cm="1">
        <f t="array" ref="J544">IFERROR(INDEX(ReferenceCard, MATCH(1, (INDEX(ReferenceCard,,1)=Table1[[#This Row],[SAP No]]) * (INDEX(ReferenceCard,,2)=Table1[[#This Row],[Mould No]]), 0), 9),)</f>
        <v>28</v>
      </c>
      <c r="K544" s="4" cm="1">
        <f t="array" ref="K544">IFERROR(INDEX(ReferenceCard, MATCH(1, (INDEX(ReferenceCard,,1)=Table1[[#This Row],[SAP No]]) * (INDEX(ReferenceCard,,2)=Table1[[#This Row],[Mould No]]), 0), 7),)</f>
        <v>28</v>
      </c>
      <c r="L544">
        <v>962</v>
      </c>
      <c r="M544">
        <v>0</v>
      </c>
      <c r="N544">
        <v>0</v>
      </c>
      <c r="O544">
        <v>0</v>
      </c>
      <c r="P544">
        <f>Table1[[#This Row],[Shot]]*Table1[[#This Row],[Cav]]</f>
        <v>5772</v>
      </c>
      <c r="Q544">
        <v>0</v>
      </c>
      <c r="R544">
        <f>(Table1[[#This Row],[Part Weight (gm)]]*Table1[[#This Row],[Finish Good]])/1000</f>
        <v>0</v>
      </c>
      <c r="S544">
        <v>0</v>
      </c>
      <c r="T544">
        <f>IF(Table1[[#This Row],[Qty Order]]="Sample","-",IF(Table1[[#This Row],[Qty Order]]="RTFN","-",Table1[[#This Row],[Qty Order]]-Table1[[#This Row],[Qty Accumulate]]))</f>
        <v>0</v>
      </c>
      <c r="U544">
        <f>((Table1[[#This Row],[Shift Output]]*Table1[[#This Row],[Part Weight (gm)]])/1000)+Table1[[#This Row],[Reject Startup (kg)]]+Table1[[#This Row],[Reject Purging (kg)]]+Table1[[#This Row],[Reject Preform (kg)]]</f>
        <v>161.61600000000001</v>
      </c>
      <c r="V544" s="37">
        <f>(Table1[[#This Row],[Gross Weight (gm)]]-Table1[[#This Row],[Part Weight (gm)]])*Table1[[#This Row],[Shift Output]]/1000</f>
        <v>0</v>
      </c>
      <c r="W544" s="3">
        <v>0</v>
      </c>
      <c r="X544" s="36">
        <f>Table1[[#This Row],[Reject Startup (kg)]]/Table1[[#This Row],[Material Used]]</f>
        <v>0</v>
      </c>
      <c r="Y544" s="3">
        <v>0</v>
      </c>
      <c r="Z544" s="36">
        <f>Table1[[#This Row],[Reject Prod (kg)]]/Table1[[#This Row],[Material Used]]</f>
        <v>0</v>
      </c>
      <c r="AA544" s="4">
        <v>43.5</v>
      </c>
      <c r="AB544" s="5">
        <v>12</v>
      </c>
      <c r="AC544" s="4" cm="1">
        <f t="array" ref="AC544">IFERROR(INDEX(ReferenceCard, MATCH(1, (INDEX(ReferenceCard,,1)=Table1[[#This Row],[SAP No]]) * (INDEX(ReferenceCard,,2)=Table1[[#This Row],[Mould No]]), 0), 9),)</f>
        <v>28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L544" s="2"/>
      <c r="AM544" s="2"/>
      <c r="AN544" s="3">
        <v>0</v>
      </c>
      <c r="AO544" s="3">
        <v>0</v>
      </c>
      <c r="AP54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5" spans="1:42" x14ac:dyDescent="0.35">
      <c r="A545" s="1">
        <v>46006</v>
      </c>
      <c r="B545">
        <v>1</v>
      </c>
      <c r="C545" t="s">
        <v>35</v>
      </c>
      <c r="D545" t="str" cm="1">
        <f t="array" ref="D545">IFERROR(INDEX(ReferenceCard, MATCH(1, (INDEX(ReferenceCard,,1)=Table1[[#This Row],[SAP No]]) * (INDEX(ReferenceCard,,2)=Table1[[#This Row],[Mould No]]), 0), 6),)</f>
        <v>PPSB520Y</v>
      </c>
      <c r="E545">
        <v>552181</v>
      </c>
      <c r="F545">
        <v>1</v>
      </c>
      <c r="G545" t="str" cm="1">
        <f t="array" ref="G545">IFERROR(INDEX(ReferenceCard, MATCH(1, (INDEX(ReferenceCard,,1)=Table1[[#This Row],[SAP No]]) * (INDEX(ReferenceCard,,2)=Table1[[#This Row],[Mould No]]), 0), 3),)</f>
        <v>BC28-0090-D-APH-5180-3538-PP-6 NOTCHES-MOLD1</v>
      </c>
      <c r="H545">
        <v>0</v>
      </c>
      <c r="I545" cm="1">
        <f t="array" ref="I545">IFERROR(INDEX(ReferenceCard, MATCH(1, (INDEX(ReferenceCard,,1)=Table1[[#This Row],[SAP No]]) * (INDEX(ReferenceCard,,2)=Table1[[#This Row],[Mould No]]), 0), 4),)</f>
        <v>6</v>
      </c>
      <c r="J545" s="4" cm="1">
        <f t="array" ref="J545">IFERROR(INDEX(ReferenceCard, MATCH(1, (INDEX(ReferenceCard,,1)=Table1[[#This Row],[SAP No]]) * (INDEX(ReferenceCard,,2)=Table1[[#This Row],[Mould No]]), 0), 9),)</f>
        <v>18.8</v>
      </c>
      <c r="K545" s="4" cm="1">
        <f t="array" ref="K545">IFERROR(INDEX(ReferenceCard, MATCH(1, (INDEX(ReferenceCard,,1)=Table1[[#This Row],[SAP No]]) * (INDEX(ReferenceCard,,2)=Table1[[#This Row],[Mould No]]), 0), 7),)</f>
        <v>18.8</v>
      </c>
      <c r="L545">
        <v>2003</v>
      </c>
      <c r="M545">
        <v>0</v>
      </c>
      <c r="N545">
        <v>0</v>
      </c>
      <c r="O545">
        <v>0</v>
      </c>
      <c r="P545">
        <f>Table1[[#This Row],[Shot]]*Table1[[#This Row],[Cav]]</f>
        <v>12018</v>
      </c>
      <c r="Q545">
        <v>0</v>
      </c>
      <c r="R545">
        <f>(Table1[[#This Row],[Part Weight (gm)]]*Table1[[#This Row],[Finish Good]])/1000</f>
        <v>0</v>
      </c>
      <c r="S545">
        <v>0</v>
      </c>
      <c r="T545">
        <f>IF(Table1[[#This Row],[Qty Order]]="Sample","-",IF(Table1[[#This Row],[Qty Order]]="RTFN","-",Table1[[#This Row],[Qty Order]]-Table1[[#This Row],[Qty Accumulate]]))</f>
        <v>0</v>
      </c>
      <c r="U545">
        <f>((Table1[[#This Row],[Shift Output]]*Table1[[#This Row],[Part Weight (gm)]])/1000)+Table1[[#This Row],[Reject Startup (kg)]]+Table1[[#This Row],[Reject Purging (kg)]]+Table1[[#This Row],[Reject Preform (kg)]]</f>
        <v>225.9384</v>
      </c>
      <c r="V545" s="37">
        <f>(Table1[[#This Row],[Gross Weight (gm)]]-Table1[[#This Row],[Part Weight (gm)]])*Table1[[#This Row],[Shift Output]]/1000</f>
        <v>0</v>
      </c>
      <c r="W545" s="3">
        <v>0</v>
      </c>
      <c r="X545" s="36">
        <f>Table1[[#This Row],[Reject Startup (kg)]]/Table1[[#This Row],[Material Used]]</f>
        <v>0</v>
      </c>
      <c r="Y545" s="3">
        <v>0</v>
      </c>
      <c r="Z545" s="36">
        <f>Table1[[#This Row],[Reject Prod (kg)]]/Table1[[#This Row],[Material Used]]</f>
        <v>0</v>
      </c>
      <c r="AA545" s="4">
        <v>31.282056808471602</v>
      </c>
      <c r="AB545" s="5">
        <v>9.56</v>
      </c>
      <c r="AC545" s="4" cm="1">
        <f t="array" ref="AC545">IFERROR(INDEX(ReferenceCard, MATCH(1, (INDEX(ReferenceCard,,1)=Table1[[#This Row],[SAP No]]) * (INDEX(ReferenceCard,,2)=Table1[[#This Row],[Mould No]]), 0), 9),)</f>
        <v>18.8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L545" s="2"/>
      <c r="AM545" s="2"/>
      <c r="AN545" s="3">
        <v>0</v>
      </c>
      <c r="AO545" s="3">
        <v>0</v>
      </c>
      <c r="AP54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6" spans="1:42" x14ac:dyDescent="0.35">
      <c r="A546" s="1">
        <v>46006</v>
      </c>
      <c r="B546">
        <v>1</v>
      </c>
      <c r="C546" t="s">
        <v>33</v>
      </c>
      <c r="D546" t="str" cm="1">
        <f t="array" ref="D546">IFERROR(INDEX(ReferenceCard, MATCH(1, (INDEX(ReferenceCard,,1)=Table1[[#This Row],[SAP No]]) * (INDEX(ReferenceCard,,2)=Table1[[#This Row],[Mould No]]), 0), 6),)</f>
        <v>PET</v>
      </c>
      <c r="E546">
        <v>541381</v>
      </c>
      <c r="F546">
        <v>0</v>
      </c>
      <c r="G546" t="str" cm="1">
        <f t="array" ref="G546">IFERROR(INDEX(ReferenceCard, MATCH(1, (INDEX(ReferenceCard,,1)=Table1[[#This Row],[SAP No]]) * (INDEX(ReferenceCard,,2)=Table1[[#This Row],[Mould No]]), 0), 3),)</f>
        <v>BC28-1200-K-R-CL</v>
      </c>
      <c r="H546">
        <v>0</v>
      </c>
      <c r="I546" cm="1">
        <f t="array" ref="I546">IFERROR(INDEX(ReferenceCard, MATCH(1, (INDEX(ReferenceCard,,1)=Table1[[#This Row],[SAP No]]) * (INDEX(ReferenceCard,,2)=Table1[[#This Row],[Mould No]]), 0), 4),)</f>
        <v>4</v>
      </c>
      <c r="J546" s="4" cm="1">
        <f t="array" ref="J546">IFERROR(INDEX(ReferenceCard, MATCH(1, (INDEX(ReferenceCard,,1)=Table1[[#This Row],[SAP No]]) * (INDEX(ReferenceCard,,2)=Table1[[#This Row],[Mould No]]), 0), 9),)</f>
        <v>55</v>
      </c>
      <c r="K546" s="4" cm="1">
        <f t="array" ref="K546">IFERROR(INDEX(ReferenceCard, MATCH(1, (INDEX(ReferenceCard,,1)=Table1[[#This Row],[SAP No]]) * (INDEX(ReferenceCard,,2)=Table1[[#This Row],[Mould No]]), 0), 7),)</f>
        <v>55</v>
      </c>
      <c r="L546">
        <v>6</v>
      </c>
      <c r="M546">
        <v>0</v>
      </c>
      <c r="N546">
        <v>0</v>
      </c>
      <c r="O546">
        <v>0</v>
      </c>
      <c r="P546">
        <f>Table1[[#This Row],[Shot]]*Table1[[#This Row],[Cav]]</f>
        <v>24</v>
      </c>
      <c r="Q546">
        <v>0</v>
      </c>
      <c r="R546">
        <f>(Table1[[#This Row],[Part Weight (gm)]]*Table1[[#This Row],[Finish Good]])/1000</f>
        <v>0</v>
      </c>
      <c r="S546">
        <v>0</v>
      </c>
      <c r="T546">
        <f>IF(Table1[[#This Row],[Qty Order]]="Sample","-",IF(Table1[[#This Row],[Qty Order]]="RTFN","-",Table1[[#This Row],[Qty Order]]-Table1[[#This Row],[Qty Accumulate]]))</f>
        <v>0</v>
      </c>
      <c r="U546">
        <f>((Table1[[#This Row],[Shift Output]]*Table1[[#This Row],[Part Weight (gm)]])/1000)+Table1[[#This Row],[Reject Startup (kg)]]+Table1[[#This Row],[Reject Purging (kg)]]+Table1[[#This Row],[Reject Preform (kg)]]</f>
        <v>1.32</v>
      </c>
      <c r="V546" s="37">
        <f>(Table1[[#This Row],[Gross Weight (gm)]]-Table1[[#This Row],[Part Weight (gm)]])*Table1[[#This Row],[Shift Output]]/1000</f>
        <v>0</v>
      </c>
      <c r="W546" s="3">
        <v>0</v>
      </c>
      <c r="X546" s="36">
        <f>Table1[[#This Row],[Reject Startup (kg)]]/Table1[[#This Row],[Material Used]]</f>
        <v>0</v>
      </c>
      <c r="Y546" s="3">
        <v>0</v>
      </c>
      <c r="Z546" s="36">
        <f>Table1[[#This Row],[Reject Prod (kg)]]/Table1[[#This Row],[Material Used]]</f>
        <v>0</v>
      </c>
      <c r="AA546" s="4">
        <v>0</v>
      </c>
      <c r="AB546" s="5">
        <v>0</v>
      </c>
      <c r="AC546" s="4" cm="1">
        <f t="array" ref="AC546">IFERROR(INDEX(ReferenceCard, MATCH(1, (INDEX(ReferenceCard,,1)=Table1[[#This Row],[SAP No]]) * (INDEX(ReferenceCard,,2)=Table1[[#This Row],[Mould No]]), 0), 9),)</f>
        <v>55</v>
      </c>
      <c r="AD546" s="5">
        <v>9.56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t="s">
        <v>136</v>
      </c>
      <c r="AL546" s="2" t="s">
        <v>137</v>
      </c>
      <c r="AM546" s="2" t="s">
        <v>138</v>
      </c>
      <c r="AN546" s="3"/>
      <c r="AO546" s="3"/>
      <c r="AP54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7" spans="1:42" x14ac:dyDescent="0.35">
      <c r="A547" s="1">
        <v>46006</v>
      </c>
      <c r="B547">
        <v>1</v>
      </c>
      <c r="C547" t="s">
        <v>31</v>
      </c>
      <c r="D547" t="str" cm="1">
        <f t="array" ref="D547">IFERROR(INDEX(ReferenceCard, MATCH(1, (INDEX(ReferenceCard,,1)=Table1[[#This Row],[SAP No]]) * (INDEX(ReferenceCard,,2)=Table1[[#This Row],[Mould No]]), 0), 6),)</f>
        <v>PPSB520Y</v>
      </c>
      <c r="E547">
        <v>586276</v>
      </c>
      <c r="F547">
        <v>4</v>
      </c>
      <c r="G547" t="str" cm="1">
        <f t="array" ref="G547">IFERROR(INDEX(ReferenceCard, MATCH(1, (INDEX(ReferenceCard,,1)=Table1[[#This Row],[SAP No]]) * (INDEX(ReferenceCard,,2)=Table1[[#This Row],[Mould No]]), 0), 3),)</f>
        <v>BC28-0056-D-APH-LEB-604001-MOLD4</v>
      </c>
      <c r="H547">
        <v>0</v>
      </c>
      <c r="I547" cm="1">
        <f t="array" ref="I547">IFERROR(INDEX(ReferenceCard, MATCH(1, (INDEX(ReferenceCard,,1)=Table1[[#This Row],[SAP No]]) * (INDEX(ReferenceCard,,2)=Table1[[#This Row],[Mould No]]), 0), 4),)</f>
        <v>6</v>
      </c>
      <c r="J547" s="4" cm="1">
        <f t="array" ref="J547">IFERROR(INDEX(ReferenceCard, MATCH(1, (INDEX(ReferenceCard,,1)=Table1[[#This Row],[SAP No]]) * (INDEX(ReferenceCard,,2)=Table1[[#This Row],[Mould No]]), 0), 9),)</f>
        <v>12.3</v>
      </c>
      <c r="K547" s="4" cm="1">
        <f t="array" ref="K547">IFERROR(INDEX(ReferenceCard, MATCH(1, (INDEX(ReferenceCard,,1)=Table1[[#This Row],[SAP No]]) * (INDEX(ReferenceCard,,2)=Table1[[#This Row],[Mould No]]), 0), 7),)</f>
        <v>12.3</v>
      </c>
      <c r="L547">
        <v>2394</v>
      </c>
      <c r="M547">
        <v>0</v>
      </c>
      <c r="N547">
        <v>0</v>
      </c>
      <c r="O547">
        <v>0</v>
      </c>
      <c r="P547">
        <f>Table1[[#This Row],[Shot]]*Table1[[#This Row],[Cav]]</f>
        <v>14364</v>
      </c>
      <c r="Q547">
        <v>0</v>
      </c>
      <c r="R547">
        <f>(Table1[[#This Row],[Part Weight (gm)]]*Table1[[#This Row],[Finish Good]])/1000</f>
        <v>0</v>
      </c>
      <c r="S547">
        <v>0</v>
      </c>
      <c r="T547">
        <f>IF(Table1[[#This Row],[Qty Order]]="Sample","-",IF(Table1[[#This Row],[Qty Order]]="RTFN","-",Table1[[#This Row],[Qty Order]]-Table1[[#This Row],[Qty Accumulate]]))</f>
        <v>0</v>
      </c>
      <c r="U547">
        <f>((Table1[[#This Row],[Shift Output]]*Table1[[#This Row],[Part Weight (gm)]])/1000)+Table1[[#This Row],[Reject Startup (kg)]]+Table1[[#This Row],[Reject Purging (kg)]]+Table1[[#This Row],[Reject Preform (kg)]]</f>
        <v>176.6772</v>
      </c>
      <c r="V547" s="37">
        <f>(Table1[[#This Row],[Gross Weight (gm)]]-Table1[[#This Row],[Part Weight (gm)]])*Table1[[#This Row],[Shift Output]]/1000</f>
        <v>0</v>
      </c>
      <c r="W547" s="3">
        <v>0</v>
      </c>
      <c r="X547" s="36">
        <f>Table1[[#This Row],[Reject Startup (kg)]]/Table1[[#This Row],[Material Used]]</f>
        <v>0</v>
      </c>
      <c r="Y547" s="3">
        <v>0</v>
      </c>
      <c r="Z547" s="36">
        <f>Table1[[#This Row],[Reject Prod (kg)]]/Table1[[#This Row],[Material Used]]</f>
        <v>0</v>
      </c>
      <c r="AA547" s="4">
        <v>26.171875</v>
      </c>
      <c r="AB547" s="5">
        <v>9.56</v>
      </c>
      <c r="AC547" s="4" cm="1">
        <f t="array" ref="AC547">IFERROR(INDEX(ReferenceCard, MATCH(1, (INDEX(ReferenceCard,,1)=Table1[[#This Row],[SAP No]]) * (INDEX(ReferenceCard,,2)=Table1[[#This Row],[Mould No]]), 0), 9),)</f>
        <v>12.3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L547" s="2"/>
      <c r="AM547" s="2"/>
      <c r="AN547" s="3">
        <v>0</v>
      </c>
      <c r="AO547" s="3">
        <v>0</v>
      </c>
      <c r="AP54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8" spans="1:42" x14ac:dyDescent="0.35">
      <c r="A548" s="1">
        <v>46006</v>
      </c>
      <c r="B548">
        <v>1</v>
      </c>
      <c r="C548" t="s">
        <v>29</v>
      </c>
      <c r="D548" t="str" cm="1">
        <f t="array" ref="D548">IFERROR(INDEX(ReferenceCard, MATCH(1, (INDEX(ReferenceCard,,1)=Table1[[#This Row],[SAP No]]) * (INDEX(ReferenceCard,,2)=Table1[[#This Row],[Mould No]]), 0), 6),)</f>
        <v>PET</v>
      </c>
      <c r="E548">
        <v>620599</v>
      </c>
      <c r="F548">
        <v>0</v>
      </c>
      <c r="G548" t="str" cm="1">
        <f t="array" ref="G548">IFERROR(INDEX(ReferenceCard, MATCH(1, (INDEX(ReferenceCard,,1)=Table1[[#This Row],[SAP No]]) * (INDEX(ReferenceCard,,2)=Table1[[#This Row],[Mould No]]), 0), 3),)</f>
        <v>BC28-0750-K4-R-CL (55g)</v>
      </c>
      <c r="H548">
        <v>0</v>
      </c>
      <c r="I548" cm="1">
        <f t="array" ref="I548">IFERROR(INDEX(ReferenceCard, MATCH(1, (INDEX(ReferenceCard,,1)=Table1[[#This Row],[SAP No]]) * (INDEX(ReferenceCard,,2)=Table1[[#This Row],[Mould No]]), 0), 4),)</f>
        <v>4</v>
      </c>
      <c r="J548" s="4" cm="1">
        <f t="array" ref="J548">IFERROR(INDEX(ReferenceCard, MATCH(1, (INDEX(ReferenceCard,,1)=Table1[[#This Row],[SAP No]]) * (INDEX(ReferenceCard,,2)=Table1[[#This Row],[Mould No]]), 0), 9),)</f>
        <v>55</v>
      </c>
      <c r="K548" s="4" cm="1">
        <f t="array" ref="K548">IFERROR(INDEX(ReferenceCard, MATCH(1, (INDEX(ReferenceCard,,1)=Table1[[#This Row],[SAP No]]) * (INDEX(ReferenceCard,,2)=Table1[[#This Row],[Mould No]]), 0), 7),)</f>
        <v>55</v>
      </c>
      <c r="L548">
        <v>1257</v>
      </c>
      <c r="M548">
        <v>0</v>
      </c>
      <c r="N548">
        <v>0</v>
      </c>
      <c r="O548">
        <v>0</v>
      </c>
      <c r="P548">
        <f>Table1[[#This Row],[Shot]]*Table1[[#This Row],[Cav]]</f>
        <v>5028</v>
      </c>
      <c r="Q548">
        <v>0</v>
      </c>
      <c r="R548">
        <f>(Table1[[#This Row],[Part Weight (gm)]]*Table1[[#This Row],[Finish Good]])/1000</f>
        <v>0</v>
      </c>
      <c r="S548">
        <v>0</v>
      </c>
      <c r="T548">
        <f>IF(Table1[[#This Row],[Qty Order]]="Sample","-",IF(Table1[[#This Row],[Qty Order]]="RTFN","-",Table1[[#This Row],[Qty Order]]-Table1[[#This Row],[Qty Accumulate]]))</f>
        <v>0</v>
      </c>
      <c r="U548">
        <f>((Table1[[#This Row],[Shift Output]]*Table1[[#This Row],[Part Weight (gm)]])/1000)+Table1[[#This Row],[Reject Startup (kg)]]+Table1[[#This Row],[Reject Purging (kg)]]+Table1[[#This Row],[Reject Preform (kg)]]</f>
        <v>276.54000000000002</v>
      </c>
      <c r="V548" s="37">
        <f>(Table1[[#This Row],[Gross Weight (gm)]]-Table1[[#This Row],[Part Weight (gm)]])*Table1[[#This Row],[Shift Output]]/1000</f>
        <v>0</v>
      </c>
      <c r="W548" s="3">
        <v>0</v>
      </c>
      <c r="X548" s="36">
        <f>Table1[[#This Row],[Reject Startup (kg)]]/Table1[[#This Row],[Material Used]]</f>
        <v>0</v>
      </c>
      <c r="Y548" s="3">
        <v>0</v>
      </c>
      <c r="Z548" s="36">
        <f>Table1[[#This Row],[Reject Prod (kg)]]/Table1[[#This Row],[Material Used]]</f>
        <v>0</v>
      </c>
      <c r="AA548" s="4">
        <v>28.044549942016602</v>
      </c>
      <c r="AB548" s="5">
        <v>9.4600000000000009</v>
      </c>
      <c r="AC548" s="4" cm="1">
        <f t="array" ref="AC548">IFERROR(INDEX(ReferenceCard, MATCH(1, (INDEX(ReferenceCard,,1)=Table1[[#This Row],[SAP No]]) * (INDEX(ReferenceCard,,2)=Table1[[#This Row],[Mould No]]), 0), 9),)</f>
        <v>55</v>
      </c>
      <c r="AD548" s="5">
        <v>0</v>
      </c>
      <c r="AE548" s="5">
        <v>0</v>
      </c>
      <c r="AF548" s="5">
        <v>0</v>
      </c>
      <c r="AG548" s="5">
        <v>0</v>
      </c>
      <c r="AH548" s="5">
        <v>8.99999999999999E-2</v>
      </c>
      <c r="AI548" s="5">
        <v>0</v>
      </c>
      <c r="AJ548" s="5">
        <v>0</v>
      </c>
      <c r="AL548" s="2"/>
      <c r="AM548" s="2"/>
      <c r="AN548" s="3">
        <v>0</v>
      </c>
      <c r="AO548" s="3">
        <v>0</v>
      </c>
      <c r="AP54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49" spans="1:42" x14ac:dyDescent="0.35">
      <c r="A549" s="1">
        <v>46006</v>
      </c>
      <c r="B549">
        <v>1</v>
      </c>
      <c r="C549" t="s">
        <v>27</v>
      </c>
      <c r="D549" t="str" cm="1">
        <f t="array" ref="D549">IFERROR(INDEX(ReferenceCard, MATCH(1, (INDEX(ReferenceCard,,1)=Table1[[#This Row],[SAP No]]) * (INDEX(ReferenceCard,,2)=Table1[[#This Row],[Mould No]]), 0), 6),)</f>
        <v>PPSB520Y</v>
      </c>
      <c r="E549">
        <v>552181</v>
      </c>
      <c r="F549">
        <v>4</v>
      </c>
      <c r="G549" t="str" cm="1">
        <f t="array" ref="G549">IFERROR(INDEX(ReferenceCard, MATCH(1, (INDEX(ReferenceCard,,1)=Table1[[#This Row],[SAP No]]) * (INDEX(ReferenceCard,,2)=Table1[[#This Row],[Mould No]]), 0), 3),)</f>
        <v>BC28-0090-D-APH-5180-3538-PP-6 NOTCHES-MOLD4</v>
      </c>
      <c r="H549">
        <v>0</v>
      </c>
      <c r="I549" cm="1">
        <f t="array" ref="I549">IFERROR(INDEX(ReferenceCard, MATCH(1, (INDEX(ReferenceCard,,1)=Table1[[#This Row],[SAP No]]) * (INDEX(ReferenceCard,,2)=Table1[[#This Row],[Mould No]]), 0), 4),)</f>
        <v>6</v>
      </c>
      <c r="J549" s="4" cm="1">
        <f t="array" ref="J549">IFERROR(INDEX(ReferenceCard, MATCH(1, (INDEX(ReferenceCard,,1)=Table1[[#This Row],[SAP No]]) * (INDEX(ReferenceCard,,2)=Table1[[#This Row],[Mould No]]), 0), 9),)</f>
        <v>18.8</v>
      </c>
      <c r="K549" s="4" cm="1">
        <f t="array" ref="K549">IFERROR(INDEX(ReferenceCard, MATCH(1, (INDEX(ReferenceCard,,1)=Table1[[#This Row],[SAP No]]) * (INDEX(ReferenceCard,,2)=Table1[[#This Row],[Mould No]]), 0), 7),)</f>
        <v>18.8</v>
      </c>
      <c r="L549">
        <v>180</v>
      </c>
      <c r="M549">
        <v>0</v>
      </c>
      <c r="N549">
        <v>0</v>
      </c>
      <c r="O549">
        <v>0</v>
      </c>
      <c r="P549">
        <f>Table1[[#This Row],[Shot]]*Table1[[#This Row],[Cav]]</f>
        <v>1080</v>
      </c>
      <c r="Q549">
        <v>0</v>
      </c>
      <c r="R549">
        <f>(Table1[[#This Row],[Part Weight (gm)]]*Table1[[#This Row],[Finish Good]])/1000</f>
        <v>0</v>
      </c>
      <c r="S549">
        <v>0</v>
      </c>
      <c r="T549">
        <f>IF(Table1[[#This Row],[Qty Order]]="Sample","-",IF(Table1[[#This Row],[Qty Order]]="RTFN","-",Table1[[#This Row],[Qty Order]]-Table1[[#This Row],[Qty Accumulate]]))</f>
        <v>0</v>
      </c>
      <c r="U549">
        <f>((Table1[[#This Row],[Shift Output]]*Table1[[#This Row],[Part Weight (gm)]])/1000)+Table1[[#This Row],[Reject Startup (kg)]]+Table1[[#This Row],[Reject Purging (kg)]]+Table1[[#This Row],[Reject Preform (kg)]]</f>
        <v>20.303999999999998</v>
      </c>
      <c r="V549" s="37">
        <f>(Table1[[#This Row],[Gross Weight (gm)]]-Table1[[#This Row],[Part Weight (gm)]])*Table1[[#This Row],[Shift Output]]/1000</f>
        <v>0</v>
      </c>
      <c r="W549" s="3">
        <v>0</v>
      </c>
      <c r="X549" s="36">
        <f>Table1[[#This Row],[Reject Startup (kg)]]/Table1[[#This Row],[Material Used]]</f>
        <v>0</v>
      </c>
      <c r="Y549" s="3">
        <v>0</v>
      </c>
      <c r="Z549" s="36">
        <f>Table1[[#This Row],[Reject Prod (kg)]]/Table1[[#This Row],[Material Used]]</f>
        <v>0</v>
      </c>
      <c r="AA549" s="4">
        <v>0</v>
      </c>
      <c r="AB549" s="5">
        <v>0</v>
      </c>
      <c r="AC549" s="4" cm="1">
        <f t="array" ref="AC549">IFERROR(INDEX(ReferenceCard, MATCH(1, (INDEX(ReferenceCard,,1)=Table1[[#This Row],[SAP No]]) * (INDEX(ReferenceCard,,2)=Table1[[#This Row],[Mould No]]), 0), 9),)</f>
        <v>18.8</v>
      </c>
      <c r="AD549" s="5">
        <v>0</v>
      </c>
      <c r="AE549" s="5">
        <v>0</v>
      </c>
      <c r="AF549" s="5">
        <v>0</v>
      </c>
      <c r="AG549" s="5">
        <v>0</v>
      </c>
      <c r="AH549" s="5">
        <v>9.56</v>
      </c>
      <c r="AI549" s="5">
        <v>0</v>
      </c>
      <c r="AJ549" s="5">
        <v>0</v>
      </c>
      <c r="AL549" s="2"/>
      <c r="AM549" s="2"/>
      <c r="AN549" s="3">
        <v>0</v>
      </c>
      <c r="AO549" s="3">
        <v>0</v>
      </c>
      <c r="AP54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0" spans="1:42" x14ac:dyDescent="0.35">
      <c r="A550" s="1">
        <v>46006</v>
      </c>
      <c r="B550">
        <v>1</v>
      </c>
      <c r="C550" t="s">
        <v>25</v>
      </c>
      <c r="D550" t="str" cm="1">
        <f t="array" ref="D550">IFERROR(INDEX(ReferenceCard, MATCH(1, (INDEX(ReferenceCard,,1)=Table1[[#This Row],[SAP No]]) * (INDEX(ReferenceCard,,2)=Table1[[#This Row],[Mould No]]), 0), 6),)</f>
        <v>PET</v>
      </c>
      <c r="E550">
        <v>323133</v>
      </c>
      <c r="F550">
        <v>0</v>
      </c>
      <c r="G550" t="str" cm="1">
        <f t="array" ref="G550">IFERROR(INDEX(ReferenceCard, MATCH(1, (INDEX(ReferenceCard,,1)=Table1[[#This Row],[SAP No]]) * (INDEX(ReferenceCard,,2)=Table1[[#This Row],[Mould No]]), 0), 3),)</f>
        <v>BX38-2000-RH-R-CL(GREEN) (ASEM)</v>
      </c>
      <c r="H550">
        <v>0</v>
      </c>
      <c r="I550" cm="1">
        <f t="array" ref="I550">IFERROR(INDEX(ReferenceCard, MATCH(1, (INDEX(ReferenceCard,,1)=Table1[[#This Row],[SAP No]]) * (INDEX(ReferenceCard,,2)=Table1[[#This Row],[Mould No]]), 0), 4),)</f>
        <v>4</v>
      </c>
      <c r="J550" s="4" cm="1">
        <f t="array" ref="J550">IFERROR(INDEX(ReferenceCard, MATCH(1, (INDEX(ReferenceCard,,1)=Table1[[#This Row],[SAP No]]) * (INDEX(ReferenceCard,,2)=Table1[[#This Row],[Mould No]]), 0), 9),)</f>
        <v>77</v>
      </c>
      <c r="K550" s="4" cm="1">
        <f t="array" ref="K550">IFERROR(INDEX(ReferenceCard, MATCH(1, (INDEX(ReferenceCard,,1)=Table1[[#This Row],[SAP No]]) * (INDEX(ReferenceCard,,2)=Table1[[#This Row],[Mould No]]), 0), 7),)</f>
        <v>77</v>
      </c>
      <c r="L550">
        <v>2949</v>
      </c>
      <c r="M550">
        <v>0</v>
      </c>
      <c r="N550">
        <v>0</v>
      </c>
      <c r="O550">
        <v>0</v>
      </c>
      <c r="P550">
        <f>Table1[[#This Row],[Shot]]*Table1[[#This Row],[Cav]]</f>
        <v>11796</v>
      </c>
      <c r="Q550">
        <v>0</v>
      </c>
      <c r="R550">
        <f>(Table1[[#This Row],[Part Weight (gm)]]*Table1[[#This Row],[Finish Good]])/1000</f>
        <v>0</v>
      </c>
      <c r="S550">
        <v>0</v>
      </c>
      <c r="T550">
        <f>IF(Table1[[#This Row],[Qty Order]]="Sample","-",IF(Table1[[#This Row],[Qty Order]]="RTFN","-",Table1[[#This Row],[Qty Order]]-Table1[[#This Row],[Qty Accumulate]]))</f>
        <v>0</v>
      </c>
      <c r="U550">
        <f>((Table1[[#This Row],[Shift Output]]*Table1[[#This Row],[Part Weight (gm)]])/1000)+Table1[[#This Row],[Reject Startup (kg)]]+Table1[[#This Row],[Reject Purging (kg)]]+Table1[[#This Row],[Reject Preform (kg)]]</f>
        <v>908.29200000000003</v>
      </c>
      <c r="V550" s="37">
        <f>(Table1[[#This Row],[Gross Weight (gm)]]-Table1[[#This Row],[Part Weight (gm)]])*Table1[[#This Row],[Shift Output]]/1000</f>
        <v>0</v>
      </c>
      <c r="W550" s="3">
        <v>0</v>
      </c>
      <c r="X550" s="36">
        <f>Table1[[#This Row],[Reject Startup (kg)]]/Table1[[#This Row],[Material Used]]</f>
        <v>0</v>
      </c>
      <c r="Y550" s="3">
        <v>0</v>
      </c>
      <c r="Z550" s="36">
        <f>Table1[[#This Row],[Reject Prod (kg)]]/Table1[[#This Row],[Material Used]]</f>
        <v>0</v>
      </c>
      <c r="AA550" s="4">
        <v>28.876590728759702</v>
      </c>
      <c r="AB550" s="5">
        <v>8.89</v>
      </c>
      <c r="AC550" s="4" cm="1">
        <f t="array" ref="AC550">IFERROR(INDEX(ReferenceCard, MATCH(1, (INDEX(ReferenceCard,,1)=Table1[[#This Row],[SAP No]]) * (INDEX(ReferenceCard,,2)=Table1[[#This Row],[Mould No]]), 0), 9),)</f>
        <v>77</v>
      </c>
      <c r="AD550" s="5">
        <v>0</v>
      </c>
      <c r="AE550" s="5">
        <v>0</v>
      </c>
      <c r="AF550" s="5">
        <v>0</v>
      </c>
      <c r="AG550" s="5">
        <v>0.02</v>
      </c>
      <c r="AH550" s="5">
        <v>0.65</v>
      </c>
      <c r="AI550" s="5">
        <v>0</v>
      </c>
      <c r="AJ550" s="5">
        <v>0</v>
      </c>
      <c r="AL550" s="2"/>
      <c r="AM550" s="2"/>
      <c r="AN550" s="3">
        <v>0</v>
      </c>
      <c r="AO550" s="3">
        <v>0</v>
      </c>
      <c r="AP55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1" spans="1:42" x14ac:dyDescent="0.35">
      <c r="A551" s="1">
        <v>46006</v>
      </c>
      <c r="B551">
        <v>1</v>
      </c>
      <c r="C551" t="s">
        <v>23</v>
      </c>
      <c r="D551" t="str" cm="1">
        <f t="array" ref="D551">IFERROR(INDEX(ReferenceCard, MATCH(1, (INDEX(ReferenceCard,,1)=Table1[[#This Row],[SAP No]]) * (INDEX(ReferenceCard,,2)=Table1[[#This Row],[Mould No]]), 0), 6),)</f>
        <v>PPSB520Y</v>
      </c>
      <c r="E551">
        <v>586276</v>
      </c>
      <c r="F551">
        <v>2</v>
      </c>
      <c r="G551" t="str" cm="1">
        <f t="array" ref="G551">IFERROR(INDEX(ReferenceCard, MATCH(1, (INDEX(ReferenceCard,,1)=Table1[[#This Row],[SAP No]]) * (INDEX(ReferenceCard,,2)=Table1[[#This Row],[Mould No]]), 0), 3),)</f>
        <v>BC28-0056-D-APH-LEB-604001-MOLD2</v>
      </c>
      <c r="H551">
        <v>0</v>
      </c>
      <c r="I551" cm="1">
        <f t="array" ref="I551">IFERROR(INDEX(ReferenceCard, MATCH(1, (INDEX(ReferenceCard,,1)=Table1[[#This Row],[SAP No]]) * (INDEX(ReferenceCard,,2)=Table1[[#This Row],[Mould No]]), 0), 4),)</f>
        <v>6</v>
      </c>
      <c r="J551" s="4" cm="1">
        <f t="array" ref="J551">IFERROR(INDEX(ReferenceCard, MATCH(1, (INDEX(ReferenceCard,,1)=Table1[[#This Row],[SAP No]]) * (INDEX(ReferenceCard,,2)=Table1[[#This Row],[Mould No]]), 0), 9),)</f>
        <v>12.3</v>
      </c>
      <c r="K551" s="4" cm="1">
        <f t="array" ref="K551">IFERROR(INDEX(ReferenceCard, MATCH(1, (INDEX(ReferenceCard,,1)=Table1[[#This Row],[SAP No]]) * (INDEX(ReferenceCard,,2)=Table1[[#This Row],[Mould No]]), 0), 7),)</f>
        <v>12.3</v>
      </c>
      <c r="L551">
        <v>5563</v>
      </c>
      <c r="M551">
        <v>0</v>
      </c>
      <c r="N551">
        <v>0</v>
      </c>
      <c r="O551">
        <v>0</v>
      </c>
      <c r="P551">
        <f>Table1[[#This Row],[Shot]]*Table1[[#This Row],[Cav]]</f>
        <v>33378</v>
      </c>
      <c r="Q551">
        <v>0</v>
      </c>
      <c r="R551">
        <f>(Table1[[#This Row],[Part Weight (gm)]]*Table1[[#This Row],[Finish Good]])/1000</f>
        <v>0</v>
      </c>
      <c r="S551">
        <v>0</v>
      </c>
      <c r="T551">
        <f>IF(Table1[[#This Row],[Qty Order]]="Sample","-",IF(Table1[[#This Row],[Qty Order]]="RTFN","-",Table1[[#This Row],[Qty Order]]-Table1[[#This Row],[Qty Accumulate]]))</f>
        <v>0</v>
      </c>
      <c r="U551">
        <f>((Table1[[#This Row],[Shift Output]]*Table1[[#This Row],[Part Weight (gm)]])/1000)+Table1[[#This Row],[Reject Startup (kg)]]+Table1[[#This Row],[Reject Purging (kg)]]+Table1[[#This Row],[Reject Preform (kg)]]</f>
        <v>410.54940000000005</v>
      </c>
      <c r="V551" s="37">
        <f>(Table1[[#This Row],[Gross Weight (gm)]]-Table1[[#This Row],[Part Weight (gm)]])*Table1[[#This Row],[Shift Output]]/1000</f>
        <v>0</v>
      </c>
      <c r="W551" s="3">
        <v>0</v>
      </c>
      <c r="X551" s="36">
        <f>Table1[[#This Row],[Reject Startup (kg)]]/Table1[[#This Row],[Material Used]]</f>
        <v>0</v>
      </c>
      <c r="Y551" s="3">
        <v>0</v>
      </c>
      <c r="Z551" s="36">
        <f>Table1[[#This Row],[Reject Prod (kg)]]/Table1[[#This Row],[Material Used]]</f>
        <v>0</v>
      </c>
      <c r="AA551" s="4">
        <v>25.503858566284102</v>
      </c>
      <c r="AB551" s="5">
        <v>8.6099999999999905</v>
      </c>
      <c r="AC551" s="4" cm="1">
        <f t="array" ref="AC551">IFERROR(INDEX(ReferenceCard, MATCH(1, (INDEX(ReferenceCard,,1)=Table1[[#This Row],[SAP No]]) * (INDEX(ReferenceCard,,2)=Table1[[#This Row],[Mould No]]), 0), 9),)</f>
        <v>12.3</v>
      </c>
      <c r="AD551" s="5">
        <v>0</v>
      </c>
      <c r="AE551" s="5">
        <v>0</v>
      </c>
      <c r="AF551" s="5">
        <v>0</v>
      </c>
      <c r="AG551" s="5">
        <v>0</v>
      </c>
      <c r="AH551" s="5">
        <v>0.93</v>
      </c>
      <c r="AI551" s="5">
        <v>0.02</v>
      </c>
      <c r="AJ551" s="5">
        <v>0</v>
      </c>
      <c r="AL551" s="2"/>
      <c r="AM551" s="2"/>
      <c r="AN551" s="3">
        <v>0</v>
      </c>
      <c r="AO551" s="3">
        <v>0</v>
      </c>
      <c r="AP55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2" spans="1:42" x14ac:dyDescent="0.35">
      <c r="A552" s="1">
        <v>46006</v>
      </c>
      <c r="B552">
        <v>1</v>
      </c>
      <c r="C552" t="s">
        <v>16</v>
      </c>
      <c r="D552" t="str" cm="1">
        <f t="array" ref="D552">IFERROR(INDEX(ReferenceCard, MATCH(1, (INDEX(ReferenceCard,,1)=Table1[[#This Row],[SAP No]]) * (INDEX(ReferenceCard,,2)=Table1[[#This Row],[Mould No]]), 0), 6),)</f>
        <v>PET</v>
      </c>
      <c r="E552">
        <v>323092</v>
      </c>
      <c r="F552">
        <v>0</v>
      </c>
      <c r="G552" t="str" cm="1">
        <f t="array" ref="G552">IFERROR(INDEX(ReferenceCard, MATCH(1, (INDEX(ReferenceCard,,1)=Table1[[#This Row],[SAP No]]) * (INDEX(ReferenceCard,,2)=Table1[[#This Row],[Mould No]]), 0), 3),)</f>
        <v>BX38-1000-GH-R-CL(GREEN) (ASEM)</v>
      </c>
      <c r="H552">
        <v>0</v>
      </c>
      <c r="I552" cm="1">
        <f t="array" ref="I552">IFERROR(INDEX(ReferenceCard, MATCH(1, (INDEX(ReferenceCard,,1)=Table1[[#This Row],[SAP No]]) * (INDEX(ReferenceCard,,2)=Table1[[#This Row],[Mould No]]), 0), 4),)</f>
        <v>4</v>
      </c>
      <c r="J552" s="4" cm="1">
        <f t="array" ref="J552">IFERROR(INDEX(ReferenceCard, MATCH(1, (INDEX(ReferenceCard,,1)=Table1[[#This Row],[SAP No]]) * (INDEX(ReferenceCard,,2)=Table1[[#This Row],[Mould No]]), 0), 9),)</f>
        <v>48.9</v>
      </c>
      <c r="K552" s="4" cm="1">
        <f t="array" ref="K552">IFERROR(INDEX(ReferenceCard, MATCH(1, (INDEX(ReferenceCard,,1)=Table1[[#This Row],[SAP No]]) * (INDEX(ReferenceCard,,2)=Table1[[#This Row],[Mould No]]), 0), 7),)</f>
        <v>48.9</v>
      </c>
      <c r="L552">
        <v>3718</v>
      </c>
      <c r="M552">
        <v>0</v>
      </c>
      <c r="N552">
        <v>0</v>
      </c>
      <c r="O552">
        <v>0</v>
      </c>
      <c r="P552">
        <f>Table1[[#This Row],[Shot]]*Table1[[#This Row],[Cav]]</f>
        <v>14872</v>
      </c>
      <c r="Q552">
        <v>0</v>
      </c>
      <c r="R552">
        <f>(Table1[[#This Row],[Part Weight (gm)]]*Table1[[#This Row],[Finish Good]])/1000</f>
        <v>0</v>
      </c>
      <c r="S552">
        <v>0</v>
      </c>
      <c r="T552">
        <f>IF(Table1[[#This Row],[Qty Order]]="Sample","-",IF(Table1[[#This Row],[Qty Order]]="RTFN","-",Table1[[#This Row],[Qty Order]]-Table1[[#This Row],[Qty Accumulate]]))</f>
        <v>0</v>
      </c>
      <c r="U552">
        <f>((Table1[[#This Row],[Shift Output]]*Table1[[#This Row],[Part Weight (gm)]])/1000)+Table1[[#This Row],[Reject Startup (kg)]]+Table1[[#This Row],[Reject Purging (kg)]]+Table1[[#This Row],[Reject Preform (kg)]]</f>
        <v>727.24079999999992</v>
      </c>
      <c r="V552" s="37">
        <f>(Table1[[#This Row],[Gross Weight (gm)]]-Table1[[#This Row],[Part Weight (gm)]])*Table1[[#This Row],[Shift Output]]/1000</f>
        <v>0</v>
      </c>
      <c r="W552" s="3">
        <v>0</v>
      </c>
      <c r="X552" s="36">
        <f>Table1[[#This Row],[Reject Startup (kg)]]/Table1[[#This Row],[Material Used]]</f>
        <v>0</v>
      </c>
      <c r="Y552" s="3">
        <v>0</v>
      </c>
      <c r="Z552" s="36">
        <f>Table1[[#This Row],[Reject Prod (kg)]]/Table1[[#This Row],[Material Used]]</f>
        <v>0</v>
      </c>
      <c r="AA552" s="4">
        <v>27.638486862182599</v>
      </c>
      <c r="AB552" s="5">
        <v>6.6399999999999899</v>
      </c>
      <c r="AC552" s="4" cm="1">
        <f t="array" ref="AC552">IFERROR(INDEX(ReferenceCard, MATCH(1, (INDEX(ReferenceCard,,1)=Table1[[#This Row],[SAP No]]) * (INDEX(ReferenceCard,,2)=Table1[[#This Row],[Mould No]]), 0), 9),)</f>
        <v>48.9</v>
      </c>
      <c r="AD552" s="5">
        <v>0.17999999999999899</v>
      </c>
      <c r="AE552" s="5">
        <v>0</v>
      </c>
      <c r="AF552" s="5">
        <v>0</v>
      </c>
      <c r="AG552" s="5">
        <v>0</v>
      </c>
      <c r="AH552" s="5">
        <v>2.74</v>
      </c>
      <c r="AI552" s="5">
        <v>0</v>
      </c>
      <c r="AJ552" s="5">
        <v>0</v>
      </c>
      <c r="AK552" t="s">
        <v>139</v>
      </c>
      <c r="AL552" s="2" t="s">
        <v>140</v>
      </c>
      <c r="AM552" s="2" t="s">
        <v>137</v>
      </c>
      <c r="AN552" s="3">
        <v>0</v>
      </c>
      <c r="AO552" s="3">
        <v>0</v>
      </c>
      <c r="AP55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3" spans="1:42" x14ac:dyDescent="0.35">
      <c r="A553" s="1">
        <v>46006</v>
      </c>
      <c r="B553">
        <v>1</v>
      </c>
      <c r="C553" t="s">
        <v>14</v>
      </c>
      <c r="D553" t="str" cm="1">
        <f t="array" ref="D553">IFERROR(INDEX(ReferenceCard, MATCH(1, (INDEX(ReferenceCard,,1)=Table1[[#This Row],[SAP No]]) * (INDEX(ReferenceCard,,2)=Table1[[#This Row],[Mould No]]), 0), 6),)</f>
        <v>PET</v>
      </c>
      <c r="E553">
        <v>324165</v>
      </c>
      <c r="F553">
        <v>0</v>
      </c>
      <c r="G553" t="str" cm="1">
        <f t="array" ref="G553">IFERROR(INDEX(ReferenceCard, MATCH(1, (INDEX(ReferenceCard,,1)=Table1[[#This Row],[SAP No]]) * (INDEX(ReferenceCard,,2)=Table1[[#This Row],[Mould No]]), 0), 3),)</f>
        <v>JJ63-0400-SH-S-WH</v>
      </c>
      <c r="H553">
        <v>0</v>
      </c>
      <c r="I553" cm="1">
        <f t="array" ref="I553">IFERROR(INDEX(ReferenceCard, MATCH(1, (INDEX(ReferenceCard,,1)=Table1[[#This Row],[SAP No]]) * (INDEX(ReferenceCard,,2)=Table1[[#This Row],[Mould No]]), 0), 4),)</f>
        <v>4</v>
      </c>
      <c r="J553" s="4" cm="1">
        <f t="array" ref="J553">IFERROR(INDEX(ReferenceCard, MATCH(1, (INDEX(ReferenceCard,,1)=Table1[[#This Row],[SAP No]]) * (INDEX(ReferenceCard,,2)=Table1[[#This Row],[Mould No]]), 0), 9),)</f>
        <v>32.56</v>
      </c>
      <c r="K553" s="4" cm="1">
        <f t="array" ref="K553">IFERROR(INDEX(ReferenceCard, MATCH(1, (INDEX(ReferenceCard,,1)=Table1[[#This Row],[SAP No]]) * (INDEX(ReferenceCard,,2)=Table1[[#This Row],[Mould No]]), 0), 7),)</f>
        <v>33</v>
      </c>
      <c r="L553">
        <v>2237</v>
      </c>
      <c r="M553">
        <v>0</v>
      </c>
      <c r="N553">
        <v>0</v>
      </c>
      <c r="O553">
        <v>0</v>
      </c>
      <c r="P553">
        <f>Table1[[#This Row],[Shot]]*Table1[[#This Row],[Cav]]</f>
        <v>8948</v>
      </c>
      <c r="Q553">
        <v>0</v>
      </c>
      <c r="R553">
        <f>(Table1[[#This Row],[Part Weight (gm)]]*Table1[[#This Row],[Finish Good]])/1000</f>
        <v>0</v>
      </c>
      <c r="S553">
        <v>0</v>
      </c>
      <c r="T553">
        <f>IF(Table1[[#This Row],[Qty Order]]="Sample","-",IF(Table1[[#This Row],[Qty Order]]="RTFN","-",Table1[[#This Row],[Qty Order]]-Table1[[#This Row],[Qty Accumulate]]))</f>
        <v>0</v>
      </c>
      <c r="U553">
        <f>((Table1[[#This Row],[Shift Output]]*Table1[[#This Row],[Part Weight (gm)]])/1000)+Table1[[#This Row],[Reject Startup (kg)]]+Table1[[#This Row],[Reject Purging (kg)]]+Table1[[#This Row],[Reject Preform (kg)]]</f>
        <v>295.28399999999999</v>
      </c>
      <c r="V553" s="37">
        <f>(Table1[[#This Row],[Gross Weight (gm)]]-Table1[[#This Row],[Part Weight (gm)]])*Table1[[#This Row],[Shift Output]]/1000</f>
        <v>-3.9371199999999797</v>
      </c>
      <c r="W553" s="3">
        <v>0</v>
      </c>
      <c r="X553" s="36">
        <f>Table1[[#This Row],[Reject Startup (kg)]]/Table1[[#This Row],[Material Used]]</f>
        <v>0</v>
      </c>
      <c r="Y553" s="3">
        <v>0</v>
      </c>
      <c r="Z553" s="36">
        <f>Table1[[#This Row],[Reject Prod (kg)]]/Table1[[#This Row],[Material Used]]</f>
        <v>0</v>
      </c>
      <c r="AA553" s="4">
        <v>22.287904739379801</v>
      </c>
      <c r="AB553" s="5">
        <v>5.8099999999999898</v>
      </c>
      <c r="AC553" s="4" cm="1">
        <f t="array" ref="AC553">IFERROR(INDEX(ReferenceCard, MATCH(1, (INDEX(ReferenceCard,,1)=Table1[[#This Row],[SAP No]]) * (INDEX(ReferenceCard,,2)=Table1[[#This Row],[Mould No]]), 0), 9),)</f>
        <v>32.56</v>
      </c>
      <c r="AD553" s="5">
        <v>0</v>
      </c>
      <c r="AE553" s="5">
        <v>0</v>
      </c>
      <c r="AF553" s="5">
        <v>3.75</v>
      </c>
      <c r="AG553" s="5">
        <v>0</v>
      </c>
      <c r="AH553" s="5">
        <v>0</v>
      </c>
      <c r="AI553" s="5">
        <v>0</v>
      </c>
      <c r="AJ553" s="5">
        <v>0</v>
      </c>
      <c r="AK553" t="s">
        <v>141</v>
      </c>
      <c r="AL553" s="2"/>
      <c r="AM553" s="2"/>
      <c r="AN553" s="3">
        <v>0</v>
      </c>
      <c r="AO553" s="3">
        <v>0</v>
      </c>
      <c r="AP55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4" spans="1:42" x14ac:dyDescent="0.35">
      <c r="A554" s="1">
        <v>46006</v>
      </c>
      <c r="B554">
        <v>1</v>
      </c>
      <c r="C554" t="s">
        <v>11</v>
      </c>
      <c r="D554" t="str" cm="1">
        <f t="array" ref="D554">IFERROR(INDEX(ReferenceCard, MATCH(1, (INDEX(ReferenceCard,,1)=Table1[[#This Row],[SAP No]]) * (INDEX(ReferenceCard,,2)=Table1[[#This Row],[Mould No]]), 0), 6),)</f>
        <v>rPET</v>
      </c>
      <c r="E554">
        <v>620994</v>
      </c>
      <c r="F554">
        <v>0</v>
      </c>
      <c r="G554" t="str" cm="1">
        <f t="array" ref="G554">IFERROR(INDEX(ReferenceCard, MATCH(1, (INDEX(ReferenceCard,,1)=Table1[[#This Row],[SAP No]]) * (INDEX(ReferenceCard,,2)=Table1[[#This Row],[Mould No]]), 0), 3),)</f>
        <v>JJ63-0400-SH-S-CL-rPET</v>
      </c>
      <c r="H554">
        <v>0</v>
      </c>
      <c r="I554" cm="1">
        <f t="array" ref="I554">IFERROR(INDEX(ReferenceCard, MATCH(1, (INDEX(ReferenceCard,,1)=Table1[[#This Row],[SAP No]]) * (INDEX(ReferenceCard,,2)=Table1[[#This Row],[Mould No]]), 0), 4),)</f>
        <v>4</v>
      </c>
      <c r="J554" s="4" cm="1">
        <f t="array" ref="J554">IFERROR(INDEX(ReferenceCard, MATCH(1, (INDEX(ReferenceCard,,1)=Table1[[#This Row],[SAP No]]) * (INDEX(ReferenceCard,,2)=Table1[[#This Row],[Mould No]]), 0), 9),)</f>
        <v>32.74</v>
      </c>
      <c r="K554" s="4" cm="1">
        <f t="array" ref="K554">IFERROR(INDEX(ReferenceCard, MATCH(1, (INDEX(ReferenceCard,,1)=Table1[[#This Row],[SAP No]]) * (INDEX(ReferenceCard,,2)=Table1[[#This Row],[Mould No]]), 0), 7),)</f>
        <v>33</v>
      </c>
      <c r="L554">
        <v>1606</v>
      </c>
      <c r="M554">
        <v>0</v>
      </c>
      <c r="N554">
        <v>0</v>
      </c>
      <c r="O554">
        <v>0</v>
      </c>
      <c r="P554">
        <f>Table1[[#This Row],[Shot]]*Table1[[#This Row],[Cav]]</f>
        <v>6424</v>
      </c>
      <c r="Q554">
        <v>0</v>
      </c>
      <c r="R554">
        <f>(Table1[[#This Row],[Part Weight (gm)]]*Table1[[#This Row],[Finish Good]])/1000</f>
        <v>0</v>
      </c>
      <c r="S554">
        <v>0</v>
      </c>
      <c r="T554">
        <f>IF(Table1[[#This Row],[Qty Order]]="Sample","-",IF(Table1[[#This Row],[Qty Order]]="RTFN","-",Table1[[#This Row],[Qty Order]]-Table1[[#This Row],[Qty Accumulate]]))</f>
        <v>0</v>
      </c>
      <c r="U554">
        <f>((Table1[[#This Row],[Shift Output]]*Table1[[#This Row],[Part Weight (gm)]])/1000)+Table1[[#This Row],[Reject Startup (kg)]]+Table1[[#This Row],[Reject Purging (kg)]]+Table1[[#This Row],[Reject Preform (kg)]]</f>
        <v>211.99199999999999</v>
      </c>
      <c r="V554" s="37">
        <f>(Table1[[#This Row],[Gross Weight (gm)]]-Table1[[#This Row],[Part Weight (gm)]])*Table1[[#This Row],[Shift Output]]/1000</f>
        <v>-1.6702399999999873</v>
      </c>
      <c r="W554" s="3">
        <v>0</v>
      </c>
      <c r="X554" s="36">
        <f>Table1[[#This Row],[Reject Startup (kg)]]/Table1[[#This Row],[Material Used]]</f>
        <v>0</v>
      </c>
      <c r="Y554" s="3">
        <v>0</v>
      </c>
      <c r="Z554" s="36">
        <f>Table1[[#This Row],[Reject Prod (kg)]]/Table1[[#This Row],[Material Used]]</f>
        <v>0</v>
      </c>
      <c r="AA554" s="4">
        <v>21.205295562744102</v>
      </c>
      <c r="AB554" s="5">
        <v>2.83</v>
      </c>
      <c r="AC554" s="4" cm="1">
        <f t="array" ref="AC554">IFERROR(INDEX(ReferenceCard, MATCH(1, (INDEX(ReferenceCard,,1)=Table1[[#This Row],[SAP No]]) * (INDEX(ReferenceCard,,2)=Table1[[#This Row],[Mould No]]), 0), 9),)</f>
        <v>32.74</v>
      </c>
      <c r="AD554" s="5">
        <v>0</v>
      </c>
      <c r="AE554" s="5">
        <v>0</v>
      </c>
      <c r="AF554" s="5">
        <v>0</v>
      </c>
      <c r="AG554" s="5">
        <v>6.73</v>
      </c>
      <c r="AH554" s="5">
        <v>0</v>
      </c>
      <c r="AI554" s="5">
        <v>0</v>
      </c>
      <c r="AJ554" s="5">
        <v>0</v>
      </c>
      <c r="AK554" t="s">
        <v>142</v>
      </c>
      <c r="AL554" s="2" t="s">
        <v>138</v>
      </c>
      <c r="AM554" s="2"/>
      <c r="AN554" s="3"/>
      <c r="AO554" s="3">
        <v>0</v>
      </c>
      <c r="AP55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5" spans="1:42" x14ac:dyDescent="0.35">
      <c r="A555" s="1">
        <v>46006</v>
      </c>
      <c r="B555">
        <v>1</v>
      </c>
      <c r="C555" t="s">
        <v>9</v>
      </c>
      <c r="D555" t="str" cm="1">
        <f t="array" ref="D555">IFERROR(INDEX(ReferenceCard, MATCH(1, (INDEX(ReferenceCard,,1)=Table1[[#This Row],[SAP No]]) * (INDEX(ReferenceCard,,2)=Table1[[#This Row],[Mould No]]), 0), 6),)</f>
        <v>rPET</v>
      </c>
      <c r="E555">
        <v>593537</v>
      </c>
      <c r="F555">
        <v>0</v>
      </c>
      <c r="G555" t="str" cm="1">
        <f t="array" ref="G555">IFERROR(INDEX(ReferenceCard, MATCH(1, (INDEX(ReferenceCard,,1)=Table1[[#This Row],[SAP No]]) * (INDEX(ReferenceCard,,2)=Table1[[#This Row],[Mould No]]), 0), 3),)</f>
        <v>BX38-1000-RN-R-CL-rPET</v>
      </c>
      <c r="H555">
        <v>0</v>
      </c>
      <c r="I555" cm="1">
        <f t="array" ref="I555">IFERROR(INDEX(ReferenceCard, MATCH(1, (INDEX(ReferenceCard,,1)=Table1[[#This Row],[SAP No]]) * (INDEX(ReferenceCard,,2)=Table1[[#This Row],[Mould No]]), 0), 4),)</f>
        <v>4</v>
      </c>
      <c r="J555" s="4" cm="1">
        <f t="array" ref="J555">IFERROR(INDEX(ReferenceCard, MATCH(1, (INDEX(ReferenceCard,,1)=Table1[[#This Row],[SAP No]]) * (INDEX(ReferenceCard,,2)=Table1[[#This Row],[Mould No]]), 0), 9),)</f>
        <v>56.5</v>
      </c>
      <c r="K555" s="4" cm="1">
        <f t="array" ref="K555">IFERROR(INDEX(ReferenceCard, MATCH(1, (INDEX(ReferenceCard,,1)=Table1[[#This Row],[SAP No]]) * (INDEX(ReferenceCard,,2)=Table1[[#This Row],[Mould No]]), 0), 7),)</f>
        <v>56.8</v>
      </c>
      <c r="L555">
        <v>0</v>
      </c>
      <c r="M555">
        <v>0</v>
      </c>
      <c r="N555">
        <v>0</v>
      </c>
      <c r="O555">
        <v>0</v>
      </c>
      <c r="P555">
        <f>Table1[[#This Row],[Shot]]*Table1[[#This Row],[Cav]]</f>
        <v>0</v>
      </c>
      <c r="Q555">
        <v>0</v>
      </c>
      <c r="R555">
        <f>(Table1[[#This Row],[Part Weight (gm)]]*Table1[[#This Row],[Finish Good]])/1000</f>
        <v>0</v>
      </c>
      <c r="S555">
        <v>0</v>
      </c>
      <c r="T555">
        <f>IF(Table1[[#This Row],[Qty Order]]="Sample","-",IF(Table1[[#This Row],[Qty Order]]="RTFN","-",Table1[[#This Row],[Qty Order]]-Table1[[#This Row],[Qty Accumulate]]))</f>
        <v>0</v>
      </c>
      <c r="U555">
        <f>((Table1[[#This Row],[Shift Output]]*Table1[[#This Row],[Part Weight (gm)]])/1000)+Table1[[#This Row],[Reject Startup (kg)]]+Table1[[#This Row],[Reject Purging (kg)]]+Table1[[#This Row],[Reject Preform (kg)]]</f>
        <v>0</v>
      </c>
      <c r="V555" s="37">
        <f>(Table1[[#This Row],[Gross Weight (gm)]]-Table1[[#This Row],[Part Weight (gm)]])*Table1[[#This Row],[Shift Output]]/1000</f>
        <v>0</v>
      </c>
      <c r="W555" s="3">
        <v>0</v>
      </c>
      <c r="X555" s="36" t="e">
        <f>Table1[[#This Row],[Reject Startup (kg)]]/Table1[[#This Row],[Material Used]]</f>
        <v>#DIV/0!</v>
      </c>
      <c r="Y555" s="3">
        <v>0</v>
      </c>
      <c r="Z555" s="36" t="e">
        <f>Table1[[#This Row],[Reject Prod (kg)]]/Table1[[#This Row],[Material Used]]</f>
        <v>#DIV/0!</v>
      </c>
      <c r="AA555" s="4">
        <v>0</v>
      </c>
      <c r="AB555" s="5">
        <v>0</v>
      </c>
      <c r="AC555" s="4" cm="1">
        <f t="array" ref="AC555">IFERROR(INDEX(ReferenceCard, MATCH(1, (INDEX(ReferenceCard,,1)=Table1[[#This Row],[SAP No]]) * (INDEX(ReferenceCard,,2)=Table1[[#This Row],[Mould No]]), 0), 9),)</f>
        <v>56.5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9.56</v>
      </c>
      <c r="AJ555" s="5">
        <v>0</v>
      </c>
      <c r="AL555" s="2"/>
      <c r="AM555" s="2"/>
      <c r="AN555" s="3">
        <v>0</v>
      </c>
      <c r="AO555" s="3">
        <v>0</v>
      </c>
      <c r="AP55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6" spans="1:42" x14ac:dyDescent="0.35">
      <c r="A556" s="1">
        <v>46006</v>
      </c>
      <c r="B556">
        <v>1</v>
      </c>
      <c r="C556" t="s">
        <v>7</v>
      </c>
      <c r="D556" t="str" cm="1">
        <f t="array" ref="D556">IFERROR(INDEX(ReferenceCard, MATCH(1, (INDEX(ReferenceCard,,1)=Table1[[#This Row],[SAP No]]) * (INDEX(ReferenceCard,,2)=Table1[[#This Row],[Mould No]]), 0), 6),)</f>
        <v>PET</v>
      </c>
      <c r="E556">
        <v>426555</v>
      </c>
      <c r="F556">
        <v>0</v>
      </c>
      <c r="G556" t="str" cm="1">
        <f t="array" ref="G556">IFERROR(INDEX(ReferenceCard, MATCH(1, (INDEX(ReferenceCard,,1)=Table1[[#This Row],[SAP No]]) * (INDEX(ReferenceCard,,2)=Table1[[#This Row],[Mould No]]), 0), 3),)</f>
        <v>BX38-0330-Z-S-CL-HW</v>
      </c>
      <c r="H556">
        <v>0</v>
      </c>
      <c r="I556" cm="1">
        <f t="array" ref="I556">IFERROR(INDEX(ReferenceCard, MATCH(1, (INDEX(ReferenceCard,,1)=Table1[[#This Row],[SAP No]]) * (INDEX(ReferenceCard,,2)=Table1[[#This Row],[Mould No]]), 0), 4),)</f>
        <v>4</v>
      </c>
      <c r="J556" s="4" cm="1">
        <f t="array" ref="J556">IFERROR(INDEX(ReferenceCard, MATCH(1, (INDEX(ReferenceCard,,1)=Table1[[#This Row],[SAP No]]) * (INDEX(ReferenceCard,,2)=Table1[[#This Row],[Mould No]]), 0), 9),)</f>
        <v>29</v>
      </c>
      <c r="K556" s="4" cm="1">
        <f t="array" ref="K556">IFERROR(INDEX(ReferenceCard, MATCH(1, (INDEX(ReferenceCard,,1)=Table1[[#This Row],[SAP No]]) * (INDEX(ReferenceCard,,2)=Table1[[#This Row],[Mould No]]), 0), 7),)</f>
        <v>29</v>
      </c>
      <c r="L556">
        <v>2488</v>
      </c>
      <c r="M556">
        <v>0</v>
      </c>
      <c r="N556">
        <v>0</v>
      </c>
      <c r="O556">
        <v>0</v>
      </c>
      <c r="P556">
        <f>Table1[[#This Row],[Shot]]*Table1[[#This Row],[Cav]]</f>
        <v>9952</v>
      </c>
      <c r="Q556">
        <v>0</v>
      </c>
      <c r="R556">
        <f>(Table1[[#This Row],[Part Weight (gm)]]*Table1[[#This Row],[Finish Good]])/1000</f>
        <v>0</v>
      </c>
      <c r="S556">
        <v>0</v>
      </c>
      <c r="T556">
        <f>IF(Table1[[#This Row],[Qty Order]]="Sample","-",IF(Table1[[#This Row],[Qty Order]]="RTFN","-",Table1[[#This Row],[Qty Order]]-Table1[[#This Row],[Qty Accumulate]]))</f>
        <v>0</v>
      </c>
      <c r="U556">
        <f>((Table1[[#This Row],[Shift Output]]*Table1[[#This Row],[Part Weight (gm)]])/1000)+Table1[[#This Row],[Reject Startup (kg)]]+Table1[[#This Row],[Reject Purging (kg)]]+Table1[[#This Row],[Reject Preform (kg)]]</f>
        <v>288.608</v>
      </c>
      <c r="V556" s="37">
        <f>(Table1[[#This Row],[Gross Weight (gm)]]-Table1[[#This Row],[Part Weight (gm)]])*Table1[[#This Row],[Shift Output]]/1000</f>
        <v>0</v>
      </c>
      <c r="W556" s="3">
        <v>0</v>
      </c>
      <c r="X556" s="36">
        <f>Table1[[#This Row],[Reject Startup (kg)]]/Table1[[#This Row],[Material Used]]</f>
        <v>0</v>
      </c>
      <c r="Y556" s="3">
        <v>0</v>
      </c>
      <c r="Z556" s="36">
        <f>Table1[[#This Row],[Reject Prod (kg)]]/Table1[[#This Row],[Material Used]]</f>
        <v>0</v>
      </c>
      <c r="AA556" s="4">
        <v>25.678571701049801</v>
      </c>
      <c r="AB556" s="5">
        <v>9.5299999999999905</v>
      </c>
      <c r="AC556" s="4" cm="1">
        <f t="array" ref="AC556">IFERROR(INDEX(ReferenceCard, MATCH(1, (INDEX(ReferenceCard,,1)=Table1[[#This Row],[SAP No]]) * (INDEX(ReferenceCard,,2)=Table1[[#This Row],[Mould No]]), 0), 9),)</f>
        <v>29</v>
      </c>
      <c r="AD556" s="5">
        <v>0</v>
      </c>
      <c r="AE556" s="5">
        <v>0</v>
      </c>
      <c r="AF556" s="5">
        <v>0</v>
      </c>
      <c r="AG556" s="5">
        <v>0</v>
      </c>
      <c r="AH556" s="5">
        <v>2.9999999999999898E-2</v>
      </c>
      <c r="AI556" s="5">
        <v>0</v>
      </c>
      <c r="AJ556" s="5">
        <v>0</v>
      </c>
      <c r="AL556" s="2"/>
      <c r="AM556" s="2"/>
      <c r="AN556" s="3">
        <v>0</v>
      </c>
      <c r="AO556" s="3">
        <v>0</v>
      </c>
      <c r="AP55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7" spans="1:42" x14ac:dyDescent="0.35">
      <c r="A557" s="1">
        <v>46006</v>
      </c>
      <c r="B557">
        <v>1</v>
      </c>
      <c r="C557" t="s">
        <v>5</v>
      </c>
      <c r="D557" t="str" cm="1">
        <f t="array" ref="D557">IFERROR(INDEX(ReferenceCard, MATCH(1, (INDEX(ReferenceCard,,1)=Table1[[#This Row],[SAP No]]) * (INDEX(ReferenceCard,,2)=Table1[[#This Row],[Mould No]]), 0), 6),)</f>
        <v>PET</v>
      </c>
      <c r="E557">
        <v>543590</v>
      </c>
      <c r="F557">
        <v>0</v>
      </c>
      <c r="G557" t="str" cm="1">
        <f t="array" ref="G557">IFERROR(INDEX(ReferenceCard, MATCH(1, (INDEX(ReferenceCard,,1)=Table1[[#This Row],[SAP No]]) * (INDEX(ReferenceCard,,2)=Table1[[#This Row],[Mould No]]), 0), 3),)</f>
        <v>BC28-0130-R-R-AM</v>
      </c>
      <c r="H557">
        <v>0</v>
      </c>
      <c r="I557" cm="1">
        <f t="array" ref="I557">IFERROR(INDEX(ReferenceCard, MATCH(1, (INDEX(ReferenceCard,,1)=Table1[[#This Row],[SAP No]]) * (INDEX(ReferenceCard,,2)=Table1[[#This Row],[Mould No]]), 0), 4),)</f>
        <v>4</v>
      </c>
      <c r="J557" s="4" cm="1">
        <f t="array" ref="J557">IFERROR(INDEX(ReferenceCard, MATCH(1, (INDEX(ReferenceCard,,1)=Table1[[#This Row],[SAP No]]) * (INDEX(ReferenceCard,,2)=Table1[[#This Row],[Mould No]]), 0), 9),)</f>
        <v>19</v>
      </c>
      <c r="K557" s="4" cm="1">
        <f t="array" ref="K557">IFERROR(INDEX(ReferenceCard, MATCH(1, (INDEX(ReferenceCard,,1)=Table1[[#This Row],[SAP No]]) * (INDEX(ReferenceCard,,2)=Table1[[#This Row],[Mould No]]), 0), 7),)</f>
        <v>19</v>
      </c>
      <c r="L557">
        <v>9775</v>
      </c>
      <c r="M557">
        <v>0</v>
      </c>
      <c r="N557">
        <v>0</v>
      </c>
      <c r="O557">
        <v>0</v>
      </c>
      <c r="P557">
        <f>Table1[[#This Row],[Shot]]*Table1[[#This Row],[Cav]]</f>
        <v>39100</v>
      </c>
      <c r="Q557">
        <v>0</v>
      </c>
      <c r="R557">
        <f>(Table1[[#This Row],[Part Weight (gm)]]*Table1[[#This Row],[Finish Good]])/1000</f>
        <v>0</v>
      </c>
      <c r="S557">
        <v>0</v>
      </c>
      <c r="T557">
        <f>IF(Table1[[#This Row],[Qty Order]]="Sample","-",IF(Table1[[#This Row],[Qty Order]]="RTFN","-",Table1[[#This Row],[Qty Order]]-Table1[[#This Row],[Qty Accumulate]]))</f>
        <v>0</v>
      </c>
      <c r="U557">
        <f>((Table1[[#This Row],[Shift Output]]*Table1[[#This Row],[Part Weight (gm)]])/1000)+Table1[[#This Row],[Reject Startup (kg)]]+Table1[[#This Row],[Reject Purging (kg)]]+Table1[[#This Row],[Reject Preform (kg)]]</f>
        <v>742.9</v>
      </c>
      <c r="V557" s="37">
        <f>(Table1[[#This Row],[Gross Weight (gm)]]-Table1[[#This Row],[Part Weight (gm)]])*Table1[[#This Row],[Shift Output]]/1000</f>
        <v>0</v>
      </c>
      <c r="W557" s="3">
        <v>0</v>
      </c>
      <c r="X557" s="36">
        <f>Table1[[#This Row],[Reject Startup (kg)]]/Table1[[#This Row],[Material Used]]</f>
        <v>0</v>
      </c>
      <c r="Y557" s="3">
        <v>0</v>
      </c>
      <c r="Z557" s="36">
        <f>Table1[[#This Row],[Reject Prod (kg)]]/Table1[[#This Row],[Material Used]]</f>
        <v>0</v>
      </c>
      <c r="AA557" s="4">
        <v>22.485864639282202</v>
      </c>
      <c r="AB557" s="5">
        <v>7.25</v>
      </c>
      <c r="AC557" s="4" cm="1">
        <f t="array" ref="AC557">IFERROR(INDEX(ReferenceCard, MATCH(1, (INDEX(ReferenceCard,,1)=Table1[[#This Row],[SAP No]]) * (INDEX(ReferenceCard,,2)=Table1[[#This Row],[Mould No]]), 0), 9),)</f>
        <v>19</v>
      </c>
      <c r="AD557" s="5">
        <v>0</v>
      </c>
      <c r="AE557" s="5">
        <v>0</v>
      </c>
      <c r="AF557" s="5">
        <v>0</v>
      </c>
      <c r="AG557" s="5">
        <v>0</v>
      </c>
      <c r="AH557" s="5">
        <v>2.31</v>
      </c>
      <c r="AI557" s="5">
        <v>0</v>
      </c>
      <c r="AJ557" s="5">
        <v>0</v>
      </c>
      <c r="AL557" s="2"/>
      <c r="AM557" s="2"/>
      <c r="AN557" s="3">
        <v>0</v>
      </c>
      <c r="AO557" s="3">
        <v>0</v>
      </c>
      <c r="AP55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8" spans="1:42" x14ac:dyDescent="0.35">
      <c r="A558" s="1">
        <v>46006</v>
      </c>
      <c r="B558">
        <v>1</v>
      </c>
      <c r="C558" t="s">
        <v>3</v>
      </c>
      <c r="D558" t="str" cm="1">
        <f t="array" ref="D558">IFERROR(INDEX(ReferenceCard, MATCH(1, (INDEX(ReferenceCard,,1)=Table1[[#This Row],[SAP No]]) * (INDEX(ReferenceCard,,2)=Table1[[#This Row],[Mould No]]), 0), 6),)</f>
        <v>PET</v>
      </c>
      <c r="E558">
        <v>324163</v>
      </c>
      <c r="F558">
        <v>0</v>
      </c>
      <c r="G558" t="str" cm="1">
        <f t="array" ref="G558">IFERROR(INDEX(ReferenceCard, MATCH(1, (INDEX(ReferenceCard,,1)=Table1[[#This Row],[SAP No]]) * (INDEX(ReferenceCard,,2)=Table1[[#This Row],[Mould No]]), 0), 3),)</f>
        <v>BC28-0265-A-Q-CL</v>
      </c>
      <c r="H558">
        <v>0</v>
      </c>
      <c r="I558" cm="1">
        <f t="array" ref="I558">IFERROR(INDEX(ReferenceCard, MATCH(1, (INDEX(ReferenceCard,,1)=Table1[[#This Row],[SAP No]]) * (INDEX(ReferenceCard,,2)=Table1[[#This Row],[Mould No]]), 0), 4),)</f>
        <v>4</v>
      </c>
      <c r="J558" s="4" cm="1">
        <f t="array" ref="J558">IFERROR(INDEX(ReferenceCard, MATCH(1, (INDEX(ReferenceCard,,1)=Table1[[#This Row],[SAP No]]) * (INDEX(ReferenceCard,,2)=Table1[[#This Row],[Mould No]]), 0), 9),)</f>
        <v>24</v>
      </c>
      <c r="K558" s="4" cm="1">
        <f t="array" ref="K558">IFERROR(INDEX(ReferenceCard, MATCH(1, (INDEX(ReferenceCard,,1)=Table1[[#This Row],[SAP No]]) * (INDEX(ReferenceCard,,2)=Table1[[#This Row],[Mould No]]), 0), 7),)</f>
        <v>23.5</v>
      </c>
      <c r="L558">
        <v>2792</v>
      </c>
      <c r="M558">
        <v>0</v>
      </c>
      <c r="N558">
        <v>0</v>
      </c>
      <c r="O558">
        <v>0</v>
      </c>
      <c r="P558">
        <f>Table1[[#This Row],[Shot]]*Table1[[#This Row],[Cav]]</f>
        <v>11168</v>
      </c>
      <c r="Q558">
        <v>0</v>
      </c>
      <c r="R558">
        <f>(Table1[[#This Row],[Part Weight (gm)]]*Table1[[#This Row],[Finish Good]])/1000</f>
        <v>0</v>
      </c>
      <c r="S558">
        <v>0</v>
      </c>
      <c r="T558">
        <f>IF(Table1[[#This Row],[Qty Order]]="Sample","-",IF(Table1[[#This Row],[Qty Order]]="RTFN","-",Table1[[#This Row],[Qty Order]]-Table1[[#This Row],[Qty Accumulate]]))</f>
        <v>0</v>
      </c>
      <c r="U558">
        <f>((Table1[[#This Row],[Shift Output]]*Table1[[#This Row],[Part Weight (gm)]])/1000)+Table1[[#This Row],[Reject Startup (kg)]]+Table1[[#This Row],[Reject Purging (kg)]]+Table1[[#This Row],[Reject Preform (kg)]]</f>
        <v>262.44799999999998</v>
      </c>
      <c r="V558" s="37">
        <f>(Table1[[#This Row],[Gross Weight (gm)]]-Table1[[#This Row],[Part Weight (gm)]])*Table1[[#This Row],[Shift Output]]/1000</f>
        <v>5.5839999999999996</v>
      </c>
      <c r="W558" s="3">
        <v>0</v>
      </c>
      <c r="X558" s="36">
        <f>Table1[[#This Row],[Reject Startup (kg)]]/Table1[[#This Row],[Material Used]]</f>
        <v>0</v>
      </c>
      <c r="Y558" s="3">
        <v>0</v>
      </c>
      <c r="Z558" s="36">
        <f>Table1[[#This Row],[Reject Prod (kg)]]/Table1[[#This Row],[Material Used]]</f>
        <v>0</v>
      </c>
      <c r="AA558" s="4">
        <v>22.459987640380799</v>
      </c>
      <c r="AB558" s="5">
        <v>9.56</v>
      </c>
      <c r="AC558" s="4" cm="1">
        <f t="array" ref="AC558">IFERROR(INDEX(ReferenceCard, MATCH(1, (INDEX(ReferenceCard,,1)=Table1[[#This Row],[SAP No]]) * (INDEX(ReferenceCard,,2)=Table1[[#This Row],[Mould No]]), 0), 9),)</f>
        <v>24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L558" s="2"/>
      <c r="AM558" s="2"/>
      <c r="AN558" s="3">
        <v>0</v>
      </c>
      <c r="AO558" s="3">
        <v>0</v>
      </c>
      <c r="AP55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59" spans="1:42" x14ac:dyDescent="0.35">
      <c r="A559" s="1">
        <v>46006</v>
      </c>
      <c r="B559">
        <v>1</v>
      </c>
      <c r="C559" t="s">
        <v>0</v>
      </c>
      <c r="D559" t="str" cm="1">
        <f t="array" ref="D559">IFERROR(INDEX(ReferenceCard, MATCH(1, (INDEX(ReferenceCard,,1)=Table1[[#This Row],[SAP No]]) * (INDEX(ReferenceCard,,2)=Table1[[#This Row],[Mould No]]), 0), 6),)</f>
        <v>PET</v>
      </c>
      <c r="E559">
        <v>369308</v>
      </c>
      <c r="F559">
        <v>0</v>
      </c>
      <c r="G559" t="str" cm="1">
        <f t="array" ref="G559">IFERROR(INDEX(ReferenceCard, MATCH(1, (INDEX(ReferenceCard,,1)=Table1[[#This Row],[SAP No]]) * (INDEX(ReferenceCard,,2)=Table1[[#This Row],[Mould No]]), 0), 3),)</f>
        <v>BW38-0280-LS-R-RED</v>
      </c>
      <c r="H559">
        <v>0</v>
      </c>
      <c r="I559" cm="1">
        <f t="array" ref="I559">IFERROR(INDEX(ReferenceCard, MATCH(1, (INDEX(ReferenceCard,,1)=Table1[[#This Row],[SAP No]]) * (INDEX(ReferenceCard,,2)=Table1[[#This Row],[Mould No]]), 0), 4),)</f>
        <v>4</v>
      </c>
      <c r="J559" s="4" cm="1">
        <f t="array" ref="J559">IFERROR(INDEX(ReferenceCard, MATCH(1, (INDEX(ReferenceCard,,1)=Table1[[#This Row],[SAP No]]) * (INDEX(ReferenceCard,,2)=Table1[[#This Row],[Mould No]]), 0), 9),)</f>
        <v>31</v>
      </c>
      <c r="K559" s="4" cm="1">
        <f t="array" ref="K559">IFERROR(INDEX(ReferenceCard, MATCH(1, (INDEX(ReferenceCard,,1)=Table1[[#This Row],[SAP No]]) * (INDEX(ReferenceCard,,2)=Table1[[#This Row],[Mould No]]), 0), 7),)</f>
        <v>31</v>
      </c>
      <c r="L559">
        <v>0</v>
      </c>
      <c r="M559">
        <v>0</v>
      </c>
      <c r="N559">
        <v>0</v>
      </c>
      <c r="O559">
        <v>0</v>
      </c>
      <c r="P559">
        <f>Table1[[#This Row],[Shot]]*Table1[[#This Row],[Cav]]</f>
        <v>0</v>
      </c>
      <c r="Q559">
        <v>0</v>
      </c>
      <c r="R559">
        <f>(Table1[[#This Row],[Part Weight (gm)]]*Table1[[#This Row],[Finish Good]])/1000</f>
        <v>0</v>
      </c>
      <c r="S559">
        <v>0</v>
      </c>
      <c r="T559">
        <f>IF(Table1[[#This Row],[Qty Order]]="Sample","-",IF(Table1[[#This Row],[Qty Order]]="RTFN","-",Table1[[#This Row],[Qty Order]]-Table1[[#This Row],[Qty Accumulate]]))</f>
        <v>0</v>
      </c>
      <c r="U559">
        <f>((Table1[[#This Row],[Shift Output]]*Table1[[#This Row],[Part Weight (gm)]])/1000)+Table1[[#This Row],[Reject Startup (kg)]]+Table1[[#This Row],[Reject Purging (kg)]]+Table1[[#This Row],[Reject Preform (kg)]]</f>
        <v>0</v>
      </c>
      <c r="V559" s="37">
        <f>(Table1[[#This Row],[Gross Weight (gm)]]-Table1[[#This Row],[Part Weight (gm)]])*Table1[[#This Row],[Shift Output]]/1000</f>
        <v>0</v>
      </c>
      <c r="W559" s="3">
        <v>0</v>
      </c>
      <c r="X559" s="36" t="e">
        <f>Table1[[#This Row],[Reject Startup (kg)]]/Table1[[#This Row],[Material Used]]</f>
        <v>#DIV/0!</v>
      </c>
      <c r="Y559" s="3">
        <v>0</v>
      </c>
      <c r="Z559" s="36" t="e">
        <f>Table1[[#This Row],[Reject Prod (kg)]]/Table1[[#This Row],[Material Used]]</f>
        <v>#DIV/0!</v>
      </c>
      <c r="AA559" s="4">
        <v>0</v>
      </c>
      <c r="AB559" s="5">
        <v>0</v>
      </c>
      <c r="AC559" s="4" cm="1">
        <f t="array" ref="AC559">IFERROR(INDEX(ReferenceCard, MATCH(1, (INDEX(ReferenceCard,,1)=Table1[[#This Row],[SAP No]]) * (INDEX(ReferenceCard,,2)=Table1[[#This Row],[Mould No]]), 0), 9),)</f>
        <v>31</v>
      </c>
      <c r="AD559" s="5">
        <v>0</v>
      </c>
      <c r="AE559" s="5">
        <v>0</v>
      </c>
      <c r="AF559" s="5">
        <v>0</v>
      </c>
      <c r="AG559" s="5">
        <v>0</v>
      </c>
      <c r="AH559" s="5">
        <v>9.56</v>
      </c>
      <c r="AI559" s="5">
        <v>0</v>
      </c>
      <c r="AJ559" s="5">
        <v>0</v>
      </c>
      <c r="AL559" s="2"/>
      <c r="AM559" s="2"/>
      <c r="AN559" s="3">
        <v>0</v>
      </c>
      <c r="AO559" s="3">
        <v>0</v>
      </c>
      <c r="AP55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60" spans="1:42" x14ac:dyDescent="0.35">
      <c r="A560" s="1">
        <v>46005</v>
      </c>
      <c r="B560">
        <v>1</v>
      </c>
      <c r="C560" t="s">
        <v>0</v>
      </c>
      <c r="D560" t="str" cm="1">
        <f t="array" ref="D560">IFERROR(INDEX(ReferenceCard, MATCH(1, (INDEX(ReferenceCard,,1)=Table1[[#This Row],[SAP No]]) * (INDEX(ReferenceCard,,2)=Table1[[#This Row],[Mould No]]), 0), 6),)</f>
        <v>PET</v>
      </c>
      <c r="E560">
        <v>369308</v>
      </c>
      <c r="F560">
        <v>0</v>
      </c>
      <c r="G560" t="str" cm="1">
        <f t="array" ref="G560">IFERROR(INDEX(ReferenceCard, MATCH(1, (INDEX(ReferenceCard,,1)=Table1[[#This Row],[SAP No]]) * (INDEX(ReferenceCard,,2)=Table1[[#This Row],[Mould No]]), 0), 3),)</f>
        <v>BW38-0280-LS-R-RED</v>
      </c>
      <c r="I560" cm="1">
        <f t="array" ref="I560">IFERROR(INDEX(ReferenceCard, MATCH(1, (INDEX(ReferenceCard,,1)=Table1[[#This Row],[SAP No]]) * (INDEX(ReferenceCard,,2)=Table1[[#This Row],[Mould No]]), 0), 4),)</f>
        <v>4</v>
      </c>
      <c r="J560" s="4" cm="1">
        <f t="array" ref="J560">IFERROR(INDEX(ReferenceCard, MATCH(1, (INDEX(ReferenceCard,,1)=Table1[[#This Row],[SAP No]]) * (INDEX(ReferenceCard,,2)=Table1[[#This Row],[Mould No]]), 0), 9),)</f>
        <v>31</v>
      </c>
      <c r="K560" s="4" cm="1">
        <f t="array" ref="K560">IFERROR(INDEX(ReferenceCard, MATCH(1, (INDEX(ReferenceCard,,1)=Table1[[#This Row],[SAP No]]) * (INDEX(ReferenceCard,,2)=Table1[[#This Row],[Mould No]]), 0), 7),)</f>
        <v>31</v>
      </c>
      <c r="L560">
        <v>0</v>
      </c>
      <c r="P560">
        <f>Table1[[#This Row],[Shot]]*Table1[[#This Row],[Cav]]</f>
        <v>0</v>
      </c>
      <c r="R560">
        <f>(Table1[[#This Row],[Part Weight (gm)]]*Table1[[#This Row],[Finish Good]])/1000</f>
        <v>0</v>
      </c>
      <c r="T560">
        <f>IF(Table1[[#This Row],[Qty Order]]="Sample","-",IF(Table1[[#This Row],[Qty Order]]="RTFN","-",Table1[[#This Row],[Qty Order]]-Table1[[#This Row],[Qty Accumulate]]))</f>
        <v>0</v>
      </c>
      <c r="U560">
        <f>((Table1[[#This Row],[Shift Output]]*Table1[[#This Row],[Part Weight (gm)]])/1000)+Table1[[#This Row],[Reject Startup (kg)]]+Table1[[#This Row],[Reject Purging (kg)]]+Table1[[#This Row],[Reject Preform (kg)]]</f>
        <v>0</v>
      </c>
      <c r="V560" s="37">
        <f>(Table1[[#This Row],[Gross Weight (gm)]]-Table1[[#This Row],[Part Weight (gm)]])*Table1[[#This Row],[Shift Output]]/1000</f>
        <v>0</v>
      </c>
      <c r="W560" s="3">
        <v>0</v>
      </c>
      <c r="X560" s="36" t="e">
        <f>Table1[[#This Row],[Reject Startup (kg)]]/Table1[[#This Row],[Material Used]]</f>
        <v>#DIV/0!</v>
      </c>
      <c r="Y560" s="3">
        <v>0</v>
      </c>
      <c r="Z560" s="36" t="e">
        <f>Table1[[#This Row],[Reject Prod (kg)]]/Table1[[#This Row],[Material Used]]</f>
        <v>#DIV/0!</v>
      </c>
      <c r="AA560" s="4"/>
      <c r="AB560" s="5">
        <v>0</v>
      </c>
      <c r="AC560" s="4" cm="1">
        <f t="array" ref="AC560">IFERROR(INDEX(ReferenceCard, MATCH(1, (INDEX(ReferenceCard,,1)=Table1[[#This Row],[SAP No]]) * (INDEX(ReferenceCard,,2)=Table1[[#This Row],[Mould No]]), 0), 9),)</f>
        <v>31</v>
      </c>
      <c r="AD560" s="5">
        <v>0</v>
      </c>
      <c r="AE560" s="5">
        <v>0</v>
      </c>
      <c r="AF560" s="5">
        <v>0</v>
      </c>
      <c r="AG560" s="5">
        <v>0</v>
      </c>
      <c r="AH560" s="5">
        <v>26.44</v>
      </c>
      <c r="AI560" s="5">
        <v>0</v>
      </c>
      <c r="AJ560" s="5">
        <v>0</v>
      </c>
      <c r="AL560" s="2"/>
      <c r="AM560" s="2"/>
      <c r="AN560" s="3">
        <v>0</v>
      </c>
      <c r="AO560" s="3">
        <v>0</v>
      </c>
      <c r="AP56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61" spans="1:42" x14ac:dyDescent="0.35">
      <c r="A561" s="1">
        <v>46005</v>
      </c>
      <c r="B561">
        <v>1</v>
      </c>
      <c r="C561" t="s">
        <v>3</v>
      </c>
      <c r="D561" t="str" cm="1">
        <f t="array" ref="D561">IFERROR(INDEX(ReferenceCard, MATCH(1, (INDEX(ReferenceCard,,1)=Table1[[#This Row],[SAP No]]) * (INDEX(ReferenceCard,,2)=Table1[[#This Row],[Mould No]]), 0), 6),)</f>
        <v>PET</v>
      </c>
      <c r="E561">
        <v>324163</v>
      </c>
      <c r="F561">
        <v>0</v>
      </c>
      <c r="G561" t="str" cm="1">
        <f t="array" ref="G561">IFERROR(INDEX(ReferenceCard, MATCH(1, (INDEX(ReferenceCard,,1)=Table1[[#This Row],[SAP No]]) * (INDEX(ReferenceCard,,2)=Table1[[#This Row],[Mould No]]), 0), 3),)</f>
        <v>BC28-0265-A-Q-CL</v>
      </c>
      <c r="I561" cm="1">
        <f t="array" ref="I561">IFERROR(INDEX(ReferenceCard, MATCH(1, (INDEX(ReferenceCard,,1)=Table1[[#This Row],[SAP No]]) * (INDEX(ReferenceCard,,2)=Table1[[#This Row],[Mould No]]), 0), 4),)</f>
        <v>4</v>
      </c>
      <c r="J561" s="4" cm="1">
        <f t="array" ref="J561">IFERROR(INDEX(ReferenceCard, MATCH(1, (INDEX(ReferenceCard,,1)=Table1[[#This Row],[SAP No]]) * (INDEX(ReferenceCard,,2)=Table1[[#This Row],[Mould No]]), 0), 9),)</f>
        <v>24</v>
      </c>
      <c r="K561" s="4" cm="1">
        <f t="array" ref="K561">IFERROR(INDEX(ReferenceCard, MATCH(1, (INDEX(ReferenceCard,,1)=Table1[[#This Row],[SAP No]]) * (INDEX(ReferenceCard,,2)=Table1[[#This Row],[Mould No]]), 0), 7),)</f>
        <v>23.5</v>
      </c>
      <c r="L561">
        <v>391</v>
      </c>
      <c r="P561">
        <f>Table1[[#This Row],[Shot]]*Table1[[#This Row],[Cav]]</f>
        <v>1564</v>
      </c>
      <c r="R561">
        <f>(Table1[[#This Row],[Part Weight (gm)]]*Table1[[#This Row],[Finish Good]])/1000</f>
        <v>0</v>
      </c>
      <c r="T561">
        <f>IF(Table1[[#This Row],[Qty Order]]="Sample","-",IF(Table1[[#This Row],[Qty Order]]="RTFN","-",Table1[[#This Row],[Qty Order]]-Table1[[#This Row],[Qty Accumulate]]))</f>
        <v>0</v>
      </c>
      <c r="U561">
        <f>((Table1[[#This Row],[Shift Output]]*Table1[[#This Row],[Part Weight (gm)]])/1000)+Table1[[#This Row],[Reject Startup (kg)]]+Table1[[#This Row],[Reject Purging (kg)]]+Table1[[#This Row],[Reject Preform (kg)]]</f>
        <v>36.753999999999998</v>
      </c>
      <c r="V561" s="37">
        <f>(Table1[[#This Row],[Gross Weight (gm)]]-Table1[[#This Row],[Part Weight (gm)]])*Table1[[#This Row],[Shift Output]]/1000</f>
        <v>0.78200000000000003</v>
      </c>
      <c r="W561" s="3">
        <v>0</v>
      </c>
      <c r="X561" s="36">
        <f>Table1[[#This Row],[Reject Startup (kg)]]/Table1[[#This Row],[Material Used]]</f>
        <v>0</v>
      </c>
      <c r="Y561" s="3">
        <v>3</v>
      </c>
      <c r="Z561" s="36">
        <f>Table1[[#This Row],[Reject Prod (kg)]]/Table1[[#This Row],[Material Used]]</f>
        <v>8.1623768841486644E-2</v>
      </c>
      <c r="AA561" s="4"/>
      <c r="AB561" s="5">
        <v>26.44</v>
      </c>
      <c r="AC561" s="4" cm="1">
        <f t="array" ref="AC561">IFERROR(INDEX(ReferenceCard, MATCH(1, (INDEX(ReferenceCard,,1)=Table1[[#This Row],[SAP No]]) * (INDEX(ReferenceCard,,2)=Table1[[#This Row],[Mould No]]), 0), 9),)</f>
        <v>24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L561" s="2"/>
      <c r="AM561" s="2"/>
      <c r="AN561" s="3">
        <v>0</v>
      </c>
      <c r="AO561" s="3">
        <v>0</v>
      </c>
      <c r="AP561" s="6">
        <f>((Table1[[#This Row],[Reject Startup (kg)]]+Table1[[#This Row],[Reject Prod (kg)]]+Table1[[#This Row],[Reject Purging (kg)]]+Table1[[#This Row],[Reject Preform (kg)]])/Table1[[#This Row],[Part Weight (gm)]])*1000</f>
        <v>127.6595744680851</v>
      </c>
    </row>
    <row r="562" spans="1:42" x14ac:dyDescent="0.35">
      <c r="A562" s="1">
        <v>46005</v>
      </c>
      <c r="B562">
        <v>1</v>
      </c>
      <c r="C562" t="s">
        <v>5</v>
      </c>
      <c r="D562" t="str" cm="1">
        <f t="array" ref="D562">IFERROR(INDEX(ReferenceCard, MATCH(1, (INDEX(ReferenceCard,,1)=Table1[[#This Row],[SAP No]]) * (INDEX(ReferenceCard,,2)=Table1[[#This Row],[Mould No]]), 0), 6),)</f>
        <v>PET</v>
      </c>
      <c r="E562">
        <v>543590</v>
      </c>
      <c r="F562">
        <v>0</v>
      </c>
      <c r="G562" t="str" cm="1">
        <f t="array" ref="G562">IFERROR(INDEX(ReferenceCard, MATCH(1, (INDEX(ReferenceCard,,1)=Table1[[#This Row],[SAP No]]) * (INDEX(ReferenceCard,,2)=Table1[[#This Row],[Mould No]]), 0), 3),)</f>
        <v>BC28-0130-R-R-AM</v>
      </c>
      <c r="I562" cm="1">
        <f t="array" ref="I562">IFERROR(INDEX(ReferenceCard, MATCH(1, (INDEX(ReferenceCard,,1)=Table1[[#This Row],[SAP No]]) * (INDEX(ReferenceCard,,2)=Table1[[#This Row],[Mould No]]), 0), 4),)</f>
        <v>4</v>
      </c>
      <c r="J562" s="4" cm="1">
        <f t="array" ref="J562">IFERROR(INDEX(ReferenceCard, MATCH(1, (INDEX(ReferenceCard,,1)=Table1[[#This Row],[SAP No]]) * (INDEX(ReferenceCard,,2)=Table1[[#This Row],[Mould No]]), 0), 9),)</f>
        <v>19</v>
      </c>
      <c r="K562" s="4" cm="1">
        <f t="array" ref="K562">IFERROR(INDEX(ReferenceCard, MATCH(1, (INDEX(ReferenceCard,,1)=Table1[[#This Row],[SAP No]]) * (INDEX(ReferenceCard,,2)=Table1[[#This Row],[Mould No]]), 0), 7),)</f>
        <v>19</v>
      </c>
      <c r="L562">
        <v>1843</v>
      </c>
      <c r="P562">
        <f>Table1[[#This Row],[Shot]]*Table1[[#This Row],[Cav]]</f>
        <v>7372</v>
      </c>
      <c r="R562">
        <f>(Table1[[#This Row],[Part Weight (gm)]]*Table1[[#This Row],[Finish Good]])/1000</f>
        <v>0</v>
      </c>
      <c r="T562">
        <f>IF(Table1[[#This Row],[Qty Order]]="Sample","-",IF(Table1[[#This Row],[Qty Order]]="RTFN","-",Table1[[#This Row],[Qty Order]]-Table1[[#This Row],[Qty Accumulate]]))</f>
        <v>0</v>
      </c>
      <c r="U562">
        <f>((Table1[[#This Row],[Shift Output]]*Table1[[#This Row],[Part Weight (gm)]])/1000)+Table1[[#This Row],[Reject Startup (kg)]]+Table1[[#This Row],[Reject Purging (kg)]]+Table1[[#This Row],[Reject Preform (kg)]]</f>
        <v>143.56800000000001</v>
      </c>
      <c r="V562" s="37">
        <f>(Table1[[#This Row],[Gross Weight (gm)]]-Table1[[#This Row],[Part Weight (gm)]])*Table1[[#This Row],[Shift Output]]/1000</f>
        <v>0</v>
      </c>
      <c r="W562" s="3">
        <v>0</v>
      </c>
      <c r="X562" s="36">
        <f>Table1[[#This Row],[Reject Startup (kg)]]/Table1[[#This Row],[Material Used]]</f>
        <v>0</v>
      </c>
      <c r="Y562" s="3">
        <v>3</v>
      </c>
      <c r="Z562" s="36">
        <f>Table1[[#This Row],[Reject Prod (kg)]]/Table1[[#This Row],[Material Used]]</f>
        <v>2.0896021397525909E-2</v>
      </c>
      <c r="AA562" s="4"/>
      <c r="AB562" s="5">
        <v>26.44</v>
      </c>
      <c r="AC562" s="4" cm="1">
        <f t="array" ref="AC562">IFERROR(INDEX(ReferenceCard, MATCH(1, (INDEX(ReferenceCard,,1)=Table1[[#This Row],[SAP No]]) * (INDEX(ReferenceCard,,2)=Table1[[#This Row],[Mould No]]), 0), 9),)</f>
        <v>19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L562" s="2"/>
      <c r="AM562" s="2"/>
      <c r="AN562" s="3">
        <v>0</v>
      </c>
      <c r="AO562" s="3">
        <v>3.5</v>
      </c>
      <c r="AP562" s="6">
        <f>((Table1[[#This Row],[Reject Startup (kg)]]+Table1[[#This Row],[Reject Prod (kg)]]+Table1[[#This Row],[Reject Purging (kg)]]+Table1[[#This Row],[Reject Preform (kg)]])/Table1[[#This Row],[Part Weight (gm)]])*1000</f>
        <v>342.10526315789474</v>
      </c>
    </row>
    <row r="563" spans="1:42" x14ac:dyDescent="0.35">
      <c r="A563" s="1">
        <v>46005</v>
      </c>
      <c r="B563">
        <v>1</v>
      </c>
      <c r="C563" t="s">
        <v>7</v>
      </c>
      <c r="D563" t="str" cm="1">
        <f t="array" ref="D563">IFERROR(INDEX(ReferenceCard, MATCH(1, (INDEX(ReferenceCard,,1)=Table1[[#This Row],[SAP No]]) * (INDEX(ReferenceCard,,2)=Table1[[#This Row],[Mould No]]), 0), 6),)</f>
        <v>PET</v>
      </c>
      <c r="E563">
        <v>426555</v>
      </c>
      <c r="F563">
        <v>0</v>
      </c>
      <c r="G563" t="str" cm="1">
        <f t="array" ref="G563">IFERROR(INDEX(ReferenceCard, MATCH(1, (INDEX(ReferenceCard,,1)=Table1[[#This Row],[SAP No]]) * (INDEX(ReferenceCard,,2)=Table1[[#This Row],[Mould No]]), 0), 3),)</f>
        <v>BX38-0330-Z-S-CL-HW</v>
      </c>
      <c r="I563" cm="1">
        <f t="array" ref="I563">IFERROR(INDEX(ReferenceCard, MATCH(1, (INDEX(ReferenceCard,,1)=Table1[[#This Row],[SAP No]]) * (INDEX(ReferenceCard,,2)=Table1[[#This Row],[Mould No]]), 0), 4),)</f>
        <v>4</v>
      </c>
      <c r="J563" s="4" cm="1">
        <f t="array" ref="J563">IFERROR(INDEX(ReferenceCard, MATCH(1, (INDEX(ReferenceCard,,1)=Table1[[#This Row],[SAP No]]) * (INDEX(ReferenceCard,,2)=Table1[[#This Row],[Mould No]]), 0), 9),)</f>
        <v>29</v>
      </c>
      <c r="K563" s="4" cm="1">
        <f t="array" ref="K563">IFERROR(INDEX(ReferenceCard, MATCH(1, (INDEX(ReferenceCard,,1)=Table1[[#This Row],[SAP No]]) * (INDEX(ReferenceCard,,2)=Table1[[#This Row],[Mould No]]), 0), 7),)</f>
        <v>29</v>
      </c>
      <c r="L563">
        <v>6</v>
      </c>
      <c r="P563">
        <f>Table1[[#This Row],[Shot]]*Table1[[#This Row],[Cav]]</f>
        <v>24</v>
      </c>
      <c r="R563">
        <f>(Table1[[#This Row],[Part Weight (gm)]]*Table1[[#This Row],[Finish Good]])/1000</f>
        <v>0</v>
      </c>
      <c r="T563">
        <f>IF(Table1[[#This Row],[Qty Order]]="Sample","-",IF(Table1[[#This Row],[Qty Order]]="RTFN","-",Table1[[#This Row],[Qty Order]]-Table1[[#This Row],[Qty Accumulate]]))</f>
        <v>0</v>
      </c>
      <c r="U563">
        <f>((Table1[[#This Row],[Shift Output]]*Table1[[#This Row],[Part Weight (gm)]])/1000)+Table1[[#This Row],[Reject Startup (kg)]]+Table1[[#This Row],[Reject Purging (kg)]]+Table1[[#This Row],[Reject Preform (kg)]]</f>
        <v>0.69599999999999995</v>
      </c>
      <c r="V563" s="37">
        <f>(Table1[[#This Row],[Gross Weight (gm)]]-Table1[[#This Row],[Part Weight (gm)]])*Table1[[#This Row],[Shift Output]]/1000</f>
        <v>0</v>
      </c>
      <c r="W563" s="3">
        <v>0</v>
      </c>
      <c r="X563" s="36">
        <f>Table1[[#This Row],[Reject Startup (kg)]]/Table1[[#This Row],[Material Used]]</f>
        <v>0</v>
      </c>
      <c r="Y563" s="3">
        <v>0</v>
      </c>
      <c r="Z563" s="36">
        <f>Table1[[#This Row],[Reject Prod (kg)]]/Table1[[#This Row],[Material Used]]</f>
        <v>0</v>
      </c>
      <c r="AA563" s="4"/>
      <c r="AB563" s="5">
        <v>0</v>
      </c>
      <c r="AC563" s="4" cm="1">
        <f t="array" ref="AC563">IFERROR(INDEX(ReferenceCard, MATCH(1, (INDEX(ReferenceCard,,1)=Table1[[#This Row],[SAP No]]) * (INDEX(ReferenceCard,,2)=Table1[[#This Row],[Mould No]]), 0), 9),)</f>
        <v>29</v>
      </c>
      <c r="AD563" s="5">
        <v>0</v>
      </c>
      <c r="AE563" s="5">
        <v>0</v>
      </c>
      <c r="AF563" s="5">
        <v>0</v>
      </c>
      <c r="AG563" s="5">
        <v>0</v>
      </c>
      <c r="AH563" s="5">
        <v>26.44</v>
      </c>
      <c r="AI563" s="5">
        <v>0</v>
      </c>
      <c r="AJ563" s="5">
        <v>0</v>
      </c>
      <c r="AL563" s="2"/>
      <c r="AM563" s="2"/>
      <c r="AN563" s="3">
        <v>0</v>
      </c>
      <c r="AO563" s="3">
        <v>0</v>
      </c>
      <c r="AP56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64" spans="1:42" x14ac:dyDescent="0.35">
      <c r="A564" s="1">
        <v>46005</v>
      </c>
      <c r="B564">
        <v>1</v>
      </c>
      <c r="C564" t="s">
        <v>9</v>
      </c>
      <c r="D564" t="str" cm="1">
        <f t="array" ref="D564">IFERROR(INDEX(ReferenceCard, MATCH(1, (INDEX(ReferenceCard,,1)=Table1[[#This Row],[SAP No]]) * (INDEX(ReferenceCard,,2)=Table1[[#This Row],[Mould No]]), 0), 6),)</f>
        <v>rPET</v>
      </c>
      <c r="E564">
        <v>593537</v>
      </c>
      <c r="F564">
        <v>0</v>
      </c>
      <c r="G564" t="str" cm="1">
        <f t="array" ref="G564">IFERROR(INDEX(ReferenceCard, MATCH(1, (INDEX(ReferenceCard,,1)=Table1[[#This Row],[SAP No]]) * (INDEX(ReferenceCard,,2)=Table1[[#This Row],[Mould No]]), 0), 3),)</f>
        <v>BX38-1000-RN-R-CL-rPET</v>
      </c>
      <c r="I564" cm="1">
        <f t="array" ref="I564">IFERROR(INDEX(ReferenceCard, MATCH(1, (INDEX(ReferenceCard,,1)=Table1[[#This Row],[SAP No]]) * (INDEX(ReferenceCard,,2)=Table1[[#This Row],[Mould No]]), 0), 4),)</f>
        <v>4</v>
      </c>
      <c r="J564" s="4" cm="1">
        <f t="array" ref="J564">IFERROR(INDEX(ReferenceCard, MATCH(1, (INDEX(ReferenceCard,,1)=Table1[[#This Row],[SAP No]]) * (INDEX(ReferenceCard,,2)=Table1[[#This Row],[Mould No]]), 0), 9),)</f>
        <v>56.5</v>
      </c>
      <c r="K564" s="4" cm="1">
        <f t="array" ref="K564">IFERROR(INDEX(ReferenceCard, MATCH(1, (INDEX(ReferenceCard,,1)=Table1[[#This Row],[SAP No]]) * (INDEX(ReferenceCard,,2)=Table1[[#This Row],[Mould No]]), 0), 7),)</f>
        <v>56.8</v>
      </c>
      <c r="L564">
        <v>0</v>
      </c>
      <c r="P564">
        <f>Table1[[#This Row],[Shot]]*Table1[[#This Row],[Cav]]</f>
        <v>0</v>
      </c>
      <c r="R564">
        <f>(Table1[[#This Row],[Part Weight (gm)]]*Table1[[#This Row],[Finish Good]])/1000</f>
        <v>0</v>
      </c>
      <c r="T564">
        <f>IF(Table1[[#This Row],[Qty Order]]="Sample","-",IF(Table1[[#This Row],[Qty Order]]="RTFN","-",Table1[[#This Row],[Qty Order]]-Table1[[#This Row],[Qty Accumulate]]))</f>
        <v>0</v>
      </c>
      <c r="U564">
        <f>((Table1[[#This Row],[Shift Output]]*Table1[[#This Row],[Part Weight (gm)]])/1000)+Table1[[#This Row],[Reject Startup (kg)]]+Table1[[#This Row],[Reject Purging (kg)]]+Table1[[#This Row],[Reject Preform (kg)]]</f>
        <v>0</v>
      </c>
      <c r="V564" s="37">
        <f>(Table1[[#This Row],[Gross Weight (gm)]]-Table1[[#This Row],[Part Weight (gm)]])*Table1[[#This Row],[Shift Output]]/1000</f>
        <v>0</v>
      </c>
      <c r="W564" s="3">
        <v>0</v>
      </c>
      <c r="X564" s="36" t="e">
        <f>Table1[[#This Row],[Reject Startup (kg)]]/Table1[[#This Row],[Material Used]]</f>
        <v>#DIV/0!</v>
      </c>
      <c r="Y564" s="3">
        <v>0</v>
      </c>
      <c r="Z564" s="36" t="e">
        <f>Table1[[#This Row],[Reject Prod (kg)]]/Table1[[#This Row],[Material Used]]</f>
        <v>#DIV/0!</v>
      </c>
      <c r="AA564" s="4"/>
      <c r="AB564" s="5">
        <v>26.44</v>
      </c>
      <c r="AC564" s="4" cm="1">
        <f t="array" ref="AC564">IFERROR(INDEX(ReferenceCard, MATCH(1, (INDEX(ReferenceCard,,1)=Table1[[#This Row],[SAP No]]) * (INDEX(ReferenceCard,,2)=Table1[[#This Row],[Mould No]]), 0), 9),)</f>
        <v>56.5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L564" s="2"/>
      <c r="AM564" s="2"/>
      <c r="AN564" s="3">
        <v>0</v>
      </c>
      <c r="AO564" s="3">
        <v>0</v>
      </c>
      <c r="AP56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65" spans="1:42" x14ac:dyDescent="0.35">
      <c r="A565" s="1">
        <v>46005</v>
      </c>
      <c r="B565">
        <v>1</v>
      </c>
      <c r="C565" t="s">
        <v>11</v>
      </c>
      <c r="D565" t="str" cm="1">
        <f t="array" ref="D565">IFERROR(INDEX(ReferenceCard, MATCH(1, (INDEX(ReferenceCard,,1)=Table1[[#This Row],[SAP No]]) * (INDEX(ReferenceCard,,2)=Table1[[#This Row],[Mould No]]), 0), 6),)</f>
        <v>rPET</v>
      </c>
      <c r="E565">
        <v>620994</v>
      </c>
      <c r="F565">
        <v>0</v>
      </c>
      <c r="G565" t="str" cm="1">
        <f t="array" ref="G565">IFERROR(INDEX(ReferenceCard, MATCH(1, (INDEX(ReferenceCard,,1)=Table1[[#This Row],[SAP No]]) * (INDEX(ReferenceCard,,2)=Table1[[#This Row],[Mould No]]), 0), 3),)</f>
        <v>JJ63-0400-SH-S-CL-rPET</v>
      </c>
      <c r="I565" cm="1">
        <f t="array" ref="I565">IFERROR(INDEX(ReferenceCard, MATCH(1, (INDEX(ReferenceCard,,1)=Table1[[#This Row],[SAP No]]) * (INDEX(ReferenceCard,,2)=Table1[[#This Row],[Mould No]]), 0), 4),)</f>
        <v>4</v>
      </c>
      <c r="J565" s="4" cm="1">
        <f t="array" ref="J565">IFERROR(INDEX(ReferenceCard, MATCH(1, (INDEX(ReferenceCard,,1)=Table1[[#This Row],[SAP No]]) * (INDEX(ReferenceCard,,2)=Table1[[#This Row],[Mould No]]), 0), 9),)</f>
        <v>32.74</v>
      </c>
      <c r="K565" s="4" cm="1">
        <f t="array" ref="K565">IFERROR(INDEX(ReferenceCard, MATCH(1, (INDEX(ReferenceCard,,1)=Table1[[#This Row],[SAP No]]) * (INDEX(ReferenceCard,,2)=Table1[[#This Row],[Mould No]]), 0), 7),)</f>
        <v>33</v>
      </c>
      <c r="L565">
        <v>0</v>
      </c>
      <c r="P565">
        <f>Table1[[#This Row],[Shot]]*Table1[[#This Row],[Cav]]</f>
        <v>0</v>
      </c>
      <c r="R565">
        <f>(Table1[[#This Row],[Part Weight (gm)]]*Table1[[#This Row],[Finish Good]])/1000</f>
        <v>0</v>
      </c>
      <c r="T565">
        <f>IF(Table1[[#This Row],[Qty Order]]="Sample","-",IF(Table1[[#This Row],[Qty Order]]="RTFN","-",Table1[[#This Row],[Qty Order]]-Table1[[#This Row],[Qty Accumulate]]))</f>
        <v>0</v>
      </c>
      <c r="U565">
        <f>((Table1[[#This Row],[Shift Output]]*Table1[[#This Row],[Part Weight (gm)]])/1000)+Table1[[#This Row],[Reject Startup (kg)]]+Table1[[#This Row],[Reject Purging (kg)]]+Table1[[#This Row],[Reject Preform (kg)]]</f>
        <v>0</v>
      </c>
      <c r="V565" s="37">
        <f>(Table1[[#This Row],[Gross Weight (gm)]]-Table1[[#This Row],[Part Weight (gm)]])*Table1[[#This Row],[Shift Output]]/1000</f>
        <v>0</v>
      </c>
      <c r="W565" s="3">
        <v>0</v>
      </c>
      <c r="X565" s="36" t="e">
        <f>Table1[[#This Row],[Reject Startup (kg)]]/Table1[[#This Row],[Material Used]]</f>
        <v>#DIV/0!</v>
      </c>
      <c r="Y565" s="3">
        <v>0</v>
      </c>
      <c r="Z565" s="36" t="e">
        <f>Table1[[#This Row],[Reject Prod (kg)]]/Table1[[#This Row],[Material Used]]</f>
        <v>#DIV/0!</v>
      </c>
      <c r="AA565" s="4"/>
      <c r="AB565" s="5">
        <v>0</v>
      </c>
      <c r="AC565" s="4" cm="1">
        <f t="array" ref="AC565">IFERROR(INDEX(ReferenceCard, MATCH(1, (INDEX(ReferenceCard,,1)=Table1[[#This Row],[SAP No]]) * (INDEX(ReferenceCard,,2)=Table1[[#This Row],[Mould No]]), 0), 9),)</f>
        <v>32.74</v>
      </c>
      <c r="AD565" s="5">
        <v>26.44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t="s">
        <v>143</v>
      </c>
      <c r="AL565" s="2"/>
      <c r="AM565" s="2"/>
      <c r="AN565" s="3">
        <v>0</v>
      </c>
      <c r="AO565" s="3">
        <v>0</v>
      </c>
      <c r="AP56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66" spans="1:42" x14ac:dyDescent="0.35">
      <c r="A566" s="1">
        <v>46005</v>
      </c>
      <c r="B566">
        <v>1</v>
      </c>
      <c r="C566" t="s">
        <v>14</v>
      </c>
      <c r="D566" t="str" cm="1">
        <f t="array" ref="D566">IFERROR(INDEX(ReferenceCard, MATCH(1, (INDEX(ReferenceCard,,1)=Table1[[#This Row],[SAP No]]) * (INDEX(ReferenceCard,,2)=Table1[[#This Row],[Mould No]]), 0), 6),)</f>
        <v>PET</v>
      </c>
      <c r="E566">
        <v>324165</v>
      </c>
      <c r="F566">
        <v>0</v>
      </c>
      <c r="G566" t="str" cm="1">
        <f t="array" ref="G566">IFERROR(INDEX(ReferenceCard, MATCH(1, (INDEX(ReferenceCard,,1)=Table1[[#This Row],[SAP No]]) * (INDEX(ReferenceCard,,2)=Table1[[#This Row],[Mould No]]), 0), 3),)</f>
        <v>JJ63-0400-SH-S-WH</v>
      </c>
      <c r="I566" cm="1">
        <f t="array" ref="I566">IFERROR(INDEX(ReferenceCard, MATCH(1, (INDEX(ReferenceCard,,1)=Table1[[#This Row],[SAP No]]) * (INDEX(ReferenceCard,,2)=Table1[[#This Row],[Mould No]]), 0), 4),)</f>
        <v>4</v>
      </c>
      <c r="J566" s="4" cm="1">
        <f t="array" ref="J566">IFERROR(INDEX(ReferenceCard, MATCH(1, (INDEX(ReferenceCard,,1)=Table1[[#This Row],[SAP No]]) * (INDEX(ReferenceCard,,2)=Table1[[#This Row],[Mould No]]), 0), 9),)</f>
        <v>32.56</v>
      </c>
      <c r="K566" s="4" cm="1">
        <f t="array" ref="K566">IFERROR(INDEX(ReferenceCard, MATCH(1, (INDEX(ReferenceCard,,1)=Table1[[#This Row],[SAP No]]) * (INDEX(ReferenceCard,,2)=Table1[[#This Row],[Mould No]]), 0), 7),)</f>
        <v>33</v>
      </c>
      <c r="L566">
        <v>400</v>
      </c>
      <c r="P566">
        <f>Table1[[#This Row],[Shot]]*Table1[[#This Row],[Cav]]</f>
        <v>1600</v>
      </c>
      <c r="R566">
        <f>(Table1[[#This Row],[Part Weight (gm)]]*Table1[[#This Row],[Finish Good]])/1000</f>
        <v>0</v>
      </c>
      <c r="T566">
        <f>IF(Table1[[#This Row],[Qty Order]]="Sample","-",IF(Table1[[#This Row],[Qty Order]]="RTFN","-",Table1[[#This Row],[Qty Order]]-Table1[[#This Row],[Qty Accumulate]]))</f>
        <v>0</v>
      </c>
      <c r="U566">
        <f>((Table1[[#This Row],[Shift Output]]*Table1[[#This Row],[Part Weight (gm)]])/1000)+Table1[[#This Row],[Reject Startup (kg)]]+Table1[[#This Row],[Reject Purging (kg)]]+Table1[[#This Row],[Reject Preform (kg)]]</f>
        <v>58.8</v>
      </c>
      <c r="V566" s="37">
        <f>(Table1[[#This Row],[Gross Weight (gm)]]-Table1[[#This Row],[Part Weight (gm)]])*Table1[[#This Row],[Shift Output]]/1000</f>
        <v>-0.70399999999999641</v>
      </c>
      <c r="W566" s="3">
        <v>3</v>
      </c>
      <c r="X566" s="36">
        <f>Table1[[#This Row],[Reject Startup (kg)]]/Table1[[#This Row],[Material Used]]</f>
        <v>5.1020408163265307E-2</v>
      </c>
      <c r="Y566" s="3">
        <v>2</v>
      </c>
      <c r="Z566" s="36">
        <f>Table1[[#This Row],[Reject Prod (kg)]]/Table1[[#This Row],[Material Used]]</f>
        <v>3.4013605442176874E-2</v>
      </c>
      <c r="AA566" s="4"/>
      <c r="AB566" s="5">
        <v>0</v>
      </c>
      <c r="AC566" s="4" cm="1">
        <f t="array" ref="AC566">IFERROR(INDEX(ReferenceCard, MATCH(1, (INDEX(ReferenceCard,,1)=Table1[[#This Row],[SAP No]]) * (INDEX(ReferenceCard,,2)=Table1[[#This Row],[Mould No]]), 0), 9),)</f>
        <v>32.56</v>
      </c>
      <c r="AD566" s="5">
        <v>0</v>
      </c>
      <c r="AE566" s="5">
        <v>0</v>
      </c>
      <c r="AF566" s="5">
        <v>0</v>
      </c>
      <c r="AG566" s="5">
        <v>26.44</v>
      </c>
      <c r="AH566" s="5">
        <v>0</v>
      </c>
      <c r="AI566" s="5">
        <v>0</v>
      </c>
      <c r="AJ566" s="5">
        <v>0</v>
      </c>
      <c r="AL566" s="2"/>
      <c r="AM566" s="2"/>
      <c r="AN566" s="3">
        <v>0</v>
      </c>
      <c r="AO566" s="3">
        <v>3</v>
      </c>
      <c r="AP566" s="6">
        <f>((Table1[[#This Row],[Reject Startup (kg)]]+Table1[[#This Row],[Reject Prod (kg)]]+Table1[[#This Row],[Reject Purging (kg)]]+Table1[[#This Row],[Reject Preform (kg)]])/Table1[[#This Row],[Part Weight (gm)]])*1000</f>
        <v>242.42424242424244</v>
      </c>
    </row>
    <row r="567" spans="1:42" x14ac:dyDescent="0.35">
      <c r="A567" s="1">
        <v>46005</v>
      </c>
      <c r="B567">
        <v>1</v>
      </c>
      <c r="C567" t="s">
        <v>16</v>
      </c>
      <c r="D567" t="str" cm="1">
        <f t="array" ref="D567">IFERROR(INDEX(ReferenceCard, MATCH(1, (INDEX(ReferenceCard,,1)=Table1[[#This Row],[SAP No]]) * (INDEX(ReferenceCard,,2)=Table1[[#This Row],[Mould No]]), 0), 6),)</f>
        <v>PET</v>
      </c>
      <c r="E567">
        <v>323092</v>
      </c>
      <c r="F567">
        <v>0</v>
      </c>
      <c r="G567" t="str" cm="1">
        <f t="array" ref="G567">IFERROR(INDEX(ReferenceCard, MATCH(1, (INDEX(ReferenceCard,,1)=Table1[[#This Row],[SAP No]]) * (INDEX(ReferenceCard,,2)=Table1[[#This Row],[Mould No]]), 0), 3),)</f>
        <v>BX38-1000-GH-R-CL(GREEN) (ASEM)</v>
      </c>
      <c r="I567" cm="1">
        <f t="array" ref="I567">IFERROR(INDEX(ReferenceCard, MATCH(1, (INDEX(ReferenceCard,,1)=Table1[[#This Row],[SAP No]]) * (INDEX(ReferenceCard,,2)=Table1[[#This Row],[Mould No]]), 0), 4),)</f>
        <v>4</v>
      </c>
      <c r="J567" s="4" cm="1">
        <f t="array" ref="J567">IFERROR(INDEX(ReferenceCard, MATCH(1, (INDEX(ReferenceCard,,1)=Table1[[#This Row],[SAP No]]) * (INDEX(ReferenceCard,,2)=Table1[[#This Row],[Mould No]]), 0), 9),)</f>
        <v>48.9</v>
      </c>
      <c r="K567" s="4" cm="1">
        <f t="array" ref="K567">IFERROR(INDEX(ReferenceCard, MATCH(1, (INDEX(ReferenceCard,,1)=Table1[[#This Row],[SAP No]]) * (INDEX(ReferenceCard,,2)=Table1[[#This Row],[Mould No]]), 0), 7),)</f>
        <v>48.9</v>
      </c>
      <c r="L567">
        <v>0</v>
      </c>
      <c r="P567">
        <f>Table1[[#This Row],[Shot]]*Table1[[#This Row],[Cav]]</f>
        <v>0</v>
      </c>
      <c r="R567">
        <f>(Table1[[#This Row],[Part Weight (gm)]]*Table1[[#This Row],[Finish Good]])/1000</f>
        <v>0</v>
      </c>
      <c r="T567">
        <f>IF(Table1[[#This Row],[Qty Order]]="Sample","-",IF(Table1[[#This Row],[Qty Order]]="RTFN","-",Table1[[#This Row],[Qty Order]]-Table1[[#This Row],[Qty Accumulate]]))</f>
        <v>0</v>
      </c>
      <c r="U567">
        <f>((Table1[[#This Row],[Shift Output]]*Table1[[#This Row],[Part Weight (gm)]])/1000)+Table1[[#This Row],[Reject Startup (kg)]]+Table1[[#This Row],[Reject Purging (kg)]]+Table1[[#This Row],[Reject Preform (kg)]]</f>
        <v>0</v>
      </c>
      <c r="V567" s="37">
        <f>(Table1[[#This Row],[Gross Weight (gm)]]-Table1[[#This Row],[Part Weight (gm)]])*Table1[[#This Row],[Shift Output]]/1000</f>
        <v>0</v>
      </c>
      <c r="W567" s="3">
        <v>0</v>
      </c>
      <c r="X567" s="36" t="e">
        <f>Table1[[#This Row],[Reject Startup (kg)]]/Table1[[#This Row],[Material Used]]</f>
        <v>#DIV/0!</v>
      </c>
      <c r="Y567" s="3">
        <v>2</v>
      </c>
      <c r="Z567" s="36" t="e">
        <f>Table1[[#This Row],[Reject Prod (kg)]]/Table1[[#This Row],[Material Used]]</f>
        <v>#DIV/0!</v>
      </c>
      <c r="AA567" s="4"/>
      <c r="AB567" s="5">
        <v>0</v>
      </c>
      <c r="AC567" s="4" cm="1">
        <f t="array" ref="AC567">IFERROR(INDEX(ReferenceCard, MATCH(1, (INDEX(ReferenceCard,,1)=Table1[[#This Row],[SAP No]]) * (INDEX(ReferenceCard,,2)=Table1[[#This Row],[Mould No]]), 0), 9),)</f>
        <v>48.9</v>
      </c>
      <c r="AD567" s="5">
        <v>26.44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t="s">
        <v>143</v>
      </c>
      <c r="AL567" s="2"/>
      <c r="AM567" s="2"/>
      <c r="AN567" s="3">
        <v>0</v>
      </c>
      <c r="AO567" s="3">
        <v>0</v>
      </c>
      <c r="AP567" s="6">
        <f>((Table1[[#This Row],[Reject Startup (kg)]]+Table1[[#This Row],[Reject Prod (kg)]]+Table1[[#This Row],[Reject Purging (kg)]]+Table1[[#This Row],[Reject Preform (kg)]])/Table1[[#This Row],[Part Weight (gm)]])*1000</f>
        <v>40.899795501022496</v>
      </c>
    </row>
    <row r="568" spans="1:42" x14ac:dyDescent="0.35">
      <c r="A568" s="1">
        <v>46005</v>
      </c>
      <c r="B568">
        <v>1</v>
      </c>
      <c r="C568" t="s">
        <v>23</v>
      </c>
      <c r="D568" t="str" cm="1">
        <f t="array" ref="D568">IFERROR(INDEX(ReferenceCard, MATCH(1, (INDEX(ReferenceCard,,1)=Table1[[#This Row],[SAP No]]) * (INDEX(ReferenceCard,,2)=Table1[[#This Row],[Mould No]]), 0), 6),)</f>
        <v>PPSB520Y</v>
      </c>
      <c r="E568">
        <v>586276</v>
      </c>
      <c r="F568">
        <v>2</v>
      </c>
      <c r="G568" t="str" cm="1">
        <f t="array" ref="G568">IFERROR(INDEX(ReferenceCard, MATCH(1, (INDEX(ReferenceCard,,1)=Table1[[#This Row],[SAP No]]) * (INDEX(ReferenceCard,,2)=Table1[[#This Row],[Mould No]]), 0), 3),)</f>
        <v>BC28-0056-D-APH-LEB-604001-MOLD2</v>
      </c>
      <c r="I568" cm="1">
        <f t="array" ref="I568">IFERROR(INDEX(ReferenceCard, MATCH(1, (INDEX(ReferenceCard,,1)=Table1[[#This Row],[SAP No]]) * (INDEX(ReferenceCard,,2)=Table1[[#This Row],[Mould No]]), 0), 4),)</f>
        <v>6</v>
      </c>
      <c r="J568" s="4" cm="1">
        <f t="array" ref="J568">IFERROR(INDEX(ReferenceCard, MATCH(1, (INDEX(ReferenceCard,,1)=Table1[[#This Row],[SAP No]]) * (INDEX(ReferenceCard,,2)=Table1[[#This Row],[Mould No]]), 0), 9),)</f>
        <v>12.3</v>
      </c>
      <c r="K568" s="4" cm="1">
        <f t="array" ref="K568">IFERROR(INDEX(ReferenceCard, MATCH(1, (INDEX(ReferenceCard,,1)=Table1[[#This Row],[SAP No]]) * (INDEX(ReferenceCard,,2)=Table1[[#This Row],[Mould No]]), 0), 7),)</f>
        <v>12.3</v>
      </c>
      <c r="L568">
        <v>344</v>
      </c>
      <c r="P568">
        <f>Table1[[#This Row],[Shot]]*Table1[[#This Row],[Cav]]</f>
        <v>2064</v>
      </c>
      <c r="R568">
        <f>(Table1[[#This Row],[Part Weight (gm)]]*Table1[[#This Row],[Finish Good]])/1000</f>
        <v>0</v>
      </c>
      <c r="T568">
        <f>IF(Table1[[#This Row],[Qty Order]]="Sample","-",IF(Table1[[#This Row],[Qty Order]]="RTFN","-",Table1[[#This Row],[Qty Order]]-Table1[[#This Row],[Qty Accumulate]]))</f>
        <v>0</v>
      </c>
      <c r="U568">
        <f>((Table1[[#This Row],[Shift Output]]*Table1[[#This Row],[Part Weight (gm)]])/1000)+Table1[[#This Row],[Reject Startup (kg)]]+Table1[[#This Row],[Reject Purging (kg)]]+Table1[[#This Row],[Reject Preform (kg)]]</f>
        <v>25.3872</v>
      </c>
      <c r="V568" s="37">
        <f>(Table1[[#This Row],[Gross Weight (gm)]]-Table1[[#This Row],[Part Weight (gm)]])*Table1[[#This Row],[Shift Output]]/1000</f>
        <v>0</v>
      </c>
      <c r="W568" s="3">
        <v>0</v>
      </c>
      <c r="X568" s="36">
        <f>Table1[[#This Row],[Reject Startup (kg)]]/Table1[[#This Row],[Material Used]]</f>
        <v>0</v>
      </c>
      <c r="Y568" s="3">
        <v>2</v>
      </c>
      <c r="Z568" s="36">
        <f>Table1[[#This Row],[Reject Prod (kg)]]/Table1[[#This Row],[Material Used]]</f>
        <v>7.8779857566017519E-2</v>
      </c>
      <c r="AA568" s="4"/>
      <c r="AB568" s="5">
        <v>26.44</v>
      </c>
      <c r="AC568" s="4" cm="1">
        <f t="array" ref="AC568">IFERROR(INDEX(ReferenceCard, MATCH(1, (INDEX(ReferenceCard,,1)=Table1[[#This Row],[SAP No]]) * (INDEX(ReferenceCard,,2)=Table1[[#This Row],[Mould No]]), 0), 9),)</f>
        <v>12.3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L568" s="2"/>
      <c r="AM568" s="2"/>
      <c r="AN568" s="3">
        <v>0</v>
      </c>
      <c r="AO568" s="3">
        <v>0</v>
      </c>
      <c r="AP568" s="6">
        <f>((Table1[[#This Row],[Reject Startup (kg)]]+Table1[[#This Row],[Reject Prod (kg)]]+Table1[[#This Row],[Reject Purging (kg)]]+Table1[[#This Row],[Reject Preform (kg)]])/Table1[[#This Row],[Part Weight (gm)]])*1000</f>
        <v>162.60162601626016</v>
      </c>
    </row>
    <row r="569" spans="1:42" x14ac:dyDescent="0.35">
      <c r="A569" s="1">
        <v>46005</v>
      </c>
      <c r="B569">
        <v>1</v>
      </c>
      <c r="C569" t="s">
        <v>25</v>
      </c>
      <c r="D569" t="str" cm="1">
        <f t="array" ref="D569">IFERROR(INDEX(ReferenceCard, MATCH(1, (INDEX(ReferenceCard,,1)=Table1[[#This Row],[SAP No]]) * (INDEX(ReferenceCard,,2)=Table1[[#This Row],[Mould No]]), 0), 6),)</f>
        <v>PET</v>
      </c>
      <c r="E569">
        <v>323133</v>
      </c>
      <c r="F569">
        <v>0</v>
      </c>
      <c r="G569" t="str" cm="1">
        <f t="array" ref="G569">IFERROR(INDEX(ReferenceCard, MATCH(1, (INDEX(ReferenceCard,,1)=Table1[[#This Row],[SAP No]]) * (INDEX(ReferenceCard,,2)=Table1[[#This Row],[Mould No]]), 0), 3),)</f>
        <v>BX38-2000-RH-R-CL(GREEN) (ASEM)</v>
      </c>
      <c r="I569" cm="1">
        <f t="array" ref="I569">IFERROR(INDEX(ReferenceCard, MATCH(1, (INDEX(ReferenceCard,,1)=Table1[[#This Row],[SAP No]]) * (INDEX(ReferenceCard,,2)=Table1[[#This Row],[Mould No]]), 0), 4),)</f>
        <v>4</v>
      </c>
      <c r="J569" s="4" cm="1">
        <f t="array" ref="J569">IFERROR(INDEX(ReferenceCard, MATCH(1, (INDEX(ReferenceCard,,1)=Table1[[#This Row],[SAP No]]) * (INDEX(ReferenceCard,,2)=Table1[[#This Row],[Mould No]]), 0), 9),)</f>
        <v>77</v>
      </c>
      <c r="K569" s="4" cm="1">
        <f t="array" ref="K569">IFERROR(INDEX(ReferenceCard, MATCH(1, (INDEX(ReferenceCard,,1)=Table1[[#This Row],[SAP No]]) * (INDEX(ReferenceCard,,2)=Table1[[#This Row],[Mould No]]), 0), 7),)</f>
        <v>77</v>
      </c>
      <c r="L569">
        <v>17</v>
      </c>
      <c r="P569">
        <f>Table1[[#This Row],[Shot]]*Table1[[#This Row],[Cav]]</f>
        <v>68</v>
      </c>
      <c r="R569">
        <f>(Table1[[#This Row],[Part Weight (gm)]]*Table1[[#This Row],[Finish Good]])/1000</f>
        <v>0</v>
      </c>
      <c r="T569">
        <f>IF(Table1[[#This Row],[Qty Order]]="Sample","-",IF(Table1[[#This Row],[Qty Order]]="RTFN","-",Table1[[#This Row],[Qty Order]]-Table1[[#This Row],[Qty Accumulate]]))</f>
        <v>0</v>
      </c>
      <c r="U569">
        <f>((Table1[[#This Row],[Shift Output]]*Table1[[#This Row],[Part Weight (gm)]])/1000)+Table1[[#This Row],[Reject Startup (kg)]]+Table1[[#This Row],[Reject Purging (kg)]]+Table1[[#This Row],[Reject Preform (kg)]]</f>
        <v>5.2359999999999998</v>
      </c>
      <c r="V569" s="37">
        <f>(Table1[[#This Row],[Gross Weight (gm)]]-Table1[[#This Row],[Part Weight (gm)]])*Table1[[#This Row],[Shift Output]]/1000</f>
        <v>0</v>
      </c>
      <c r="W569" s="3">
        <v>0</v>
      </c>
      <c r="X569" s="36">
        <f>Table1[[#This Row],[Reject Startup (kg)]]/Table1[[#This Row],[Material Used]]</f>
        <v>0</v>
      </c>
      <c r="Y569" s="3">
        <v>0</v>
      </c>
      <c r="Z569" s="36">
        <f>Table1[[#This Row],[Reject Prod (kg)]]/Table1[[#This Row],[Material Used]]</f>
        <v>0</v>
      </c>
      <c r="AA569" s="4"/>
      <c r="AB569" s="5">
        <v>0</v>
      </c>
      <c r="AC569" s="4" cm="1">
        <f t="array" ref="AC569">IFERROR(INDEX(ReferenceCard, MATCH(1, (INDEX(ReferenceCard,,1)=Table1[[#This Row],[SAP No]]) * (INDEX(ReferenceCard,,2)=Table1[[#This Row],[Mould No]]), 0), 9),)</f>
        <v>77</v>
      </c>
      <c r="AD569" s="5">
        <v>0</v>
      </c>
      <c r="AE569" s="5">
        <v>0</v>
      </c>
      <c r="AF569" s="5">
        <v>0</v>
      </c>
      <c r="AG569" s="5">
        <v>0</v>
      </c>
      <c r="AH569" s="5">
        <v>26.44</v>
      </c>
      <c r="AI569" s="5">
        <v>0</v>
      </c>
      <c r="AJ569" s="5">
        <v>0</v>
      </c>
      <c r="AL569" s="2"/>
      <c r="AM569" s="2"/>
      <c r="AN569" s="3">
        <v>0</v>
      </c>
      <c r="AO569" s="3">
        <v>0</v>
      </c>
      <c r="AP56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70" spans="1:42" x14ac:dyDescent="0.35">
      <c r="A570" s="1">
        <v>46005</v>
      </c>
      <c r="B570">
        <v>1</v>
      </c>
      <c r="C570" t="s">
        <v>27</v>
      </c>
      <c r="D570" t="str" cm="1">
        <f t="array" ref="D570">IFERROR(INDEX(ReferenceCard, MATCH(1, (INDEX(ReferenceCard,,1)=Table1[[#This Row],[SAP No]]) * (INDEX(ReferenceCard,,2)=Table1[[#This Row],[Mould No]]), 0), 6),)</f>
        <v>PPSB520Y</v>
      </c>
      <c r="E570">
        <v>552181</v>
      </c>
      <c r="F570">
        <v>4</v>
      </c>
      <c r="G570" t="str" cm="1">
        <f t="array" ref="G570">IFERROR(INDEX(ReferenceCard, MATCH(1, (INDEX(ReferenceCard,,1)=Table1[[#This Row],[SAP No]]) * (INDEX(ReferenceCard,,2)=Table1[[#This Row],[Mould No]]), 0), 3),)</f>
        <v>BC28-0090-D-APH-5180-3538-PP-6 NOTCHES-MOLD4</v>
      </c>
      <c r="I570" cm="1">
        <f t="array" ref="I570">IFERROR(INDEX(ReferenceCard, MATCH(1, (INDEX(ReferenceCard,,1)=Table1[[#This Row],[SAP No]]) * (INDEX(ReferenceCard,,2)=Table1[[#This Row],[Mould No]]), 0), 4),)</f>
        <v>6</v>
      </c>
      <c r="J570" s="4" cm="1">
        <f t="array" ref="J570">IFERROR(INDEX(ReferenceCard, MATCH(1, (INDEX(ReferenceCard,,1)=Table1[[#This Row],[SAP No]]) * (INDEX(ReferenceCard,,2)=Table1[[#This Row],[Mould No]]), 0), 9),)</f>
        <v>18.8</v>
      </c>
      <c r="K570" s="4" cm="1">
        <f t="array" ref="K570">IFERROR(INDEX(ReferenceCard, MATCH(1, (INDEX(ReferenceCard,,1)=Table1[[#This Row],[SAP No]]) * (INDEX(ReferenceCard,,2)=Table1[[#This Row],[Mould No]]), 0), 7),)</f>
        <v>18.8</v>
      </c>
      <c r="L570">
        <v>0</v>
      </c>
      <c r="P570">
        <f>Table1[[#This Row],[Shot]]*Table1[[#This Row],[Cav]]</f>
        <v>0</v>
      </c>
      <c r="R570">
        <f>(Table1[[#This Row],[Part Weight (gm)]]*Table1[[#This Row],[Finish Good]])/1000</f>
        <v>0</v>
      </c>
      <c r="T570">
        <f>IF(Table1[[#This Row],[Qty Order]]="Sample","-",IF(Table1[[#This Row],[Qty Order]]="RTFN","-",Table1[[#This Row],[Qty Order]]-Table1[[#This Row],[Qty Accumulate]]))</f>
        <v>0</v>
      </c>
      <c r="U570">
        <f>((Table1[[#This Row],[Shift Output]]*Table1[[#This Row],[Part Weight (gm)]])/1000)+Table1[[#This Row],[Reject Startup (kg)]]+Table1[[#This Row],[Reject Purging (kg)]]+Table1[[#This Row],[Reject Preform (kg)]]</f>
        <v>8</v>
      </c>
      <c r="V570" s="37">
        <f>(Table1[[#This Row],[Gross Weight (gm)]]-Table1[[#This Row],[Part Weight (gm)]])*Table1[[#This Row],[Shift Output]]/1000</f>
        <v>0</v>
      </c>
      <c r="W570" s="3">
        <v>0</v>
      </c>
      <c r="X570" s="36">
        <f>Table1[[#This Row],[Reject Startup (kg)]]/Table1[[#This Row],[Material Used]]</f>
        <v>0</v>
      </c>
      <c r="Y570" s="3">
        <v>0</v>
      </c>
      <c r="Z570" s="36">
        <f>Table1[[#This Row],[Reject Prod (kg)]]/Table1[[#This Row],[Material Used]]</f>
        <v>0</v>
      </c>
      <c r="AA570" s="4"/>
      <c r="AB570" s="5">
        <v>0</v>
      </c>
      <c r="AC570" s="4" cm="1">
        <f t="array" ref="AC570">IFERROR(INDEX(ReferenceCard, MATCH(1, (INDEX(ReferenceCard,,1)=Table1[[#This Row],[SAP No]]) * (INDEX(ReferenceCard,,2)=Table1[[#This Row],[Mould No]]), 0), 9),)</f>
        <v>18.8</v>
      </c>
      <c r="AD570" s="5">
        <v>0</v>
      </c>
      <c r="AE570" s="5">
        <v>0</v>
      </c>
      <c r="AF570" s="5">
        <v>0</v>
      </c>
      <c r="AG570" s="5">
        <v>0</v>
      </c>
      <c r="AH570" s="5">
        <v>26.44</v>
      </c>
      <c r="AI570" s="5">
        <v>0</v>
      </c>
      <c r="AJ570" s="5">
        <v>0</v>
      </c>
      <c r="AL570" s="2"/>
      <c r="AM570" s="2"/>
      <c r="AN570" s="3">
        <v>5</v>
      </c>
      <c r="AO570" s="3">
        <v>3</v>
      </c>
      <c r="AP570" s="6">
        <f>((Table1[[#This Row],[Reject Startup (kg)]]+Table1[[#This Row],[Reject Prod (kg)]]+Table1[[#This Row],[Reject Purging (kg)]]+Table1[[#This Row],[Reject Preform (kg)]])/Table1[[#This Row],[Part Weight (gm)]])*1000</f>
        <v>425.531914893617</v>
      </c>
    </row>
    <row r="571" spans="1:42" x14ac:dyDescent="0.35">
      <c r="A571" s="1">
        <v>46005</v>
      </c>
      <c r="B571">
        <v>1</v>
      </c>
      <c r="C571" t="s">
        <v>29</v>
      </c>
      <c r="D571" t="str" cm="1">
        <f t="array" ref="D571">IFERROR(INDEX(ReferenceCard, MATCH(1, (INDEX(ReferenceCard,,1)=Table1[[#This Row],[SAP No]]) * (INDEX(ReferenceCard,,2)=Table1[[#This Row],[Mould No]]), 0), 6),)</f>
        <v>PET</v>
      </c>
      <c r="E571">
        <v>620599</v>
      </c>
      <c r="F571">
        <v>0</v>
      </c>
      <c r="G571" t="str" cm="1">
        <f t="array" ref="G571">IFERROR(INDEX(ReferenceCard, MATCH(1, (INDEX(ReferenceCard,,1)=Table1[[#This Row],[SAP No]]) * (INDEX(ReferenceCard,,2)=Table1[[#This Row],[Mould No]]), 0), 3),)</f>
        <v>BC28-0750-K4-R-CL (55g)</v>
      </c>
      <c r="I571" cm="1">
        <f t="array" ref="I571">IFERROR(INDEX(ReferenceCard, MATCH(1, (INDEX(ReferenceCard,,1)=Table1[[#This Row],[SAP No]]) * (INDEX(ReferenceCard,,2)=Table1[[#This Row],[Mould No]]), 0), 4),)</f>
        <v>4</v>
      </c>
      <c r="J571" s="4" cm="1">
        <f t="array" ref="J571">IFERROR(INDEX(ReferenceCard, MATCH(1, (INDEX(ReferenceCard,,1)=Table1[[#This Row],[SAP No]]) * (INDEX(ReferenceCard,,2)=Table1[[#This Row],[Mould No]]), 0), 9),)</f>
        <v>55</v>
      </c>
      <c r="K571" s="4" cm="1">
        <f t="array" ref="K571">IFERROR(INDEX(ReferenceCard, MATCH(1, (INDEX(ReferenceCard,,1)=Table1[[#This Row],[SAP No]]) * (INDEX(ReferenceCard,,2)=Table1[[#This Row],[Mould No]]), 0), 7),)</f>
        <v>55</v>
      </c>
      <c r="L571">
        <v>17</v>
      </c>
      <c r="P571">
        <f>Table1[[#This Row],[Shot]]*Table1[[#This Row],[Cav]]</f>
        <v>68</v>
      </c>
      <c r="R571">
        <f>(Table1[[#This Row],[Part Weight (gm)]]*Table1[[#This Row],[Finish Good]])/1000</f>
        <v>0</v>
      </c>
      <c r="T571">
        <f>IF(Table1[[#This Row],[Qty Order]]="Sample","-",IF(Table1[[#This Row],[Qty Order]]="RTFN","-",Table1[[#This Row],[Qty Order]]-Table1[[#This Row],[Qty Accumulate]]))</f>
        <v>0</v>
      </c>
      <c r="U571">
        <f>((Table1[[#This Row],[Shift Output]]*Table1[[#This Row],[Part Weight (gm)]])/1000)+Table1[[#This Row],[Reject Startup (kg)]]+Table1[[#This Row],[Reject Purging (kg)]]+Table1[[#This Row],[Reject Preform (kg)]]</f>
        <v>3.74</v>
      </c>
      <c r="V571" s="37">
        <f>(Table1[[#This Row],[Gross Weight (gm)]]-Table1[[#This Row],[Part Weight (gm)]])*Table1[[#This Row],[Shift Output]]/1000</f>
        <v>0</v>
      </c>
      <c r="W571" s="3">
        <v>0</v>
      </c>
      <c r="X571" s="36">
        <f>Table1[[#This Row],[Reject Startup (kg)]]/Table1[[#This Row],[Material Used]]</f>
        <v>0</v>
      </c>
      <c r="Y571" s="3">
        <v>0</v>
      </c>
      <c r="Z571" s="36">
        <f>Table1[[#This Row],[Reject Prod (kg)]]/Table1[[#This Row],[Material Used]]</f>
        <v>0</v>
      </c>
      <c r="AA571" s="4"/>
      <c r="AB571" s="5">
        <v>0</v>
      </c>
      <c r="AC571" s="4" cm="1">
        <f t="array" ref="AC571">IFERROR(INDEX(ReferenceCard, MATCH(1, (INDEX(ReferenceCard,,1)=Table1[[#This Row],[SAP No]]) * (INDEX(ReferenceCard,,2)=Table1[[#This Row],[Mould No]]), 0), 9),)</f>
        <v>55</v>
      </c>
      <c r="AD571" s="5">
        <v>0</v>
      </c>
      <c r="AE571" s="5">
        <v>0</v>
      </c>
      <c r="AF571" s="5">
        <v>0</v>
      </c>
      <c r="AG571" s="5">
        <v>0</v>
      </c>
      <c r="AH571" s="5">
        <v>26.44</v>
      </c>
      <c r="AI571" s="5">
        <v>0</v>
      </c>
      <c r="AJ571" s="5">
        <v>0</v>
      </c>
      <c r="AL571" s="2"/>
      <c r="AM571" s="2"/>
      <c r="AN571" s="3">
        <v>0</v>
      </c>
      <c r="AO571" s="3">
        <v>0</v>
      </c>
      <c r="AP57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72" spans="1:42" x14ac:dyDescent="0.35">
      <c r="A572" s="1">
        <v>46005</v>
      </c>
      <c r="B572">
        <v>1</v>
      </c>
      <c r="C572" t="s">
        <v>31</v>
      </c>
      <c r="D572" t="str" cm="1">
        <f t="array" ref="D572">IFERROR(INDEX(ReferenceCard, MATCH(1, (INDEX(ReferenceCard,,1)=Table1[[#This Row],[SAP No]]) * (INDEX(ReferenceCard,,2)=Table1[[#This Row],[Mould No]]), 0), 6),)</f>
        <v>PPSB520Y</v>
      </c>
      <c r="E572">
        <v>586276</v>
      </c>
      <c r="F572">
        <v>4</v>
      </c>
      <c r="G572" t="str" cm="1">
        <f t="array" ref="G572">IFERROR(INDEX(ReferenceCard, MATCH(1, (INDEX(ReferenceCard,,1)=Table1[[#This Row],[SAP No]]) * (INDEX(ReferenceCard,,2)=Table1[[#This Row],[Mould No]]), 0), 3),)</f>
        <v>BC28-0056-D-APH-LEB-604001-MOLD4</v>
      </c>
      <c r="I572" cm="1">
        <f t="array" ref="I572">IFERROR(INDEX(ReferenceCard, MATCH(1, (INDEX(ReferenceCard,,1)=Table1[[#This Row],[SAP No]]) * (INDEX(ReferenceCard,,2)=Table1[[#This Row],[Mould No]]), 0), 4),)</f>
        <v>6</v>
      </c>
      <c r="J572" s="4" cm="1">
        <f t="array" ref="J572">IFERROR(INDEX(ReferenceCard, MATCH(1, (INDEX(ReferenceCard,,1)=Table1[[#This Row],[SAP No]]) * (INDEX(ReferenceCard,,2)=Table1[[#This Row],[Mould No]]), 0), 9),)</f>
        <v>12.3</v>
      </c>
      <c r="K572" s="4" cm="1">
        <f t="array" ref="K572">IFERROR(INDEX(ReferenceCard, MATCH(1, (INDEX(ReferenceCard,,1)=Table1[[#This Row],[SAP No]]) * (INDEX(ReferenceCard,,2)=Table1[[#This Row],[Mould No]]), 0), 7),)</f>
        <v>12.3</v>
      </c>
      <c r="L572">
        <v>336</v>
      </c>
      <c r="P572">
        <f>Table1[[#This Row],[Shot]]*Table1[[#This Row],[Cav]]</f>
        <v>2016</v>
      </c>
      <c r="R572">
        <f>(Table1[[#This Row],[Part Weight (gm)]]*Table1[[#This Row],[Finish Good]])/1000</f>
        <v>0</v>
      </c>
      <c r="T572">
        <f>IF(Table1[[#This Row],[Qty Order]]="Sample","-",IF(Table1[[#This Row],[Qty Order]]="RTFN","-",Table1[[#This Row],[Qty Order]]-Table1[[#This Row],[Qty Accumulate]]))</f>
        <v>0</v>
      </c>
      <c r="U572">
        <f>((Table1[[#This Row],[Shift Output]]*Table1[[#This Row],[Part Weight (gm)]])/1000)+Table1[[#This Row],[Reject Startup (kg)]]+Table1[[#This Row],[Reject Purging (kg)]]+Table1[[#This Row],[Reject Preform (kg)]]</f>
        <v>24.796800000000005</v>
      </c>
      <c r="V572" s="37">
        <f>(Table1[[#This Row],[Gross Weight (gm)]]-Table1[[#This Row],[Part Weight (gm)]])*Table1[[#This Row],[Shift Output]]/1000</f>
        <v>0</v>
      </c>
      <c r="W572" s="3">
        <v>0</v>
      </c>
      <c r="X572" s="36">
        <f>Table1[[#This Row],[Reject Startup (kg)]]/Table1[[#This Row],[Material Used]]</f>
        <v>0</v>
      </c>
      <c r="Y572" s="3">
        <v>1</v>
      </c>
      <c r="Z572" s="36">
        <f>Table1[[#This Row],[Reject Prod (kg)]]/Table1[[#This Row],[Material Used]]</f>
        <v>4.0327784230223249E-2</v>
      </c>
      <c r="AA572" s="4"/>
      <c r="AB572" s="5">
        <v>26.44</v>
      </c>
      <c r="AC572" s="4" cm="1">
        <f t="array" ref="AC572">IFERROR(INDEX(ReferenceCard, MATCH(1, (INDEX(ReferenceCard,,1)=Table1[[#This Row],[SAP No]]) * (INDEX(ReferenceCard,,2)=Table1[[#This Row],[Mould No]]), 0), 9),)</f>
        <v>12.3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L572" s="2"/>
      <c r="AM572" s="2"/>
      <c r="AN572" s="3">
        <v>0</v>
      </c>
      <c r="AO572" s="3">
        <v>0</v>
      </c>
      <c r="AP572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573" spans="1:42" x14ac:dyDescent="0.35">
      <c r="A573" s="1">
        <v>46005</v>
      </c>
      <c r="B573">
        <v>1</v>
      </c>
      <c r="C573" t="s">
        <v>33</v>
      </c>
      <c r="D573" t="str" cm="1">
        <f t="array" ref="D573">IFERROR(INDEX(ReferenceCard, MATCH(1, (INDEX(ReferenceCard,,1)=Table1[[#This Row],[SAP No]]) * (INDEX(ReferenceCard,,2)=Table1[[#This Row],[Mould No]]), 0), 6),)</f>
        <v>PET</v>
      </c>
      <c r="E573">
        <v>541381</v>
      </c>
      <c r="F573">
        <v>0</v>
      </c>
      <c r="G573" t="str" cm="1">
        <f t="array" ref="G573">IFERROR(INDEX(ReferenceCard, MATCH(1, (INDEX(ReferenceCard,,1)=Table1[[#This Row],[SAP No]]) * (INDEX(ReferenceCard,,2)=Table1[[#This Row],[Mould No]]), 0), 3),)</f>
        <v>BC28-1200-K-R-CL</v>
      </c>
      <c r="I573" cm="1">
        <f t="array" ref="I573">IFERROR(INDEX(ReferenceCard, MATCH(1, (INDEX(ReferenceCard,,1)=Table1[[#This Row],[SAP No]]) * (INDEX(ReferenceCard,,2)=Table1[[#This Row],[Mould No]]), 0), 4),)</f>
        <v>4</v>
      </c>
      <c r="J573" s="4" cm="1">
        <f t="array" ref="J573">IFERROR(INDEX(ReferenceCard, MATCH(1, (INDEX(ReferenceCard,,1)=Table1[[#This Row],[SAP No]]) * (INDEX(ReferenceCard,,2)=Table1[[#This Row],[Mould No]]), 0), 9),)</f>
        <v>55</v>
      </c>
      <c r="K573" s="4" cm="1">
        <f t="array" ref="K573">IFERROR(INDEX(ReferenceCard, MATCH(1, (INDEX(ReferenceCard,,1)=Table1[[#This Row],[SAP No]]) * (INDEX(ReferenceCard,,2)=Table1[[#This Row],[Mould No]]), 0), 7),)</f>
        <v>55</v>
      </c>
      <c r="L573">
        <v>0</v>
      </c>
      <c r="P573">
        <f>Table1[[#This Row],[Shot]]*Table1[[#This Row],[Cav]]</f>
        <v>0</v>
      </c>
      <c r="R573">
        <f>(Table1[[#This Row],[Part Weight (gm)]]*Table1[[#This Row],[Finish Good]])/1000</f>
        <v>0</v>
      </c>
      <c r="T573">
        <f>IF(Table1[[#This Row],[Qty Order]]="Sample","-",IF(Table1[[#This Row],[Qty Order]]="RTFN","-",Table1[[#This Row],[Qty Order]]-Table1[[#This Row],[Qty Accumulate]]))</f>
        <v>0</v>
      </c>
      <c r="U573">
        <f>((Table1[[#This Row],[Shift Output]]*Table1[[#This Row],[Part Weight (gm)]])/1000)+Table1[[#This Row],[Reject Startup (kg)]]+Table1[[#This Row],[Reject Purging (kg)]]+Table1[[#This Row],[Reject Preform (kg)]]</f>
        <v>0</v>
      </c>
      <c r="V573" s="37">
        <f>(Table1[[#This Row],[Gross Weight (gm)]]-Table1[[#This Row],[Part Weight (gm)]])*Table1[[#This Row],[Shift Output]]/1000</f>
        <v>0</v>
      </c>
      <c r="W573" s="3">
        <v>0</v>
      </c>
      <c r="X573" s="36" t="e">
        <f>Table1[[#This Row],[Reject Startup (kg)]]/Table1[[#This Row],[Material Used]]</f>
        <v>#DIV/0!</v>
      </c>
      <c r="Y573" s="3">
        <v>0</v>
      </c>
      <c r="Z573" s="36" t="e">
        <f>Table1[[#This Row],[Reject Prod (kg)]]/Table1[[#This Row],[Material Used]]</f>
        <v>#DIV/0!</v>
      </c>
      <c r="AA573" s="4"/>
      <c r="AB573" s="5">
        <v>0</v>
      </c>
      <c r="AC573" s="4" cm="1">
        <f t="array" ref="AC573">IFERROR(INDEX(ReferenceCard, MATCH(1, (INDEX(ReferenceCard,,1)=Table1[[#This Row],[SAP No]]) * (INDEX(ReferenceCard,,2)=Table1[[#This Row],[Mould No]]), 0), 9),)</f>
        <v>55</v>
      </c>
      <c r="AD573" s="5">
        <v>26.44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t="s">
        <v>143</v>
      </c>
      <c r="AL573" s="2"/>
      <c r="AM573" s="2"/>
      <c r="AN573" s="3">
        <v>0</v>
      </c>
      <c r="AO573" s="3">
        <v>0</v>
      </c>
      <c r="AP57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74" spans="1:42" x14ac:dyDescent="0.35">
      <c r="A574" s="1">
        <v>46005</v>
      </c>
      <c r="B574">
        <v>1</v>
      </c>
      <c r="C574" t="s">
        <v>35</v>
      </c>
      <c r="D574" t="str" cm="1">
        <f t="array" ref="D574">IFERROR(INDEX(ReferenceCard, MATCH(1, (INDEX(ReferenceCard,,1)=Table1[[#This Row],[SAP No]]) * (INDEX(ReferenceCard,,2)=Table1[[#This Row],[Mould No]]), 0), 6),)</f>
        <v>PPSB520Y</v>
      </c>
      <c r="E574">
        <v>552181</v>
      </c>
      <c r="F574">
        <v>1</v>
      </c>
      <c r="G574" t="str" cm="1">
        <f t="array" ref="G574">IFERROR(INDEX(ReferenceCard, MATCH(1, (INDEX(ReferenceCard,,1)=Table1[[#This Row],[SAP No]]) * (INDEX(ReferenceCard,,2)=Table1[[#This Row],[Mould No]]), 0), 3),)</f>
        <v>BC28-0090-D-APH-5180-3538-PP-6 NOTCHES-MOLD1</v>
      </c>
      <c r="I574" cm="1">
        <f t="array" ref="I574">IFERROR(INDEX(ReferenceCard, MATCH(1, (INDEX(ReferenceCard,,1)=Table1[[#This Row],[SAP No]]) * (INDEX(ReferenceCard,,2)=Table1[[#This Row],[Mould No]]), 0), 4),)</f>
        <v>6</v>
      </c>
      <c r="J574" s="4" cm="1">
        <f t="array" ref="J574">IFERROR(INDEX(ReferenceCard, MATCH(1, (INDEX(ReferenceCard,,1)=Table1[[#This Row],[SAP No]]) * (INDEX(ReferenceCard,,2)=Table1[[#This Row],[Mould No]]), 0), 9),)</f>
        <v>18.8</v>
      </c>
      <c r="K574" s="4" cm="1">
        <f t="array" ref="K574">IFERROR(INDEX(ReferenceCard, MATCH(1, (INDEX(ReferenceCard,,1)=Table1[[#This Row],[SAP No]]) * (INDEX(ReferenceCard,,2)=Table1[[#This Row],[Mould No]]), 0), 7),)</f>
        <v>18.8</v>
      </c>
      <c r="L574">
        <v>281</v>
      </c>
      <c r="P574">
        <f>Table1[[#This Row],[Shot]]*Table1[[#This Row],[Cav]]</f>
        <v>1686</v>
      </c>
      <c r="R574">
        <f>(Table1[[#This Row],[Part Weight (gm)]]*Table1[[#This Row],[Finish Good]])/1000</f>
        <v>0</v>
      </c>
      <c r="T574">
        <f>IF(Table1[[#This Row],[Qty Order]]="Sample","-",IF(Table1[[#This Row],[Qty Order]]="RTFN","-",Table1[[#This Row],[Qty Order]]-Table1[[#This Row],[Qty Accumulate]]))</f>
        <v>0</v>
      </c>
      <c r="U574">
        <f>((Table1[[#This Row],[Shift Output]]*Table1[[#This Row],[Part Weight (gm)]])/1000)+Table1[[#This Row],[Reject Startup (kg)]]+Table1[[#This Row],[Reject Purging (kg)]]+Table1[[#This Row],[Reject Preform (kg)]]</f>
        <v>31.696800000000003</v>
      </c>
      <c r="V574" s="37">
        <f>(Table1[[#This Row],[Gross Weight (gm)]]-Table1[[#This Row],[Part Weight (gm)]])*Table1[[#This Row],[Shift Output]]/1000</f>
        <v>0</v>
      </c>
      <c r="W574" s="3">
        <v>0</v>
      </c>
      <c r="X574" s="36">
        <f>Table1[[#This Row],[Reject Startup (kg)]]/Table1[[#This Row],[Material Used]]</f>
        <v>0</v>
      </c>
      <c r="Y574" s="3">
        <v>1</v>
      </c>
      <c r="Z574" s="36">
        <f>Table1[[#This Row],[Reject Prod (kg)]]/Table1[[#This Row],[Material Used]]</f>
        <v>3.1548926074556422E-2</v>
      </c>
      <c r="AA574" s="4"/>
      <c r="AB574" s="5">
        <v>26.4499999999999</v>
      </c>
      <c r="AC574" s="4" cm="1">
        <f t="array" ref="AC574">IFERROR(INDEX(ReferenceCard, MATCH(1, (INDEX(ReferenceCard,,1)=Table1[[#This Row],[SAP No]]) * (INDEX(ReferenceCard,,2)=Table1[[#This Row],[Mould No]]), 0), 9),)</f>
        <v>18.8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L574" s="2"/>
      <c r="AM574" s="2"/>
      <c r="AN574" s="3">
        <v>0</v>
      </c>
      <c r="AO574" s="3">
        <v>0</v>
      </c>
      <c r="AP574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575" spans="1:42" x14ac:dyDescent="0.35">
      <c r="A575" s="1">
        <v>46005</v>
      </c>
      <c r="B575">
        <v>1</v>
      </c>
      <c r="C575" t="s">
        <v>18</v>
      </c>
      <c r="D575" t="str" cm="1">
        <f t="array" ref="D575">IFERROR(INDEX(ReferenceCard, MATCH(1, (INDEX(ReferenceCard,,1)=Table1[[#This Row],[SAP No]]) * (INDEX(ReferenceCard,,2)=Table1[[#This Row],[Mould No]]), 0), 6),)</f>
        <v>PPSB520Y</v>
      </c>
      <c r="E575">
        <v>555979</v>
      </c>
      <c r="F575">
        <v>4</v>
      </c>
      <c r="G575" t="str" cm="1">
        <f t="array" ref="G575">IFERROR(INDEX(ReferenceCard, MATCH(1, (INDEX(ReferenceCard,,1)=Table1[[#This Row],[SAP No]]) * (INDEX(ReferenceCard,,2)=Table1[[#This Row],[Mould No]]), 0), 3),)</f>
        <v>BC28-0170-D-APH-5180-3539-PP-6 NOTCHES-MOLD4</v>
      </c>
      <c r="I575" cm="1">
        <f t="array" ref="I575">IFERROR(INDEX(ReferenceCard, MATCH(1, (INDEX(ReferenceCard,,1)=Table1[[#This Row],[SAP No]]) * (INDEX(ReferenceCard,,2)=Table1[[#This Row],[Mould No]]), 0), 4),)</f>
        <v>6</v>
      </c>
      <c r="J575" s="4" cm="1">
        <f t="array" ref="J575">IFERROR(INDEX(ReferenceCard, MATCH(1, (INDEX(ReferenceCard,,1)=Table1[[#This Row],[SAP No]]) * (INDEX(ReferenceCard,,2)=Table1[[#This Row],[Mould No]]), 0), 9),)</f>
        <v>28</v>
      </c>
      <c r="K575" s="4" cm="1">
        <f t="array" ref="K575">IFERROR(INDEX(ReferenceCard, MATCH(1, (INDEX(ReferenceCard,,1)=Table1[[#This Row],[SAP No]]) * (INDEX(ReferenceCard,,2)=Table1[[#This Row],[Mould No]]), 0), 7),)</f>
        <v>28</v>
      </c>
      <c r="L575">
        <v>989</v>
      </c>
      <c r="P575">
        <f>Table1[[#This Row],[Shot]]*Table1[[#This Row],[Cav]]</f>
        <v>5934</v>
      </c>
      <c r="R575">
        <f>(Table1[[#This Row],[Part Weight (gm)]]*Table1[[#This Row],[Finish Good]])/1000</f>
        <v>0</v>
      </c>
      <c r="T575">
        <f>IF(Table1[[#This Row],[Qty Order]]="Sample","-",IF(Table1[[#This Row],[Qty Order]]="RTFN","-",Table1[[#This Row],[Qty Order]]-Table1[[#This Row],[Qty Accumulate]]))</f>
        <v>0</v>
      </c>
      <c r="U575">
        <f>((Table1[[#This Row],[Shift Output]]*Table1[[#This Row],[Part Weight (gm)]])/1000)+Table1[[#This Row],[Reject Startup (kg)]]+Table1[[#This Row],[Reject Purging (kg)]]+Table1[[#This Row],[Reject Preform (kg)]]</f>
        <v>166.15199999999999</v>
      </c>
      <c r="V575" s="37">
        <f>(Table1[[#This Row],[Gross Weight (gm)]]-Table1[[#This Row],[Part Weight (gm)]])*Table1[[#This Row],[Shift Output]]/1000</f>
        <v>0</v>
      </c>
      <c r="W575" s="3">
        <v>0</v>
      </c>
      <c r="X575" s="36">
        <f>Table1[[#This Row],[Reject Startup (kg)]]/Table1[[#This Row],[Material Used]]</f>
        <v>0</v>
      </c>
      <c r="Y575" s="3">
        <v>2</v>
      </c>
      <c r="Z575" s="36">
        <f>Table1[[#This Row],[Reject Prod (kg)]]/Table1[[#This Row],[Material Used]]</f>
        <v>1.2037170783379075E-2</v>
      </c>
      <c r="AA575" s="4">
        <v>43.5</v>
      </c>
      <c r="AB575" s="5">
        <v>12</v>
      </c>
      <c r="AC575" s="4" cm="1">
        <f t="array" ref="AC575">IFERROR(INDEX(ReferenceCard, MATCH(1, (INDEX(ReferenceCard,,1)=Table1[[#This Row],[SAP No]]) * (INDEX(ReferenceCard,,2)=Table1[[#This Row],[Mould No]]), 0), 9),)</f>
        <v>28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L575" s="2"/>
      <c r="AM575" s="2"/>
      <c r="AN575" s="3">
        <v>0</v>
      </c>
      <c r="AO575" s="3">
        <v>0</v>
      </c>
      <c r="AP575" s="6">
        <f>((Table1[[#This Row],[Reject Startup (kg)]]+Table1[[#This Row],[Reject Prod (kg)]]+Table1[[#This Row],[Reject Purging (kg)]]+Table1[[#This Row],[Reject Preform (kg)]])/Table1[[#This Row],[Part Weight (gm)]])*1000</f>
        <v>71.428571428571431</v>
      </c>
    </row>
    <row r="576" spans="1:42" x14ac:dyDescent="0.35">
      <c r="A576" s="1">
        <v>46004</v>
      </c>
      <c r="B576">
        <v>2</v>
      </c>
      <c r="C576" t="s">
        <v>0</v>
      </c>
      <c r="D576" t="str" cm="1">
        <f t="array" ref="D576">IFERROR(INDEX(ReferenceCard, MATCH(1, (INDEX(ReferenceCard,,1)=Table1[[#This Row],[SAP No]]) * (INDEX(ReferenceCard,,2)=Table1[[#This Row],[Mould No]]), 0), 6),)</f>
        <v>PET</v>
      </c>
      <c r="E576">
        <v>369308</v>
      </c>
      <c r="F576">
        <v>0</v>
      </c>
      <c r="G576" t="str" cm="1">
        <f t="array" ref="G576">IFERROR(INDEX(ReferenceCard, MATCH(1, (INDEX(ReferenceCard,,1)=Table1[[#This Row],[SAP No]]) * (INDEX(ReferenceCard,,2)=Table1[[#This Row],[Mould No]]), 0), 3),)</f>
        <v>BW38-0280-LS-R-RED</v>
      </c>
      <c r="H576">
        <v>0</v>
      </c>
      <c r="I576" cm="1">
        <f t="array" ref="I576">IFERROR(INDEX(ReferenceCard, MATCH(1, (INDEX(ReferenceCard,,1)=Table1[[#This Row],[SAP No]]) * (INDEX(ReferenceCard,,2)=Table1[[#This Row],[Mould No]]), 0), 4),)</f>
        <v>4</v>
      </c>
      <c r="J576" s="4" cm="1">
        <f t="array" ref="J576">IFERROR(INDEX(ReferenceCard, MATCH(1, (INDEX(ReferenceCard,,1)=Table1[[#This Row],[SAP No]]) * (INDEX(ReferenceCard,,2)=Table1[[#This Row],[Mould No]]), 0), 9),)</f>
        <v>31</v>
      </c>
      <c r="K576" s="4" cm="1">
        <f t="array" ref="K576">IFERROR(INDEX(ReferenceCard, MATCH(1, (INDEX(ReferenceCard,,1)=Table1[[#This Row],[SAP No]]) * (INDEX(ReferenceCard,,2)=Table1[[#This Row],[Mould No]]), 0), 7),)</f>
        <v>31</v>
      </c>
      <c r="L576">
        <v>0</v>
      </c>
      <c r="M576">
        <v>0</v>
      </c>
      <c r="N576">
        <v>0</v>
      </c>
      <c r="O576">
        <v>0</v>
      </c>
      <c r="P576">
        <f>Table1[[#This Row],[Shot]]*Table1[[#This Row],[Cav]]</f>
        <v>0</v>
      </c>
      <c r="Q576">
        <v>0</v>
      </c>
      <c r="R576">
        <f>(Table1[[#This Row],[Part Weight (gm)]]*Table1[[#This Row],[Finish Good]])/1000</f>
        <v>0</v>
      </c>
      <c r="S576">
        <v>0</v>
      </c>
      <c r="T576">
        <f>IF(Table1[[#This Row],[Qty Order]]="Sample","-",IF(Table1[[#This Row],[Qty Order]]="RTFN","-",Table1[[#This Row],[Qty Order]]-Table1[[#This Row],[Qty Accumulate]]))</f>
        <v>0</v>
      </c>
      <c r="U576">
        <f>((Table1[[#This Row],[Shift Output]]*Table1[[#This Row],[Part Weight (gm)]])/1000)+Table1[[#This Row],[Reject Startup (kg)]]+Table1[[#This Row],[Reject Purging (kg)]]+Table1[[#This Row],[Reject Preform (kg)]]</f>
        <v>0</v>
      </c>
      <c r="V576" s="37">
        <f>(Table1[[#This Row],[Gross Weight (gm)]]-Table1[[#This Row],[Part Weight (gm)]])*Table1[[#This Row],[Shift Output]]/1000</f>
        <v>0</v>
      </c>
      <c r="W576" s="3">
        <v>0</v>
      </c>
      <c r="X576" s="36" t="e">
        <f>Table1[[#This Row],[Reject Startup (kg)]]/Table1[[#This Row],[Material Used]]</f>
        <v>#DIV/0!</v>
      </c>
      <c r="Y576" s="3">
        <v>0</v>
      </c>
      <c r="Z576" s="36" t="e">
        <f>Table1[[#This Row],[Reject Prod (kg)]]/Table1[[#This Row],[Material Used]]</f>
        <v>#DIV/0!</v>
      </c>
      <c r="AA576" s="4">
        <v>0</v>
      </c>
      <c r="AB576" s="5">
        <v>0</v>
      </c>
      <c r="AC576" s="4" cm="1">
        <f t="array" ref="AC576">IFERROR(INDEX(ReferenceCard, MATCH(1, (INDEX(ReferenceCard,,1)=Table1[[#This Row],[SAP No]]) * (INDEX(ReferenceCard,,2)=Table1[[#This Row],[Mould No]]), 0), 9),)</f>
        <v>31</v>
      </c>
      <c r="AD576" s="5">
        <v>0</v>
      </c>
      <c r="AE576" s="5">
        <v>0</v>
      </c>
      <c r="AF576" s="5">
        <v>0</v>
      </c>
      <c r="AG576" s="5">
        <v>0</v>
      </c>
      <c r="AH576" s="5">
        <v>12</v>
      </c>
      <c r="AI576" s="5">
        <v>0</v>
      </c>
      <c r="AJ576" s="5">
        <v>0</v>
      </c>
      <c r="AL576" s="2"/>
      <c r="AM576" s="2"/>
      <c r="AN576" s="3">
        <v>0</v>
      </c>
      <c r="AO576" s="3">
        <v>0</v>
      </c>
      <c r="AP57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77" spans="1:42" x14ac:dyDescent="0.35">
      <c r="A577" s="1">
        <v>46004</v>
      </c>
      <c r="B577">
        <v>2</v>
      </c>
      <c r="C577" t="s">
        <v>3</v>
      </c>
      <c r="D577" t="str" cm="1">
        <f t="array" ref="D577">IFERROR(INDEX(ReferenceCard, MATCH(1, (INDEX(ReferenceCard,,1)=Table1[[#This Row],[SAP No]]) * (INDEX(ReferenceCard,,2)=Table1[[#This Row],[Mould No]]), 0), 6),)</f>
        <v>PET</v>
      </c>
      <c r="E577">
        <v>324163</v>
      </c>
      <c r="F577">
        <v>0</v>
      </c>
      <c r="G577" t="str" cm="1">
        <f t="array" ref="G577">IFERROR(INDEX(ReferenceCard, MATCH(1, (INDEX(ReferenceCard,,1)=Table1[[#This Row],[SAP No]]) * (INDEX(ReferenceCard,,2)=Table1[[#This Row],[Mould No]]), 0), 3),)</f>
        <v>BC28-0265-A-Q-CL</v>
      </c>
      <c r="H577">
        <v>0</v>
      </c>
      <c r="I577" cm="1">
        <f t="array" ref="I577">IFERROR(INDEX(ReferenceCard, MATCH(1, (INDEX(ReferenceCard,,1)=Table1[[#This Row],[SAP No]]) * (INDEX(ReferenceCard,,2)=Table1[[#This Row],[Mould No]]), 0), 4),)</f>
        <v>4</v>
      </c>
      <c r="J577" s="4" cm="1">
        <f t="array" ref="J577">IFERROR(INDEX(ReferenceCard, MATCH(1, (INDEX(ReferenceCard,,1)=Table1[[#This Row],[SAP No]]) * (INDEX(ReferenceCard,,2)=Table1[[#This Row],[Mould No]]), 0), 9),)</f>
        <v>24</v>
      </c>
      <c r="K577" s="4" cm="1">
        <f t="array" ref="K577">IFERROR(INDEX(ReferenceCard, MATCH(1, (INDEX(ReferenceCard,,1)=Table1[[#This Row],[SAP No]]) * (INDEX(ReferenceCard,,2)=Table1[[#This Row],[Mould No]]), 0), 7),)</f>
        <v>23.5</v>
      </c>
      <c r="L577">
        <v>1924</v>
      </c>
      <c r="M577">
        <v>0</v>
      </c>
      <c r="N577">
        <v>0</v>
      </c>
      <c r="O577">
        <v>0</v>
      </c>
      <c r="P577">
        <f>Table1[[#This Row],[Shot]]*Table1[[#This Row],[Cav]]</f>
        <v>7696</v>
      </c>
      <c r="Q577">
        <v>0</v>
      </c>
      <c r="R577">
        <f>(Table1[[#This Row],[Part Weight (gm)]]*Table1[[#This Row],[Finish Good]])/1000</f>
        <v>0</v>
      </c>
      <c r="S577">
        <v>0</v>
      </c>
      <c r="T577">
        <f>IF(Table1[[#This Row],[Qty Order]]="Sample","-",IF(Table1[[#This Row],[Qty Order]]="RTFN","-",Table1[[#This Row],[Qty Order]]-Table1[[#This Row],[Qty Accumulate]]))</f>
        <v>0</v>
      </c>
      <c r="U577">
        <f>((Table1[[#This Row],[Shift Output]]*Table1[[#This Row],[Part Weight (gm)]])/1000)+Table1[[#This Row],[Reject Startup (kg)]]+Table1[[#This Row],[Reject Purging (kg)]]+Table1[[#This Row],[Reject Preform (kg)]]</f>
        <v>180.85599999999999</v>
      </c>
      <c r="V577" s="37">
        <f>(Table1[[#This Row],[Gross Weight (gm)]]-Table1[[#This Row],[Part Weight (gm)]])*Table1[[#This Row],[Shift Output]]/1000</f>
        <v>3.8479999999999999</v>
      </c>
      <c r="W577" s="3">
        <v>0</v>
      </c>
      <c r="X577" s="36">
        <f>Table1[[#This Row],[Reject Startup (kg)]]/Table1[[#This Row],[Material Used]]</f>
        <v>0</v>
      </c>
      <c r="Y577" s="3">
        <v>2</v>
      </c>
      <c r="Z577" s="36">
        <f>Table1[[#This Row],[Reject Prod (kg)]]/Table1[[#This Row],[Material Used]]</f>
        <v>1.1058521696819569E-2</v>
      </c>
      <c r="AA577" s="4">
        <v>22.442579269409102</v>
      </c>
      <c r="AB577" s="5">
        <v>12</v>
      </c>
      <c r="AC577" s="4" cm="1">
        <f t="array" ref="AC577">IFERROR(INDEX(ReferenceCard, MATCH(1, (INDEX(ReferenceCard,,1)=Table1[[#This Row],[SAP No]]) * (INDEX(ReferenceCard,,2)=Table1[[#This Row],[Mould No]]), 0), 9),)</f>
        <v>24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L577" s="2"/>
      <c r="AM577" s="2"/>
      <c r="AN577" s="3">
        <v>0</v>
      </c>
      <c r="AO577" s="3">
        <v>0</v>
      </c>
      <c r="AP577" s="6">
        <f>((Table1[[#This Row],[Reject Startup (kg)]]+Table1[[#This Row],[Reject Prod (kg)]]+Table1[[#This Row],[Reject Purging (kg)]]+Table1[[#This Row],[Reject Preform (kg)]])/Table1[[#This Row],[Part Weight (gm)]])*1000</f>
        <v>85.106382978723403</v>
      </c>
    </row>
    <row r="578" spans="1:42" x14ac:dyDescent="0.35">
      <c r="A578" s="1">
        <v>46004</v>
      </c>
      <c r="B578">
        <v>2</v>
      </c>
      <c r="C578" t="s">
        <v>5</v>
      </c>
      <c r="D578" t="str" cm="1">
        <f t="array" ref="D578">IFERROR(INDEX(ReferenceCard, MATCH(1, (INDEX(ReferenceCard,,1)=Table1[[#This Row],[SAP No]]) * (INDEX(ReferenceCard,,2)=Table1[[#This Row],[Mould No]]), 0), 6),)</f>
        <v>PET</v>
      </c>
      <c r="E578">
        <v>543590</v>
      </c>
      <c r="F578">
        <v>0</v>
      </c>
      <c r="G578" t="str" cm="1">
        <f t="array" ref="G578">IFERROR(INDEX(ReferenceCard, MATCH(1, (INDEX(ReferenceCard,,1)=Table1[[#This Row],[SAP No]]) * (INDEX(ReferenceCard,,2)=Table1[[#This Row],[Mould No]]), 0), 3),)</f>
        <v>BC28-0130-R-R-AM</v>
      </c>
      <c r="H578">
        <v>0</v>
      </c>
      <c r="I578" cm="1">
        <f t="array" ref="I578">IFERROR(INDEX(ReferenceCard, MATCH(1, (INDEX(ReferenceCard,,1)=Table1[[#This Row],[SAP No]]) * (INDEX(ReferenceCard,,2)=Table1[[#This Row],[Mould No]]), 0), 4),)</f>
        <v>4</v>
      </c>
      <c r="J578" s="4" cm="1">
        <f t="array" ref="J578">IFERROR(INDEX(ReferenceCard, MATCH(1, (INDEX(ReferenceCard,,1)=Table1[[#This Row],[SAP No]]) * (INDEX(ReferenceCard,,2)=Table1[[#This Row],[Mould No]]), 0), 9),)</f>
        <v>19</v>
      </c>
      <c r="K578" s="4" cm="1">
        <f t="array" ref="K578">IFERROR(INDEX(ReferenceCard, MATCH(1, (INDEX(ReferenceCard,,1)=Table1[[#This Row],[SAP No]]) * (INDEX(ReferenceCard,,2)=Table1[[#This Row],[Mould No]]), 0), 7),)</f>
        <v>19</v>
      </c>
      <c r="L578">
        <v>1931</v>
      </c>
      <c r="M578">
        <v>0</v>
      </c>
      <c r="N578">
        <v>0</v>
      </c>
      <c r="O578">
        <v>0</v>
      </c>
      <c r="P578">
        <f>Table1[[#This Row],[Shot]]*Table1[[#This Row],[Cav]]</f>
        <v>7724</v>
      </c>
      <c r="Q578">
        <v>0</v>
      </c>
      <c r="R578">
        <f>(Table1[[#This Row],[Part Weight (gm)]]*Table1[[#This Row],[Finish Good]])/1000</f>
        <v>0</v>
      </c>
      <c r="S578">
        <v>0</v>
      </c>
      <c r="T578">
        <f>IF(Table1[[#This Row],[Qty Order]]="Sample","-",IF(Table1[[#This Row],[Qty Order]]="RTFN","-",Table1[[#This Row],[Qty Order]]-Table1[[#This Row],[Qty Accumulate]]))</f>
        <v>0</v>
      </c>
      <c r="U578">
        <f>((Table1[[#This Row],[Shift Output]]*Table1[[#This Row],[Part Weight (gm)]])/1000)+Table1[[#This Row],[Reject Startup (kg)]]+Table1[[#This Row],[Reject Purging (kg)]]+Table1[[#This Row],[Reject Preform (kg)]]</f>
        <v>146.756</v>
      </c>
      <c r="V578" s="37">
        <f>(Table1[[#This Row],[Gross Weight (gm)]]-Table1[[#This Row],[Part Weight (gm)]])*Table1[[#This Row],[Shift Output]]/1000</f>
        <v>0</v>
      </c>
      <c r="W578" s="3">
        <v>0</v>
      </c>
      <c r="X578" s="36">
        <f>Table1[[#This Row],[Reject Startup (kg)]]/Table1[[#This Row],[Material Used]]</f>
        <v>0</v>
      </c>
      <c r="Y578" s="3">
        <v>3</v>
      </c>
      <c r="Z578" s="36">
        <f>Table1[[#This Row],[Reject Prod (kg)]]/Table1[[#This Row],[Material Used]]</f>
        <v>2.0442094360707569E-2</v>
      </c>
      <c r="AA578" s="4">
        <v>22.369991302490199</v>
      </c>
      <c r="AB578" s="5">
        <v>12</v>
      </c>
      <c r="AC578" s="4" cm="1">
        <f t="array" ref="AC578">IFERROR(INDEX(ReferenceCard, MATCH(1, (INDEX(ReferenceCard,,1)=Table1[[#This Row],[SAP No]]) * (INDEX(ReferenceCard,,2)=Table1[[#This Row],[Mould No]]), 0), 9),)</f>
        <v>19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L578" s="2"/>
      <c r="AM578" s="2"/>
      <c r="AN578" s="3">
        <v>0</v>
      </c>
      <c r="AO578" s="3">
        <v>0</v>
      </c>
      <c r="AP578" s="6">
        <f>((Table1[[#This Row],[Reject Startup (kg)]]+Table1[[#This Row],[Reject Prod (kg)]]+Table1[[#This Row],[Reject Purging (kg)]]+Table1[[#This Row],[Reject Preform (kg)]])/Table1[[#This Row],[Part Weight (gm)]])*1000</f>
        <v>157.89473684210526</v>
      </c>
    </row>
    <row r="579" spans="1:42" x14ac:dyDescent="0.35">
      <c r="A579" s="1">
        <v>46004</v>
      </c>
      <c r="B579">
        <v>2</v>
      </c>
      <c r="C579" t="s">
        <v>7</v>
      </c>
      <c r="D579" t="str" cm="1">
        <f t="array" ref="D579">IFERROR(INDEX(ReferenceCard, MATCH(1, (INDEX(ReferenceCard,,1)=Table1[[#This Row],[SAP No]]) * (INDEX(ReferenceCard,,2)=Table1[[#This Row],[Mould No]]), 0), 6),)</f>
        <v>PET</v>
      </c>
      <c r="E579">
        <v>426555</v>
      </c>
      <c r="F579">
        <v>0</v>
      </c>
      <c r="G579" t="str" cm="1">
        <f t="array" ref="G579">IFERROR(INDEX(ReferenceCard, MATCH(1, (INDEX(ReferenceCard,,1)=Table1[[#This Row],[SAP No]]) * (INDEX(ReferenceCard,,2)=Table1[[#This Row],[Mould No]]), 0), 3),)</f>
        <v>BX38-0330-Z-S-CL-HW</v>
      </c>
      <c r="H579">
        <v>0</v>
      </c>
      <c r="I579" cm="1">
        <f t="array" ref="I579">IFERROR(INDEX(ReferenceCard, MATCH(1, (INDEX(ReferenceCard,,1)=Table1[[#This Row],[SAP No]]) * (INDEX(ReferenceCard,,2)=Table1[[#This Row],[Mould No]]), 0), 4),)</f>
        <v>4</v>
      </c>
      <c r="J579" s="4" cm="1">
        <f t="array" ref="J579">IFERROR(INDEX(ReferenceCard, MATCH(1, (INDEX(ReferenceCard,,1)=Table1[[#This Row],[SAP No]]) * (INDEX(ReferenceCard,,2)=Table1[[#This Row],[Mould No]]), 0), 9),)</f>
        <v>29</v>
      </c>
      <c r="K579" s="4" cm="1">
        <f t="array" ref="K579">IFERROR(INDEX(ReferenceCard, MATCH(1, (INDEX(ReferenceCard,,1)=Table1[[#This Row],[SAP No]]) * (INDEX(ReferenceCard,,2)=Table1[[#This Row],[Mould No]]), 0), 7),)</f>
        <v>29</v>
      </c>
      <c r="L579">
        <v>0</v>
      </c>
      <c r="M579">
        <v>0</v>
      </c>
      <c r="N579">
        <v>0</v>
      </c>
      <c r="O579">
        <v>0</v>
      </c>
      <c r="P579">
        <f>Table1[[#This Row],[Shot]]*Table1[[#This Row],[Cav]]</f>
        <v>0</v>
      </c>
      <c r="Q579">
        <v>0</v>
      </c>
      <c r="R579">
        <f>(Table1[[#This Row],[Part Weight (gm)]]*Table1[[#This Row],[Finish Good]])/1000</f>
        <v>0</v>
      </c>
      <c r="S579">
        <v>0</v>
      </c>
      <c r="T579">
        <f>IF(Table1[[#This Row],[Qty Order]]="Sample","-",IF(Table1[[#This Row],[Qty Order]]="RTFN","-",Table1[[#This Row],[Qty Order]]-Table1[[#This Row],[Qty Accumulate]]))</f>
        <v>0</v>
      </c>
      <c r="U579">
        <f>((Table1[[#This Row],[Shift Output]]*Table1[[#This Row],[Part Weight (gm)]])/1000)+Table1[[#This Row],[Reject Startup (kg)]]+Table1[[#This Row],[Reject Purging (kg)]]+Table1[[#This Row],[Reject Preform (kg)]]</f>
        <v>0</v>
      </c>
      <c r="V579" s="37">
        <f>(Table1[[#This Row],[Gross Weight (gm)]]-Table1[[#This Row],[Part Weight (gm)]])*Table1[[#This Row],[Shift Output]]/1000</f>
        <v>0</v>
      </c>
      <c r="W579" s="3">
        <v>0</v>
      </c>
      <c r="X579" s="36" t="e">
        <f>Table1[[#This Row],[Reject Startup (kg)]]/Table1[[#This Row],[Material Used]]</f>
        <v>#DIV/0!</v>
      </c>
      <c r="Y579" s="3">
        <v>0</v>
      </c>
      <c r="Z579" s="36" t="e">
        <f>Table1[[#This Row],[Reject Prod (kg)]]/Table1[[#This Row],[Material Used]]</f>
        <v>#DIV/0!</v>
      </c>
      <c r="AA579" s="4">
        <v>0</v>
      </c>
      <c r="AB579" s="5">
        <v>0</v>
      </c>
      <c r="AC579" s="4" cm="1">
        <f t="array" ref="AC579">IFERROR(INDEX(ReferenceCard, MATCH(1, (INDEX(ReferenceCard,,1)=Table1[[#This Row],[SAP No]]) * (INDEX(ReferenceCard,,2)=Table1[[#This Row],[Mould No]]), 0), 9),)</f>
        <v>29</v>
      </c>
      <c r="AD579" s="5">
        <v>0</v>
      </c>
      <c r="AE579" s="5">
        <v>0</v>
      </c>
      <c r="AF579" s="5">
        <v>0</v>
      </c>
      <c r="AG579" s="5">
        <v>0</v>
      </c>
      <c r="AH579" s="5">
        <v>12</v>
      </c>
      <c r="AI579" s="5">
        <v>0</v>
      </c>
      <c r="AJ579" s="5">
        <v>0</v>
      </c>
      <c r="AL579" s="2"/>
      <c r="AM579" s="2"/>
      <c r="AN579" s="3">
        <v>0</v>
      </c>
      <c r="AO579" s="3">
        <v>0</v>
      </c>
      <c r="AP57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80" spans="1:42" x14ac:dyDescent="0.35">
      <c r="A580" s="1">
        <v>46004</v>
      </c>
      <c r="B580">
        <v>2</v>
      </c>
      <c r="C580" t="s">
        <v>9</v>
      </c>
      <c r="D580" t="str" cm="1">
        <f t="array" ref="D580">IFERROR(INDEX(ReferenceCard, MATCH(1, (INDEX(ReferenceCard,,1)=Table1[[#This Row],[SAP No]]) * (INDEX(ReferenceCard,,2)=Table1[[#This Row],[Mould No]]), 0), 6),)</f>
        <v>rPET</v>
      </c>
      <c r="E580">
        <v>593537</v>
      </c>
      <c r="F580">
        <v>0</v>
      </c>
      <c r="G580" t="str" cm="1">
        <f t="array" ref="G580">IFERROR(INDEX(ReferenceCard, MATCH(1, (INDEX(ReferenceCard,,1)=Table1[[#This Row],[SAP No]]) * (INDEX(ReferenceCard,,2)=Table1[[#This Row],[Mould No]]), 0), 3),)</f>
        <v>BX38-1000-RN-R-CL-rPET</v>
      </c>
      <c r="H580">
        <v>0</v>
      </c>
      <c r="I580" cm="1">
        <f t="array" ref="I580">IFERROR(INDEX(ReferenceCard, MATCH(1, (INDEX(ReferenceCard,,1)=Table1[[#This Row],[SAP No]]) * (INDEX(ReferenceCard,,2)=Table1[[#This Row],[Mould No]]), 0), 4),)</f>
        <v>4</v>
      </c>
      <c r="J580" s="4" cm="1">
        <f t="array" ref="J580">IFERROR(INDEX(ReferenceCard, MATCH(1, (INDEX(ReferenceCard,,1)=Table1[[#This Row],[SAP No]]) * (INDEX(ReferenceCard,,2)=Table1[[#This Row],[Mould No]]), 0), 9),)</f>
        <v>56.5</v>
      </c>
      <c r="K580" s="4" cm="1">
        <f t="array" ref="K580">IFERROR(INDEX(ReferenceCard, MATCH(1, (INDEX(ReferenceCard,,1)=Table1[[#This Row],[SAP No]]) * (INDEX(ReferenceCard,,2)=Table1[[#This Row],[Mould No]]), 0), 7),)</f>
        <v>56.8</v>
      </c>
      <c r="L580">
        <v>1519</v>
      </c>
      <c r="M580">
        <v>0</v>
      </c>
      <c r="N580">
        <v>0</v>
      </c>
      <c r="O580">
        <v>0</v>
      </c>
      <c r="P580">
        <f>Table1[[#This Row],[Shot]]*Table1[[#This Row],[Cav]]</f>
        <v>6076</v>
      </c>
      <c r="Q580">
        <v>0</v>
      </c>
      <c r="R580">
        <f>(Table1[[#This Row],[Part Weight (gm)]]*Table1[[#This Row],[Finish Good]])/1000</f>
        <v>0</v>
      </c>
      <c r="S580">
        <v>0</v>
      </c>
      <c r="T580">
        <f>IF(Table1[[#This Row],[Qty Order]]="Sample","-",IF(Table1[[#This Row],[Qty Order]]="RTFN","-",Table1[[#This Row],[Qty Order]]-Table1[[#This Row],[Qty Accumulate]]))</f>
        <v>0</v>
      </c>
      <c r="U580">
        <f>((Table1[[#This Row],[Shift Output]]*Table1[[#This Row],[Part Weight (gm)]])/1000)+Table1[[#This Row],[Reject Startup (kg)]]+Table1[[#This Row],[Reject Purging (kg)]]+Table1[[#This Row],[Reject Preform (kg)]]</f>
        <v>345.11680000000001</v>
      </c>
      <c r="V580" s="37">
        <f>(Table1[[#This Row],[Gross Weight (gm)]]-Table1[[#This Row],[Part Weight (gm)]])*Table1[[#This Row],[Shift Output]]/1000</f>
        <v>-1.8227999999999827</v>
      </c>
      <c r="W580" s="3">
        <v>0</v>
      </c>
      <c r="X580" s="36">
        <f>Table1[[#This Row],[Reject Startup (kg)]]/Table1[[#This Row],[Material Used]]</f>
        <v>0</v>
      </c>
      <c r="Y580" s="3">
        <v>1</v>
      </c>
      <c r="Z580" s="36">
        <f>Table1[[#This Row],[Reject Prod (kg)]]/Table1[[#This Row],[Material Used]]</f>
        <v>2.8975697502990291E-3</v>
      </c>
      <c r="AA580" s="4">
        <v>28.445564270019499</v>
      </c>
      <c r="AB580" s="5">
        <v>12</v>
      </c>
      <c r="AC580" s="4" cm="1">
        <f t="array" ref="AC580">IFERROR(INDEX(ReferenceCard, MATCH(1, (INDEX(ReferenceCard,,1)=Table1[[#This Row],[SAP No]]) * (INDEX(ReferenceCard,,2)=Table1[[#This Row],[Mould No]]), 0), 9),)</f>
        <v>56.5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L580" s="2"/>
      <c r="AM580" s="2"/>
      <c r="AN580" s="3">
        <v>0</v>
      </c>
      <c r="AO580" s="3">
        <v>0</v>
      </c>
      <c r="AP580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581" spans="1:42" x14ac:dyDescent="0.35">
      <c r="A581" s="1">
        <v>46004</v>
      </c>
      <c r="B581">
        <v>2</v>
      </c>
      <c r="C581" t="s">
        <v>11</v>
      </c>
      <c r="D581" t="str" cm="1">
        <f t="array" ref="D581">IFERROR(INDEX(ReferenceCard, MATCH(1, (INDEX(ReferenceCard,,1)=Table1[[#This Row],[SAP No]]) * (INDEX(ReferenceCard,,2)=Table1[[#This Row],[Mould No]]), 0), 6),)</f>
        <v>rPET</v>
      </c>
      <c r="E581">
        <v>620994</v>
      </c>
      <c r="F581">
        <v>0</v>
      </c>
      <c r="G581" t="str" cm="1">
        <f t="array" ref="G581">IFERROR(INDEX(ReferenceCard, MATCH(1, (INDEX(ReferenceCard,,1)=Table1[[#This Row],[SAP No]]) * (INDEX(ReferenceCard,,2)=Table1[[#This Row],[Mould No]]), 0), 3),)</f>
        <v>JJ63-0400-SH-S-CL-rPET</v>
      </c>
      <c r="H581">
        <v>0</v>
      </c>
      <c r="I581" cm="1">
        <f t="array" ref="I581">IFERROR(INDEX(ReferenceCard, MATCH(1, (INDEX(ReferenceCard,,1)=Table1[[#This Row],[SAP No]]) * (INDEX(ReferenceCard,,2)=Table1[[#This Row],[Mould No]]), 0), 4),)</f>
        <v>4</v>
      </c>
      <c r="J581" s="4" cm="1">
        <f t="array" ref="J581">IFERROR(INDEX(ReferenceCard, MATCH(1, (INDEX(ReferenceCard,,1)=Table1[[#This Row],[SAP No]]) * (INDEX(ReferenceCard,,2)=Table1[[#This Row],[Mould No]]), 0), 9),)</f>
        <v>32.74</v>
      </c>
      <c r="K581" s="4" cm="1">
        <f t="array" ref="K581">IFERROR(INDEX(ReferenceCard, MATCH(1, (INDEX(ReferenceCard,,1)=Table1[[#This Row],[SAP No]]) * (INDEX(ReferenceCard,,2)=Table1[[#This Row],[Mould No]]), 0), 7),)</f>
        <v>33</v>
      </c>
      <c r="L581">
        <v>0</v>
      </c>
      <c r="M581">
        <v>0</v>
      </c>
      <c r="N581">
        <v>0</v>
      </c>
      <c r="O581">
        <v>0</v>
      </c>
      <c r="P581">
        <f>Table1[[#This Row],[Shot]]*Table1[[#This Row],[Cav]]</f>
        <v>0</v>
      </c>
      <c r="Q581">
        <v>0</v>
      </c>
      <c r="R581">
        <f>(Table1[[#This Row],[Part Weight (gm)]]*Table1[[#This Row],[Finish Good]])/1000</f>
        <v>0</v>
      </c>
      <c r="S581">
        <v>0</v>
      </c>
      <c r="T581">
        <f>IF(Table1[[#This Row],[Qty Order]]="Sample","-",IF(Table1[[#This Row],[Qty Order]]="RTFN","-",Table1[[#This Row],[Qty Order]]-Table1[[#This Row],[Qty Accumulate]]))</f>
        <v>0</v>
      </c>
      <c r="U581">
        <f>((Table1[[#This Row],[Shift Output]]*Table1[[#This Row],[Part Weight (gm)]])/1000)+Table1[[#This Row],[Reject Startup (kg)]]+Table1[[#This Row],[Reject Purging (kg)]]+Table1[[#This Row],[Reject Preform (kg)]]</f>
        <v>0</v>
      </c>
      <c r="V581" s="37">
        <f>(Table1[[#This Row],[Gross Weight (gm)]]-Table1[[#This Row],[Part Weight (gm)]])*Table1[[#This Row],[Shift Output]]/1000</f>
        <v>0</v>
      </c>
      <c r="W581" s="3">
        <v>0</v>
      </c>
      <c r="X581" s="36" t="e">
        <f>Table1[[#This Row],[Reject Startup (kg)]]/Table1[[#This Row],[Material Used]]</f>
        <v>#DIV/0!</v>
      </c>
      <c r="Y581" s="3">
        <v>0</v>
      </c>
      <c r="Z581" s="36" t="e">
        <f>Table1[[#This Row],[Reject Prod (kg)]]/Table1[[#This Row],[Material Used]]</f>
        <v>#DIV/0!</v>
      </c>
      <c r="AA581" s="4">
        <v>0</v>
      </c>
      <c r="AB581" s="5">
        <v>0</v>
      </c>
      <c r="AC581" s="4" cm="1">
        <f t="array" ref="AC581">IFERROR(INDEX(ReferenceCard, MATCH(1, (INDEX(ReferenceCard,,1)=Table1[[#This Row],[SAP No]]) * (INDEX(ReferenceCard,,2)=Table1[[#This Row],[Mould No]]), 0), 9),)</f>
        <v>32.74</v>
      </c>
      <c r="AD581" s="5">
        <v>12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t="s">
        <v>144</v>
      </c>
      <c r="AL581" s="2"/>
      <c r="AM581" s="2"/>
      <c r="AN581" s="3">
        <v>0</v>
      </c>
      <c r="AO581" s="3">
        <v>0</v>
      </c>
      <c r="AP58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82" spans="1:42" x14ac:dyDescent="0.35">
      <c r="A582" s="1">
        <v>46004</v>
      </c>
      <c r="B582">
        <v>2</v>
      </c>
      <c r="C582" t="s">
        <v>14</v>
      </c>
      <c r="D582" t="str" cm="1">
        <f t="array" ref="D582">IFERROR(INDEX(ReferenceCard, MATCH(1, (INDEX(ReferenceCard,,1)=Table1[[#This Row],[SAP No]]) * (INDEX(ReferenceCard,,2)=Table1[[#This Row],[Mould No]]), 0), 6),)</f>
        <v>PET</v>
      </c>
      <c r="E582">
        <v>324165</v>
      </c>
      <c r="F582">
        <v>0</v>
      </c>
      <c r="G582" t="str" cm="1">
        <f t="array" ref="G582">IFERROR(INDEX(ReferenceCard, MATCH(1, (INDEX(ReferenceCard,,1)=Table1[[#This Row],[SAP No]]) * (INDEX(ReferenceCard,,2)=Table1[[#This Row],[Mould No]]), 0), 3),)</f>
        <v>JJ63-0400-SH-S-WH</v>
      </c>
      <c r="H582">
        <v>0</v>
      </c>
      <c r="I582" cm="1">
        <f t="array" ref="I582">IFERROR(INDEX(ReferenceCard, MATCH(1, (INDEX(ReferenceCard,,1)=Table1[[#This Row],[SAP No]]) * (INDEX(ReferenceCard,,2)=Table1[[#This Row],[Mould No]]), 0), 4),)</f>
        <v>4</v>
      </c>
      <c r="J582" s="4" cm="1">
        <f t="array" ref="J582">IFERROR(INDEX(ReferenceCard, MATCH(1, (INDEX(ReferenceCard,,1)=Table1[[#This Row],[SAP No]]) * (INDEX(ReferenceCard,,2)=Table1[[#This Row],[Mould No]]), 0), 9),)</f>
        <v>32.56</v>
      </c>
      <c r="K582" s="4" cm="1">
        <f t="array" ref="K582">IFERROR(INDEX(ReferenceCard, MATCH(1, (INDEX(ReferenceCard,,1)=Table1[[#This Row],[SAP No]]) * (INDEX(ReferenceCard,,2)=Table1[[#This Row],[Mould No]]), 0), 7),)</f>
        <v>33</v>
      </c>
      <c r="L582">
        <v>0</v>
      </c>
      <c r="M582">
        <v>0</v>
      </c>
      <c r="N582">
        <v>0</v>
      </c>
      <c r="O582">
        <v>0</v>
      </c>
      <c r="P582">
        <f>Table1[[#This Row],[Shot]]*Table1[[#This Row],[Cav]]</f>
        <v>0</v>
      </c>
      <c r="Q582">
        <v>0</v>
      </c>
      <c r="R582">
        <f>(Table1[[#This Row],[Part Weight (gm)]]*Table1[[#This Row],[Finish Good]])/1000</f>
        <v>0</v>
      </c>
      <c r="S582">
        <v>0</v>
      </c>
      <c r="T582">
        <f>IF(Table1[[#This Row],[Qty Order]]="Sample","-",IF(Table1[[#This Row],[Qty Order]]="RTFN","-",Table1[[#This Row],[Qty Order]]-Table1[[#This Row],[Qty Accumulate]]))</f>
        <v>0</v>
      </c>
      <c r="U582">
        <f>((Table1[[#This Row],[Shift Output]]*Table1[[#This Row],[Part Weight (gm)]])/1000)+Table1[[#This Row],[Reject Startup (kg)]]+Table1[[#This Row],[Reject Purging (kg)]]+Table1[[#This Row],[Reject Preform (kg)]]</f>
        <v>0</v>
      </c>
      <c r="V582" s="37">
        <f>(Table1[[#This Row],[Gross Weight (gm)]]-Table1[[#This Row],[Part Weight (gm)]])*Table1[[#This Row],[Shift Output]]/1000</f>
        <v>0</v>
      </c>
      <c r="W582" s="3">
        <v>0</v>
      </c>
      <c r="X582" s="36" t="e">
        <f>Table1[[#This Row],[Reject Startup (kg)]]/Table1[[#This Row],[Material Used]]</f>
        <v>#DIV/0!</v>
      </c>
      <c r="Y582" s="3">
        <v>0</v>
      </c>
      <c r="Z582" s="36" t="e">
        <f>Table1[[#This Row],[Reject Prod (kg)]]/Table1[[#This Row],[Material Used]]</f>
        <v>#DIV/0!</v>
      </c>
      <c r="AA582" s="4">
        <v>0</v>
      </c>
      <c r="AB582" s="5">
        <v>0</v>
      </c>
      <c r="AC582" s="4" cm="1">
        <f t="array" ref="AC582">IFERROR(INDEX(ReferenceCard, MATCH(1, (INDEX(ReferenceCard,,1)=Table1[[#This Row],[SAP No]]) * (INDEX(ReferenceCard,,2)=Table1[[#This Row],[Mould No]]), 0), 9),)</f>
        <v>32.56</v>
      </c>
      <c r="AD582" s="5">
        <v>0</v>
      </c>
      <c r="AE582" s="5">
        <v>0</v>
      </c>
      <c r="AF582" s="5">
        <v>0</v>
      </c>
      <c r="AG582" s="5">
        <v>12</v>
      </c>
      <c r="AH582" s="5">
        <v>0</v>
      </c>
      <c r="AI582" s="5">
        <v>0</v>
      </c>
      <c r="AJ582" s="5">
        <v>0</v>
      </c>
      <c r="AL582" s="2"/>
      <c r="AM582" s="2"/>
      <c r="AN582" s="3">
        <v>0</v>
      </c>
      <c r="AO582" s="3">
        <v>0</v>
      </c>
      <c r="AP58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83" spans="1:42" x14ac:dyDescent="0.35">
      <c r="A583" s="1">
        <v>46004</v>
      </c>
      <c r="B583">
        <v>2</v>
      </c>
      <c r="C583" t="s">
        <v>16</v>
      </c>
      <c r="D583" t="str" cm="1">
        <f t="array" ref="D583">IFERROR(INDEX(ReferenceCard, MATCH(1, (INDEX(ReferenceCard,,1)=Table1[[#This Row],[SAP No]]) * (INDEX(ReferenceCard,,2)=Table1[[#This Row],[Mould No]]), 0), 6),)</f>
        <v>PET</v>
      </c>
      <c r="E583">
        <v>323092</v>
      </c>
      <c r="F583">
        <v>0</v>
      </c>
      <c r="G583" t="str" cm="1">
        <f t="array" ref="G583">IFERROR(INDEX(ReferenceCard, MATCH(1, (INDEX(ReferenceCard,,1)=Table1[[#This Row],[SAP No]]) * (INDEX(ReferenceCard,,2)=Table1[[#This Row],[Mould No]]), 0), 3),)</f>
        <v>BX38-1000-GH-R-CL(GREEN) (ASEM)</v>
      </c>
      <c r="H583">
        <v>0</v>
      </c>
      <c r="I583" cm="1">
        <f t="array" ref="I583">IFERROR(INDEX(ReferenceCard, MATCH(1, (INDEX(ReferenceCard,,1)=Table1[[#This Row],[SAP No]]) * (INDEX(ReferenceCard,,2)=Table1[[#This Row],[Mould No]]), 0), 4),)</f>
        <v>4</v>
      </c>
      <c r="J583" s="4" cm="1">
        <f t="array" ref="J583">IFERROR(INDEX(ReferenceCard, MATCH(1, (INDEX(ReferenceCard,,1)=Table1[[#This Row],[SAP No]]) * (INDEX(ReferenceCard,,2)=Table1[[#This Row],[Mould No]]), 0), 9),)</f>
        <v>48.9</v>
      </c>
      <c r="K583" s="4" cm="1">
        <f t="array" ref="K583">IFERROR(INDEX(ReferenceCard, MATCH(1, (INDEX(ReferenceCard,,1)=Table1[[#This Row],[SAP No]]) * (INDEX(ReferenceCard,,2)=Table1[[#This Row],[Mould No]]), 0), 7),)</f>
        <v>48.9</v>
      </c>
      <c r="L583">
        <v>0</v>
      </c>
      <c r="M583">
        <v>0</v>
      </c>
      <c r="N583">
        <v>0</v>
      </c>
      <c r="O583">
        <v>0</v>
      </c>
      <c r="P583">
        <f>Table1[[#This Row],[Shot]]*Table1[[#This Row],[Cav]]</f>
        <v>0</v>
      </c>
      <c r="Q583">
        <v>0</v>
      </c>
      <c r="R583">
        <f>(Table1[[#This Row],[Part Weight (gm)]]*Table1[[#This Row],[Finish Good]])/1000</f>
        <v>0</v>
      </c>
      <c r="S583">
        <v>0</v>
      </c>
      <c r="T583">
        <f>IF(Table1[[#This Row],[Qty Order]]="Sample","-",IF(Table1[[#This Row],[Qty Order]]="RTFN","-",Table1[[#This Row],[Qty Order]]-Table1[[#This Row],[Qty Accumulate]]))</f>
        <v>0</v>
      </c>
      <c r="U583">
        <f>((Table1[[#This Row],[Shift Output]]*Table1[[#This Row],[Part Weight (gm)]])/1000)+Table1[[#This Row],[Reject Startup (kg)]]+Table1[[#This Row],[Reject Purging (kg)]]+Table1[[#This Row],[Reject Preform (kg)]]</f>
        <v>0</v>
      </c>
      <c r="V583" s="37">
        <f>(Table1[[#This Row],[Gross Weight (gm)]]-Table1[[#This Row],[Part Weight (gm)]])*Table1[[#This Row],[Shift Output]]/1000</f>
        <v>0</v>
      </c>
      <c r="W583" s="3">
        <v>0</v>
      </c>
      <c r="X583" s="36" t="e">
        <f>Table1[[#This Row],[Reject Startup (kg)]]/Table1[[#This Row],[Material Used]]</f>
        <v>#DIV/0!</v>
      </c>
      <c r="Y583" s="3">
        <v>0</v>
      </c>
      <c r="Z583" s="36" t="e">
        <f>Table1[[#This Row],[Reject Prod (kg)]]/Table1[[#This Row],[Material Used]]</f>
        <v>#DIV/0!</v>
      </c>
      <c r="AA583" s="4">
        <v>0</v>
      </c>
      <c r="AB583" s="5">
        <v>0</v>
      </c>
      <c r="AC583" s="4" cm="1">
        <f t="array" ref="AC583">IFERROR(INDEX(ReferenceCard, MATCH(1, (INDEX(ReferenceCard,,1)=Table1[[#This Row],[SAP No]]) * (INDEX(ReferenceCard,,2)=Table1[[#This Row],[Mould No]]), 0), 9),)</f>
        <v>48.9</v>
      </c>
      <c r="AD583" s="5">
        <v>12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t="s">
        <v>144</v>
      </c>
      <c r="AL583" s="2"/>
      <c r="AM583" s="2"/>
      <c r="AN583" s="3">
        <v>0</v>
      </c>
      <c r="AO583" s="3">
        <v>0</v>
      </c>
      <c r="AP58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84" spans="1:42" x14ac:dyDescent="0.35">
      <c r="A584" s="1">
        <v>46004</v>
      </c>
      <c r="B584">
        <v>2</v>
      </c>
      <c r="C584" t="s">
        <v>23</v>
      </c>
      <c r="D584" t="str" cm="1">
        <f t="array" ref="D584">IFERROR(INDEX(ReferenceCard, MATCH(1, (INDEX(ReferenceCard,,1)=Table1[[#This Row],[SAP No]]) * (INDEX(ReferenceCard,,2)=Table1[[#This Row],[Mould No]]), 0), 6),)</f>
        <v>PPSB520Y</v>
      </c>
      <c r="E584">
        <v>586276</v>
      </c>
      <c r="F584">
        <v>2</v>
      </c>
      <c r="G584" t="str" cm="1">
        <f t="array" ref="G584">IFERROR(INDEX(ReferenceCard, MATCH(1, (INDEX(ReferenceCard,,1)=Table1[[#This Row],[SAP No]]) * (INDEX(ReferenceCard,,2)=Table1[[#This Row],[Mould No]]), 0), 3),)</f>
        <v>BC28-0056-D-APH-LEB-604001-MOLD2</v>
      </c>
      <c r="H584">
        <v>0</v>
      </c>
      <c r="I584" cm="1">
        <f t="array" ref="I584">IFERROR(INDEX(ReferenceCard, MATCH(1, (INDEX(ReferenceCard,,1)=Table1[[#This Row],[SAP No]]) * (INDEX(ReferenceCard,,2)=Table1[[#This Row],[Mould No]]), 0), 4),)</f>
        <v>6</v>
      </c>
      <c r="J584" s="4" cm="1">
        <f t="array" ref="J584">IFERROR(INDEX(ReferenceCard, MATCH(1, (INDEX(ReferenceCard,,1)=Table1[[#This Row],[SAP No]]) * (INDEX(ReferenceCard,,2)=Table1[[#This Row],[Mould No]]), 0), 9),)</f>
        <v>12.3</v>
      </c>
      <c r="K584" s="4" cm="1">
        <f t="array" ref="K584">IFERROR(INDEX(ReferenceCard, MATCH(1, (INDEX(ReferenceCard,,1)=Table1[[#This Row],[SAP No]]) * (INDEX(ReferenceCard,,2)=Table1[[#This Row],[Mould No]]), 0), 7),)</f>
        <v>12.3</v>
      </c>
      <c r="L584">
        <v>1694</v>
      </c>
      <c r="M584">
        <v>0</v>
      </c>
      <c r="N584">
        <v>0</v>
      </c>
      <c r="O584">
        <v>0</v>
      </c>
      <c r="P584">
        <f>Table1[[#This Row],[Shot]]*Table1[[#This Row],[Cav]]</f>
        <v>10164</v>
      </c>
      <c r="Q584">
        <v>0</v>
      </c>
      <c r="R584">
        <f>(Table1[[#This Row],[Part Weight (gm)]]*Table1[[#This Row],[Finish Good]])/1000</f>
        <v>0</v>
      </c>
      <c r="S584">
        <v>0</v>
      </c>
      <c r="T584">
        <f>IF(Table1[[#This Row],[Qty Order]]="Sample","-",IF(Table1[[#This Row],[Qty Order]]="RTFN","-",Table1[[#This Row],[Qty Order]]-Table1[[#This Row],[Qty Accumulate]]))</f>
        <v>0</v>
      </c>
      <c r="U584">
        <f>((Table1[[#This Row],[Shift Output]]*Table1[[#This Row],[Part Weight (gm)]])/1000)+Table1[[#This Row],[Reject Startup (kg)]]+Table1[[#This Row],[Reject Purging (kg)]]+Table1[[#This Row],[Reject Preform (kg)]]</f>
        <v>125.01720000000002</v>
      </c>
      <c r="V584" s="37">
        <f>(Table1[[#This Row],[Gross Weight (gm)]]-Table1[[#This Row],[Part Weight (gm)]])*Table1[[#This Row],[Shift Output]]/1000</f>
        <v>0</v>
      </c>
      <c r="W584" s="3">
        <v>0</v>
      </c>
      <c r="X584" s="36">
        <f>Table1[[#This Row],[Reject Startup (kg)]]/Table1[[#This Row],[Material Used]]</f>
        <v>0</v>
      </c>
      <c r="Y584" s="3">
        <v>2</v>
      </c>
      <c r="Z584" s="36">
        <f>Table1[[#This Row],[Reject Prod (kg)]]/Table1[[#This Row],[Material Used]]</f>
        <v>1.599779870289848E-2</v>
      </c>
      <c r="AA584" s="4">
        <v>25.5058288574218</v>
      </c>
      <c r="AB584" s="5">
        <v>12</v>
      </c>
      <c r="AC584" s="4" cm="1">
        <f t="array" ref="AC584">IFERROR(INDEX(ReferenceCard, MATCH(1, (INDEX(ReferenceCard,,1)=Table1[[#This Row],[SAP No]]) * (INDEX(ReferenceCard,,2)=Table1[[#This Row],[Mould No]]), 0), 9),)</f>
        <v>12.3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L584" s="2"/>
      <c r="AM584" s="2"/>
      <c r="AN584" s="3">
        <v>0</v>
      </c>
      <c r="AO584" s="3">
        <v>0</v>
      </c>
      <c r="AP584" s="6">
        <f>((Table1[[#This Row],[Reject Startup (kg)]]+Table1[[#This Row],[Reject Prod (kg)]]+Table1[[#This Row],[Reject Purging (kg)]]+Table1[[#This Row],[Reject Preform (kg)]])/Table1[[#This Row],[Part Weight (gm)]])*1000</f>
        <v>162.60162601626016</v>
      </c>
    </row>
    <row r="585" spans="1:42" x14ac:dyDescent="0.35">
      <c r="A585" s="1">
        <v>46004</v>
      </c>
      <c r="B585">
        <v>2</v>
      </c>
      <c r="C585" t="s">
        <v>25</v>
      </c>
      <c r="D585" t="str" cm="1">
        <f t="array" ref="D585">IFERROR(INDEX(ReferenceCard, MATCH(1, (INDEX(ReferenceCard,,1)=Table1[[#This Row],[SAP No]]) * (INDEX(ReferenceCard,,2)=Table1[[#This Row],[Mould No]]), 0), 6),)</f>
        <v>PET</v>
      </c>
      <c r="E585">
        <v>323133</v>
      </c>
      <c r="F585">
        <v>0</v>
      </c>
      <c r="G585" t="str" cm="1">
        <f t="array" ref="G585">IFERROR(INDEX(ReferenceCard, MATCH(1, (INDEX(ReferenceCard,,1)=Table1[[#This Row],[SAP No]]) * (INDEX(ReferenceCard,,2)=Table1[[#This Row],[Mould No]]), 0), 3),)</f>
        <v>BX38-2000-RH-R-CL(GREEN) (ASEM)</v>
      </c>
      <c r="H585">
        <v>0</v>
      </c>
      <c r="I585" cm="1">
        <f t="array" ref="I585">IFERROR(INDEX(ReferenceCard, MATCH(1, (INDEX(ReferenceCard,,1)=Table1[[#This Row],[SAP No]]) * (INDEX(ReferenceCard,,2)=Table1[[#This Row],[Mould No]]), 0), 4),)</f>
        <v>4</v>
      </c>
      <c r="J585" s="4" cm="1">
        <f t="array" ref="J585">IFERROR(INDEX(ReferenceCard, MATCH(1, (INDEX(ReferenceCard,,1)=Table1[[#This Row],[SAP No]]) * (INDEX(ReferenceCard,,2)=Table1[[#This Row],[Mould No]]), 0), 9),)</f>
        <v>77</v>
      </c>
      <c r="K585" s="4" cm="1">
        <f t="array" ref="K585">IFERROR(INDEX(ReferenceCard, MATCH(1, (INDEX(ReferenceCard,,1)=Table1[[#This Row],[SAP No]]) * (INDEX(ReferenceCard,,2)=Table1[[#This Row],[Mould No]]), 0), 7),)</f>
        <v>77</v>
      </c>
      <c r="L585">
        <v>0</v>
      </c>
      <c r="M585">
        <v>0</v>
      </c>
      <c r="N585">
        <v>0</v>
      </c>
      <c r="O585">
        <v>0</v>
      </c>
      <c r="P585">
        <f>Table1[[#This Row],[Shot]]*Table1[[#This Row],[Cav]]</f>
        <v>0</v>
      </c>
      <c r="Q585">
        <v>0</v>
      </c>
      <c r="R585">
        <f>(Table1[[#This Row],[Part Weight (gm)]]*Table1[[#This Row],[Finish Good]])/1000</f>
        <v>0</v>
      </c>
      <c r="S585">
        <v>0</v>
      </c>
      <c r="T585">
        <f>IF(Table1[[#This Row],[Qty Order]]="Sample","-",IF(Table1[[#This Row],[Qty Order]]="RTFN","-",Table1[[#This Row],[Qty Order]]-Table1[[#This Row],[Qty Accumulate]]))</f>
        <v>0</v>
      </c>
      <c r="U585">
        <f>((Table1[[#This Row],[Shift Output]]*Table1[[#This Row],[Part Weight (gm)]])/1000)+Table1[[#This Row],[Reject Startup (kg)]]+Table1[[#This Row],[Reject Purging (kg)]]+Table1[[#This Row],[Reject Preform (kg)]]</f>
        <v>0</v>
      </c>
      <c r="V585" s="37">
        <f>(Table1[[#This Row],[Gross Weight (gm)]]-Table1[[#This Row],[Part Weight (gm)]])*Table1[[#This Row],[Shift Output]]/1000</f>
        <v>0</v>
      </c>
      <c r="W585" s="3">
        <v>0</v>
      </c>
      <c r="X585" s="36" t="e">
        <f>Table1[[#This Row],[Reject Startup (kg)]]/Table1[[#This Row],[Material Used]]</f>
        <v>#DIV/0!</v>
      </c>
      <c r="Y585" s="3">
        <v>0</v>
      </c>
      <c r="Z585" s="36" t="e">
        <f>Table1[[#This Row],[Reject Prod (kg)]]/Table1[[#This Row],[Material Used]]</f>
        <v>#DIV/0!</v>
      </c>
      <c r="AA585" s="4">
        <v>0</v>
      </c>
      <c r="AB585" s="5">
        <v>0</v>
      </c>
      <c r="AC585" s="4" cm="1">
        <f t="array" ref="AC585">IFERROR(INDEX(ReferenceCard, MATCH(1, (INDEX(ReferenceCard,,1)=Table1[[#This Row],[SAP No]]) * (INDEX(ReferenceCard,,2)=Table1[[#This Row],[Mould No]]), 0), 9),)</f>
        <v>77</v>
      </c>
      <c r="AD585" s="5">
        <v>0</v>
      </c>
      <c r="AE585" s="5">
        <v>0</v>
      </c>
      <c r="AF585" s="5">
        <v>0</v>
      </c>
      <c r="AG585" s="5">
        <v>0</v>
      </c>
      <c r="AH585" s="5">
        <v>12</v>
      </c>
      <c r="AI585" s="5">
        <v>0</v>
      </c>
      <c r="AJ585" s="5">
        <v>0</v>
      </c>
      <c r="AL585" s="2"/>
      <c r="AM585" s="2"/>
      <c r="AN585" s="3">
        <v>0</v>
      </c>
      <c r="AO585" s="3">
        <v>0</v>
      </c>
      <c r="AP58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86" spans="1:42" x14ac:dyDescent="0.35">
      <c r="A586" s="1">
        <v>46004</v>
      </c>
      <c r="B586">
        <v>2</v>
      </c>
      <c r="C586" t="s">
        <v>27</v>
      </c>
      <c r="D586" t="str" cm="1">
        <f t="array" ref="D586">IFERROR(INDEX(ReferenceCard, MATCH(1, (INDEX(ReferenceCard,,1)=Table1[[#This Row],[SAP No]]) * (INDEX(ReferenceCard,,2)=Table1[[#This Row],[Mould No]]), 0), 6),)</f>
        <v>PPSB520Y</v>
      </c>
      <c r="E586">
        <v>552181</v>
      </c>
      <c r="F586">
        <v>4</v>
      </c>
      <c r="G586" t="str" cm="1">
        <f t="array" ref="G586">IFERROR(INDEX(ReferenceCard, MATCH(1, (INDEX(ReferenceCard,,1)=Table1[[#This Row],[SAP No]]) * (INDEX(ReferenceCard,,2)=Table1[[#This Row],[Mould No]]), 0), 3),)</f>
        <v>BC28-0090-D-APH-5180-3538-PP-6 NOTCHES-MOLD4</v>
      </c>
      <c r="H586">
        <v>0</v>
      </c>
      <c r="I586" cm="1">
        <f t="array" ref="I586">IFERROR(INDEX(ReferenceCard, MATCH(1, (INDEX(ReferenceCard,,1)=Table1[[#This Row],[SAP No]]) * (INDEX(ReferenceCard,,2)=Table1[[#This Row],[Mould No]]), 0), 4),)</f>
        <v>6</v>
      </c>
      <c r="J586" s="4" cm="1">
        <f t="array" ref="J586">IFERROR(INDEX(ReferenceCard, MATCH(1, (INDEX(ReferenceCard,,1)=Table1[[#This Row],[SAP No]]) * (INDEX(ReferenceCard,,2)=Table1[[#This Row],[Mould No]]), 0), 9),)</f>
        <v>18.8</v>
      </c>
      <c r="K586" s="4" cm="1">
        <f t="array" ref="K586">IFERROR(INDEX(ReferenceCard, MATCH(1, (INDEX(ReferenceCard,,1)=Table1[[#This Row],[SAP No]]) * (INDEX(ReferenceCard,,2)=Table1[[#This Row],[Mould No]]), 0), 7),)</f>
        <v>18.8</v>
      </c>
      <c r="L586">
        <v>39</v>
      </c>
      <c r="M586">
        <v>0</v>
      </c>
      <c r="N586">
        <v>0</v>
      </c>
      <c r="O586">
        <v>0</v>
      </c>
      <c r="P586">
        <f>Table1[[#This Row],[Shot]]*Table1[[#This Row],[Cav]]</f>
        <v>234</v>
      </c>
      <c r="Q586">
        <v>0</v>
      </c>
      <c r="R586">
        <f>(Table1[[#This Row],[Part Weight (gm)]]*Table1[[#This Row],[Finish Good]])/1000</f>
        <v>0</v>
      </c>
      <c r="S586">
        <v>0</v>
      </c>
      <c r="T586">
        <f>IF(Table1[[#This Row],[Qty Order]]="Sample","-",IF(Table1[[#This Row],[Qty Order]]="RTFN","-",Table1[[#This Row],[Qty Order]]-Table1[[#This Row],[Qty Accumulate]]))</f>
        <v>0</v>
      </c>
      <c r="U586">
        <f>((Table1[[#This Row],[Shift Output]]*Table1[[#This Row],[Part Weight (gm)]])/1000)+Table1[[#This Row],[Reject Startup (kg)]]+Table1[[#This Row],[Reject Purging (kg)]]+Table1[[#This Row],[Reject Preform (kg)]]</f>
        <v>10.3992</v>
      </c>
      <c r="V586" s="37">
        <f>(Table1[[#This Row],[Gross Weight (gm)]]-Table1[[#This Row],[Part Weight (gm)]])*Table1[[#This Row],[Shift Output]]/1000</f>
        <v>0</v>
      </c>
      <c r="W586" s="3">
        <v>6</v>
      </c>
      <c r="X586" s="36">
        <f>Table1[[#This Row],[Reject Startup (kg)]]/Table1[[#This Row],[Material Used]]</f>
        <v>0.57696745903531044</v>
      </c>
      <c r="Y586" s="3">
        <v>0</v>
      </c>
      <c r="Z586" s="36">
        <f>Table1[[#This Row],[Reject Prod (kg)]]/Table1[[#This Row],[Material Used]]</f>
        <v>0</v>
      </c>
      <c r="AA586" s="4">
        <v>0</v>
      </c>
      <c r="AB586" s="5">
        <v>0</v>
      </c>
      <c r="AC586" s="4" cm="1">
        <f t="array" ref="AC586">IFERROR(INDEX(ReferenceCard, MATCH(1, (INDEX(ReferenceCard,,1)=Table1[[#This Row],[SAP No]]) * (INDEX(ReferenceCard,,2)=Table1[[#This Row],[Mould No]]), 0), 9),)</f>
        <v>18.8</v>
      </c>
      <c r="AD586" s="5">
        <v>0</v>
      </c>
      <c r="AE586" s="5">
        <v>0</v>
      </c>
      <c r="AF586" s="5">
        <v>0</v>
      </c>
      <c r="AG586" s="5">
        <v>0</v>
      </c>
      <c r="AH586" s="5">
        <v>12</v>
      </c>
      <c r="AI586" s="5">
        <v>0</v>
      </c>
      <c r="AJ586" s="5">
        <v>0</v>
      </c>
      <c r="AL586" s="2"/>
      <c r="AM586" s="2"/>
      <c r="AN586" s="3">
        <v>0</v>
      </c>
      <c r="AO586" s="3">
        <v>0</v>
      </c>
      <c r="AP586" s="6">
        <f>((Table1[[#This Row],[Reject Startup (kg)]]+Table1[[#This Row],[Reject Prod (kg)]]+Table1[[#This Row],[Reject Purging (kg)]]+Table1[[#This Row],[Reject Preform (kg)]])/Table1[[#This Row],[Part Weight (gm)]])*1000</f>
        <v>319.14893617021272</v>
      </c>
    </row>
    <row r="587" spans="1:42" x14ac:dyDescent="0.35">
      <c r="A587" s="1">
        <v>46004</v>
      </c>
      <c r="B587">
        <v>2</v>
      </c>
      <c r="C587" t="s">
        <v>29</v>
      </c>
      <c r="D587" t="str" cm="1">
        <f t="array" ref="D587">IFERROR(INDEX(ReferenceCard, MATCH(1, (INDEX(ReferenceCard,,1)=Table1[[#This Row],[SAP No]]) * (INDEX(ReferenceCard,,2)=Table1[[#This Row],[Mould No]]), 0), 6),)</f>
        <v>PET</v>
      </c>
      <c r="E587">
        <v>620599</v>
      </c>
      <c r="F587">
        <v>0</v>
      </c>
      <c r="G587" t="str" cm="1">
        <f t="array" ref="G587">IFERROR(INDEX(ReferenceCard, MATCH(1, (INDEX(ReferenceCard,,1)=Table1[[#This Row],[SAP No]]) * (INDEX(ReferenceCard,,2)=Table1[[#This Row],[Mould No]]), 0), 3),)</f>
        <v>BC28-0750-K4-R-CL (55g)</v>
      </c>
      <c r="H587">
        <v>0</v>
      </c>
      <c r="I587" cm="1">
        <f t="array" ref="I587">IFERROR(INDEX(ReferenceCard, MATCH(1, (INDEX(ReferenceCard,,1)=Table1[[#This Row],[SAP No]]) * (INDEX(ReferenceCard,,2)=Table1[[#This Row],[Mould No]]), 0), 4),)</f>
        <v>4</v>
      </c>
      <c r="J587" s="4" cm="1">
        <f t="array" ref="J587">IFERROR(INDEX(ReferenceCard, MATCH(1, (INDEX(ReferenceCard,,1)=Table1[[#This Row],[SAP No]]) * (INDEX(ReferenceCard,,2)=Table1[[#This Row],[Mould No]]), 0), 9),)</f>
        <v>55</v>
      </c>
      <c r="K587" s="4" cm="1">
        <f t="array" ref="K587">IFERROR(INDEX(ReferenceCard, MATCH(1, (INDEX(ReferenceCard,,1)=Table1[[#This Row],[SAP No]]) * (INDEX(ReferenceCard,,2)=Table1[[#This Row],[Mould No]]), 0), 7),)</f>
        <v>55</v>
      </c>
      <c r="L587">
        <v>0</v>
      </c>
      <c r="M587">
        <v>0</v>
      </c>
      <c r="N587">
        <v>0</v>
      </c>
      <c r="O587">
        <v>0</v>
      </c>
      <c r="P587">
        <f>Table1[[#This Row],[Shot]]*Table1[[#This Row],[Cav]]</f>
        <v>0</v>
      </c>
      <c r="Q587">
        <v>0</v>
      </c>
      <c r="R587">
        <f>(Table1[[#This Row],[Part Weight (gm)]]*Table1[[#This Row],[Finish Good]])/1000</f>
        <v>0</v>
      </c>
      <c r="S587">
        <v>0</v>
      </c>
      <c r="T587">
        <f>IF(Table1[[#This Row],[Qty Order]]="Sample","-",IF(Table1[[#This Row],[Qty Order]]="RTFN","-",Table1[[#This Row],[Qty Order]]-Table1[[#This Row],[Qty Accumulate]]))</f>
        <v>0</v>
      </c>
      <c r="U587">
        <f>((Table1[[#This Row],[Shift Output]]*Table1[[#This Row],[Part Weight (gm)]])/1000)+Table1[[#This Row],[Reject Startup (kg)]]+Table1[[#This Row],[Reject Purging (kg)]]+Table1[[#This Row],[Reject Preform (kg)]]</f>
        <v>0</v>
      </c>
      <c r="V587" s="37">
        <f>(Table1[[#This Row],[Gross Weight (gm)]]-Table1[[#This Row],[Part Weight (gm)]])*Table1[[#This Row],[Shift Output]]/1000</f>
        <v>0</v>
      </c>
      <c r="W587" s="3">
        <v>0</v>
      </c>
      <c r="X587" s="36" t="e">
        <f>Table1[[#This Row],[Reject Startup (kg)]]/Table1[[#This Row],[Material Used]]</f>
        <v>#DIV/0!</v>
      </c>
      <c r="Y587" s="3">
        <v>0</v>
      </c>
      <c r="Z587" s="36" t="e">
        <f>Table1[[#This Row],[Reject Prod (kg)]]/Table1[[#This Row],[Material Used]]</f>
        <v>#DIV/0!</v>
      </c>
      <c r="AA587" s="4">
        <v>0</v>
      </c>
      <c r="AB587" s="5">
        <v>0</v>
      </c>
      <c r="AC587" s="4" cm="1">
        <f t="array" ref="AC587">IFERROR(INDEX(ReferenceCard, MATCH(1, (INDEX(ReferenceCard,,1)=Table1[[#This Row],[SAP No]]) * (INDEX(ReferenceCard,,2)=Table1[[#This Row],[Mould No]]), 0), 9),)</f>
        <v>55</v>
      </c>
      <c r="AD587" s="5">
        <v>0</v>
      </c>
      <c r="AE587" s="5">
        <v>0</v>
      </c>
      <c r="AF587" s="5">
        <v>0</v>
      </c>
      <c r="AG587" s="5">
        <v>0</v>
      </c>
      <c r="AH587" s="5">
        <v>12</v>
      </c>
      <c r="AI587" s="5">
        <v>0</v>
      </c>
      <c r="AJ587" s="5">
        <v>0</v>
      </c>
      <c r="AL587" s="2"/>
      <c r="AM587" s="2"/>
      <c r="AN587" s="3">
        <v>0</v>
      </c>
      <c r="AO587" s="3">
        <v>0</v>
      </c>
      <c r="AP58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88" spans="1:42" x14ac:dyDescent="0.35">
      <c r="A588" s="1">
        <v>46004</v>
      </c>
      <c r="B588">
        <v>2</v>
      </c>
      <c r="C588" t="s">
        <v>31</v>
      </c>
      <c r="D588" t="str" cm="1">
        <f t="array" ref="D588">IFERROR(INDEX(ReferenceCard, MATCH(1, (INDEX(ReferenceCard,,1)=Table1[[#This Row],[SAP No]]) * (INDEX(ReferenceCard,,2)=Table1[[#This Row],[Mould No]]), 0), 6),)</f>
        <v>PPSB520Y</v>
      </c>
      <c r="E588">
        <v>586276</v>
      </c>
      <c r="F588">
        <v>4</v>
      </c>
      <c r="G588" t="str" cm="1">
        <f t="array" ref="G588">IFERROR(INDEX(ReferenceCard, MATCH(1, (INDEX(ReferenceCard,,1)=Table1[[#This Row],[SAP No]]) * (INDEX(ReferenceCard,,2)=Table1[[#This Row],[Mould No]]), 0), 3),)</f>
        <v>BC28-0056-D-APH-LEB-604001-MOLD4</v>
      </c>
      <c r="H588">
        <v>0</v>
      </c>
      <c r="I588" cm="1">
        <f t="array" ref="I588">IFERROR(INDEX(ReferenceCard, MATCH(1, (INDEX(ReferenceCard,,1)=Table1[[#This Row],[SAP No]]) * (INDEX(ReferenceCard,,2)=Table1[[#This Row],[Mould No]]), 0), 4),)</f>
        <v>6</v>
      </c>
      <c r="J588" s="4" cm="1">
        <f t="array" ref="J588">IFERROR(INDEX(ReferenceCard, MATCH(1, (INDEX(ReferenceCard,,1)=Table1[[#This Row],[SAP No]]) * (INDEX(ReferenceCard,,2)=Table1[[#This Row],[Mould No]]), 0), 9),)</f>
        <v>12.3</v>
      </c>
      <c r="K588" s="4" cm="1">
        <f t="array" ref="K588">IFERROR(INDEX(ReferenceCard, MATCH(1, (INDEX(ReferenceCard,,1)=Table1[[#This Row],[SAP No]]) * (INDEX(ReferenceCard,,2)=Table1[[#This Row],[Mould No]]), 0), 7),)</f>
        <v>12.3</v>
      </c>
      <c r="L588">
        <v>1651</v>
      </c>
      <c r="M588">
        <v>0</v>
      </c>
      <c r="N588">
        <v>0</v>
      </c>
      <c r="O588">
        <v>0</v>
      </c>
      <c r="P588">
        <f>Table1[[#This Row],[Shot]]*Table1[[#This Row],[Cav]]</f>
        <v>9906</v>
      </c>
      <c r="Q588">
        <v>0</v>
      </c>
      <c r="R588">
        <f>(Table1[[#This Row],[Part Weight (gm)]]*Table1[[#This Row],[Finish Good]])/1000</f>
        <v>0</v>
      </c>
      <c r="S588">
        <v>0</v>
      </c>
      <c r="T588">
        <f>IF(Table1[[#This Row],[Qty Order]]="Sample","-",IF(Table1[[#This Row],[Qty Order]]="RTFN","-",Table1[[#This Row],[Qty Order]]-Table1[[#This Row],[Qty Accumulate]]))</f>
        <v>0</v>
      </c>
      <c r="U588">
        <f>((Table1[[#This Row],[Shift Output]]*Table1[[#This Row],[Part Weight (gm)]])/1000)+Table1[[#This Row],[Reject Startup (kg)]]+Table1[[#This Row],[Reject Purging (kg)]]+Table1[[#This Row],[Reject Preform (kg)]]</f>
        <v>121.8438</v>
      </c>
      <c r="V588" s="37">
        <f>(Table1[[#This Row],[Gross Weight (gm)]]-Table1[[#This Row],[Part Weight (gm)]])*Table1[[#This Row],[Shift Output]]/1000</f>
        <v>0</v>
      </c>
      <c r="W588" s="3">
        <v>0</v>
      </c>
      <c r="X588" s="36">
        <f>Table1[[#This Row],[Reject Startup (kg)]]/Table1[[#This Row],[Material Used]]</f>
        <v>0</v>
      </c>
      <c r="Y588" s="3">
        <v>3</v>
      </c>
      <c r="Z588" s="36">
        <f>Table1[[#This Row],[Reject Prod (kg)]]/Table1[[#This Row],[Material Used]]</f>
        <v>2.4621687767453083E-2</v>
      </c>
      <c r="AA588" s="4">
        <v>26.1589241027832</v>
      </c>
      <c r="AB588" s="5">
        <v>12</v>
      </c>
      <c r="AC588" s="4" cm="1">
        <f t="array" ref="AC588">IFERROR(INDEX(ReferenceCard, MATCH(1, (INDEX(ReferenceCard,,1)=Table1[[#This Row],[SAP No]]) * (INDEX(ReferenceCard,,2)=Table1[[#This Row],[Mould No]]), 0), 9),)</f>
        <v>12.3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L588" s="2"/>
      <c r="AM588" s="2"/>
      <c r="AN588" s="3">
        <v>0</v>
      </c>
      <c r="AO588" s="3">
        <v>0</v>
      </c>
      <c r="AP588" s="6">
        <f>((Table1[[#This Row],[Reject Startup (kg)]]+Table1[[#This Row],[Reject Prod (kg)]]+Table1[[#This Row],[Reject Purging (kg)]]+Table1[[#This Row],[Reject Preform (kg)]])/Table1[[#This Row],[Part Weight (gm)]])*1000</f>
        <v>243.90243902439025</v>
      </c>
    </row>
    <row r="589" spans="1:42" x14ac:dyDescent="0.35">
      <c r="A589" s="1">
        <v>46004</v>
      </c>
      <c r="B589">
        <v>2</v>
      </c>
      <c r="C589" t="s">
        <v>33</v>
      </c>
      <c r="D589" t="str" cm="1">
        <f t="array" ref="D589">IFERROR(INDEX(ReferenceCard, MATCH(1, (INDEX(ReferenceCard,,1)=Table1[[#This Row],[SAP No]]) * (INDEX(ReferenceCard,,2)=Table1[[#This Row],[Mould No]]), 0), 6),)</f>
        <v>PET</v>
      </c>
      <c r="E589">
        <v>541381</v>
      </c>
      <c r="F589">
        <v>0</v>
      </c>
      <c r="G589" t="str" cm="1">
        <f t="array" ref="G589">IFERROR(INDEX(ReferenceCard, MATCH(1, (INDEX(ReferenceCard,,1)=Table1[[#This Row],[SAP No]]) * (INDEX(ReferenceCard,,2)=Table1[[#This Row],[Mould No]]), 0), 3),)</f>
        <v>BC28-1200-K-R-CL</v>
      </c>
      <c r="H589">
        <v>0</v>
      </c>
      <c r="I589" cm="1">
        <f t="array" ref="I589">IFERROR(INDEX(ReferenceCard, MATCH(1, (INDEX(ReferenceCard,,1)=Table1[[#This Row],[SAP No]]) * (INDEX(ReferenceCard,,2)=Table1[[#This Row],[Mould No]]), 0), 4),)</f>
        <v>4</v>
      </c>
      <c r="J589" s="4" cm="1">
        <f t="array" ref="J589">IFERROR(INDEX(ReferenceCard, MATCH(1, (INDEX(ReferenceCard,,1)=Table1[[#This Row],[SAP No]]) * (INDEX(ReferenceCard,,2)=Table1[[#This Row],[Mould No]]), 0), 9),)</f>
        <v>55</v>
      </c>
      <c r="K589" s="4" cm="1">
        <f t="array" ref="K589">IFERROR(INDEX(ReferenceCard, MATCH(1, (INDEX(ReferenceCard,,1)=Table1[[#This Row],[SAP No]]) * (INDEX(ReferenceCard,,2)=Table1[[#This Row],[Mould No]]), 0), 7),)</f>
        <v>55</v>
      </c>
      <c r="L589">
        <v>0</v>
      </c>
      <c r="M589">
        <v>0</v>
      </c>
      <c r="N589">
        <v>0</v>
      </c>
      <c r="O589">
        <v>0</v>
      </c>
      <c r="P589">
        <f>Table1[[#This Row],[Shot]]*Table1[[#This Row],[Cav]]</f>
        <v>0</v>
      </c>
      <c r="Q589">
        <v>0</v>
      </c>
      <c r="R589">
        <f>(Table1[[#This Row],[Part Weight (gm)]]*Table1[[#This Row],[Finish Good]])/1000</f>
        <v>0</v>
      </c>
      <c r="S589">
        <v>0</v>
      </c>
      <c r="T589">
        <f>IF(Table1[[#This Row],[Qty Order]]="Sample","-",IF(Table1[[#This Row],[Qty Order]]="RTFN","-",Table1[[#This Row],[Qty Order]]-Table1[[#This Row],[Qty Accumulate]]))</f>
        <v>0</v>
      </c>
      <c r="U589">
        <f>((Table1[[#This Row],[Shift Output]]*Table1[[#This Row],[Part Weight (gm)]])/1000)+Table1[[#This Row],[Reject Startup (kg)]]+Table1[[#This Row],[Reject Purging (kg)]]+Table1[[#This Row],[Reject Preform (kg)]]</f>
        <v>0</v>
      </c>
      <c r="V589" s="37">
        <f>(Table1[[#This Row],[Gross Weight (gm)]]-Table1[[#This Row],[Part Weight (gm)]])*Table1[[#This Row],[Shift Output]]/1000</f>
        <v>0</v>
      </c>
      <c r="W589" s="3">
        <v>0</v>
      </c>
      <c r="X589" s="36" t="e">
        <f>Table1[[#This Row],[Reject Startup (kg)]]/Table1[[#This Row],[Material Used]]</f>
        <v>#DIV/0!</v>
      </c>
      <c r="Y589" s="3">
        <v>0</v>
      </c>
      <c r="Z589" s="36" t="e">
        <f>Table1[[#This Row],[Reject Prod (kg)]]/Table1[[#This Row],[Material Used]]</f>
        <v>#DIV/0!</v>
      </c>
      <c r="AA589" s="4">
        <v>0</v>
      </c>
      <c r="AB589" s="5">
        <v>0</v>
      </c>
      <c r="AC589" s="4" cm="1">
        <f t="array" ref="AC589">IFERROR(INDEX(ReferenceCard, MATCH(1, (INDEX(ReferenceCard,,1)=Table1[[#This Row],[SAP No]]) * (INDEX(ReferenceCard,,2)=Table1[[#This Row],[Mould No]]), 0), 9),)</f>
        <v>55</v>
      </c>
      <c r="AD589" s="5">
        <v>12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t="s">
        <v>144</v>
      </c>
      <c r="AL589" s="2"/>
      <c r="AM589" s="2"/>
      <c r="AN589" s="3">
        <v>0</v>
      </c>
      <c r="AO589" s="3">
        <v>0</v>
      </c>
      <c r="AP58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90" spans="1:42" x14ac:dyDescent="0.35">
      <c r="A590" s="1">
        <v>46004</v>
      </c>
      <c r="B590">
        <v>2</v>
      </c>
      <c r="C590" t="s">
        <v>35</v>
      </c>
      <c r="D590" t="str" cm="1">
        <f t="array" ref="D590">IFERROR(INDEX(ReferenceCard, MATCH(1, (INDEX(ReferenceCard,,1)=Table1[[#This Row],[SAP No]]) * (INDEX(ReferenceCard,,2)=Table1[[#This Row],[Mould No]]), 0), 6),)</f>
        <v>PPSB520Y</v>
      </c>
      <c r="E590">
        <v>552181</v>
      </c>
      <c r="F590">
        <v>1</v>
      </c>
      <c r="G590" t="str" cm="1">
        <f t="array" ref="G590">IFERROR(INDEX(ReferenceCard, MATCH(1, (INDEX(ReferenceCard,,1)=Table1[[#This Row],[SAP No]]) * (INDEX(ReferenceCard,,2)=Table1[[#This Row],[Mould No]]), 0), 3),)</f>
        <v>BC28-0090-D-APH-5180-3538-PP-6 NOTCHES-MOLD1</v>
      </c>
      <c r="H590">
        <v>0</v>
      </c>
      <c r="I590" cm="1">
        <f t="array" ref="I590">IFERROR(INDEX(ReferenceCard, MATCH(1, (INDEX(ReferenceCard,,1)=Table1[[#This Row],[SAP No]]) * (INDEX(ReferenceCard,,2)=Table1[[#This Row],[Mould No]]), 0), 4),)</f>
        <v>6</v>
      </c>
      <c r="J590" s="4" cm="1">
        <f t="array" ref="J590">IFERROR(INDEX(ReferenceCard, MATCH(1, (INDEX(ReferenceCard,,1)=Table1[[#This Row],[SAP No]]) * (INDEX(ReferenceCard,,2)=Table1[[#This Row],[Mould No]]), 0), 9),)</f>
        <v>18.8</v>
      </c>
      <c r="K590" s="4" cm="1">
        <f t="array" ref="K590">IFERROR(INDEX(ReferenceCard, MATCH(1, (INDEX(ReferenceCard,,1)=Table1[[#This Row],[SAP No]]) * (INDEX(ReferenceCard,,2)=Table1[[#This Row],[Mould No]]), 0), 7),)</f>
        <v>18.8</v>
      </c>
      <c r="L590">
        <v>1381</v>
      </c>
      <c r="M590">
        <v>0</v>
      </c>
      <c r="N590">
        <v>0</v>
      </c>
      <c r="O590">
        <v>0</v>
      </c>
      <c r="P590">
        <f>Table1[[#This Row],[Shot]]*Table1[[#This Row],[Cav]]</f>
        <v>8286</v>
      </c>
      <c r="Q590">
        <v>0</v>
      </c>
      <c r="R590">
        <f>(Table1[[#This Row],[Part Weight (gm)]]*Table1[[#This Row],[Finish Good]])/1000</f>
        <v>0</v>
      </c>
      <c r="S590">
        <v>0</v>
      </c>
      <c r="T590">
        <f>IF(Table1[[#This Row],[Qty Order]]="Sample","-",IF(Table1[[#This Row],[Qty Order]]="RTFN","-",Table1[[#This Row],[Qty Order]]-Table1[[#This Row],[Qty Accumulate]]))</f>
        <v>0</v>
      </c>
      <c r="U590">
        <f>((Table1[[#This Row],[Shift Output]]*Table1[[#This Row],[Part Weight (gm)]])/1000)+Table1[[#This Row],[Reject Startup (kg)]]+Table1[[#This Row],[Reject Purging (kg)]]+Table1[[#This Row],[Reject Preform (kg)]]</f>
        <v>155.77680000000001</v>
      </c>
      <c r="V590" s="37">
        <f>(Table1[[#This Row],[Gross Weight (gm)]]-Table1[[#This Row],[Part Weight (gm)]])*Table1[[#This Row],[Shift Output]]/1000</f>
        <v>0</v>
      </c>
      <c r="W590" s="3">
        <v>0</v>
      </c>
      <c r="X590" s="36">
        <f>Table1[[#This Row],[Reject Startup (kg)]]/Table1[[#This Row],[Material Used]]</f>
        <v>0</v>
      </c>
      <c r="Y590" s="3">
        <v>4</v>
      </c>
      <c r="Z590" s="36">
        <f>Table1[[#This Row],[Reject Prod (kg)]]/Table1[[#This Row],[Material Used]]</f>
        <v>2.5677764596525283E-2</v>
      </c>
      <c r="AA590" s="4">
        <v>31.2670993804931</v>
      </c>
      <c r="AB590" s="5">
        <v>12</v>
      </c>
      <c r="AC590" s="4" cm="1">
        <f t="array" ref="AC590">IFERROR(INDEX(ReferenceCard, MATCH(1, (INDEX(ReferenceCard,,1)=Table1[[#This Row],[SAP No]]) * (INDEX(ReferenceCard,,2)=Table1[[#This Row],[Mould No]]), 0), 9),)</f>
        <v>18.8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L590" s="2"/>
      <c r="AM590" s="2"/>
      <c r="AN590" s="3">
        <v>0</v>
      </c>
      <c r="AO590" s="3">
        <v>0</v>
      </c>
      <c r="AP590" s="6">
        <f>((Table1[[#This Row],[Reject Startup (kg)]]+Table1[[#This Row],[Reject Prod (kg)]]+Table1[[#This Row],[Reject Purging (kg)]]+Table1[[#This Row],[Reject Preform (kg)]])/Table1[[#This Row],[Part Weight (gm)]])*1000</f>
        <v>212.7659574468085</v>
      </c>
    </row>
    <row r="591" spans="1:42" x14ac:dyDescent="0.35">
      <c r="A591" s="1">
        <v>46004</v>
      </c>
      <c r="B591">
        <v>2</v>
      </c>
      <c r="C591" t="s">
        <v>18</v>
      </c>
      <c r="D591" t="str" cm="1">
        <f t="array" ref="D591">IFERROR(INDEX(ReferenceCard, MATCH(1, (INDEX(ReferenceCard,,1)=Table1[[#This Row],[SAP No]]) * (INDEX(ReferenceCard,,2)=Table1[[#This Row],[Mould No]]), 0), 6),)</f>
        <v>PPSB520Y</v>
      </c>
      <c r="E591">
        <v>555979</v>
      </c>
      <c r="F591">
        <v>4</v>
      </c>
      <c r="G591" t="str" cm="1">
        <f t="array" ref="G591">IFERROR(INDEX(ReferenceCard, MATCH(1, (INDEX(ReferenceCard,,1)=Table1[[#This Row],[SAP No]]) * (INDEX(ReferenceCard,,2)=Table1[[#This Row],[Mould No]]), 0), 3),)</f>
        <v>BC28-0170-D-APH-5180-3539-PP-6 NOTCHES-MOLD4</v>
      </c>
      <c r="H591">
        <v>0</v>
      </c>
      <c r="I591" cm="1">
        <f t="array" ref="I591">IFERROR(INDEX(ReferenceCard, MATCH(1, (INDEX(ReferenceCard,,1)=Table1[[#This Row],[SAP No]]) * (INDEX(ReferenceCard,,2)=Table1[[#This Row],[Mould No]]), 0), 4),)</f>
        <v>6</v>
      </c>
      <c r="J591" s="4" cm="1">
        <f t="array" ref="J591">IFERROR(INDEX(ReferenceCard, MATCH(1, (INDEX(ReferenceCard,,1)=Table1[[#This Row],[SAP No]]) * (INDEX(ReferenceCard,,2)=Table1[[#This Row],[Mould No]]), 0), 9),)</f>
        <v>28</v>
      </c>
      <c r="K591" s="4" cm="1">
        <f t="array" ref="K591">IFERROR(INDEX(ReferenceCard, MATCH(1, (INDEX(ReferenceCard,,1)=Table1[[#This Row],[SAP No]]) * (INDEX(ReferenceCard,,2)=Table1[[#This Row],[Mould No]]), 0), 7),)</f>
        <v>28</v>
      </c>
      <c r="L591">
        <v>998</v>
      </c>
      <c r="M591">
        <v>0</v>
      </c>
      <c r="N591">
        <v>0</v>
      </c>
      <c r="O591">
        <v>0</v>
      </c>
      <c r="P591">
        <f>Table1[[#This Row],[Shot]]*Table1[[#This Row],[Cav]]</f>
        <v>5988</v>
      </c>
      <c r="Q591">
        <v>0</v>
      </c>
      <c r="R591">
        <f>(Table1[[#This Row],[Part Weight (gm)]]*Table1[[#This Row],[Finish Good]])/1000</f>
        <v>0</v>
      </c>
      <c r="S591">
        <v>0</v>
      </c>
      <c r="T591">
        <f>IF(Table1[[#This Row],[Qty Order]]="Sample","-",IF(Table1[[#This Row],[Qty Order]]="RTFN","-",Table1[[#This Row],[Qty Order]]-Table1[[#This Row],[Qty Accumulate]]))</f>
        <v>0</v>
      </c>
      <c r="U591">
        <f>((Table1[[#This Row],[Shift Output]]*Table1[[#This Row],[Part Weight (gm)]])/1000)+Table1[[#This Row],[Reject Startup (kg)]]+Table1[[#This Row],[Reject Purging (kg)]]+Table1[[#This Row],[Reject Preform (kg)]]</f>
        <v>167.66399999999999</v>
      </c>
      <c r="V591" s="37">
        <f>(Table1[[#This Row],[Gross Weight (gm)]]-Table1[[#This Row],[Part Weight (gm)]])*Table1[[#This Row],[Shift Output]]/1000</f>
        <v>0</v>
      </c>
      <c r="W591" s="3">
        <v>0</v>
      </c>
      <c r="X591" s="36">
        <f>Table1[[#This Row],[Reject Startup (kg)]]/Table1[[#This Row],[Material Used]]</f>
        <v>0</v>
      </c>
      <c r="Y591" s="3">
        <v>3</v>
      </c>
      <c r="Z591" s="36">
        <f>Table1[[#This Row],[Reject Prod (kg)]]/Table1[[#This Row],[Material Used]]</f>
        <v>1.7892928714572001E-2</v>
      </c>
      <c r="AA591" s="4">
        <v>43.5</v>
      </c>
      <c r="AB591" s="5">
        <v>12</v>
      </c>
      <c r="AC591" s="4" cm="1">
        <f t="array" ref="AC591">IFERROR(INDEX(ReferenceCard, MATCH(1, (INDEX(ReferenceCard,,1)=Table1[[#This Row],[SAP No]]) * (INDEX(ReferenceCard,,2)=Table1[[#This Row],[Mould No]]), 0), 9),)</f>
        <v>28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L591" s="2"/>
      <c r="AM591" s="2"/>
      <c r="AN591" s="3">
        <v>0</v>
      </c>
      <c r="AO591" s="3">
        <v>0</v>
      </c>
      <c r="AP591" s="6">
        <f>((Table1[[#This Row],[Reject Startup (kg)]]+Table1[[#This Row],[Reject Prod (kg)]]+Table1[[#This Row],[Reject Purging (kg)]]+Table1[[#This Row],[Reject Preform (kg)]])/Table1[[#This Row],[Part Weight (gm)]])*1000</f>
        <v>107.14285714285714</v>
      </c>
    </row>
    <row r="592" spans="1:42" x14ac:dyDescent="0.35">
      <c r="A592" s="1">
        <v>46004</v>
      </c>
      <c r="B592">
        <v>1</v>
      </c>
      <c r="C592" t="s">
        <v>25</v>
      </c>
      <c r="D592" t="str" cm="1">
        <f t="array" ref="D592">IFERROR(INDEX(ReferenceCard, MATCH(1, (INDEX(ReferenceCard,,1)=Table1[[#This Row],[SAP No]]) * (INDEX(ReferenceCard,,2)=Table1[[#This Row],[Mould No]]), 0), 6),)</f>
        <v>PET</v>
      </c>
      <c r="E592">
        <v>323133</v>
      </c>
      <c r="F592">
        <v>0</v>
      </c>
      <c r="G592" t="str" cm="1">
        <f t="array" ref="G592">IFERROR(INDEX(ReferenceCard, MATCH(1, (INDEX(ReferenceCard,,1)=Table1[[#This Row],[SAP No]]) * (INDEX(ReferenceCard,,2)=Table1[[#This Row],[Mould No]]), 0), 3),)</f>
        <v>BX38-2000-RH-R-CL(GREEN) (ASEM)</v>
      </c>
      <c r="H592">
        <v>0</v>
      </c>
      <c r="I592" cm="1">
        <f t="array" ref="I592">IFERROR(INDEX(ReferenceCard, MATCH(1, (INDEX(ReferenceCard,,1)=Table1[[#This Row],[SAP No]]) * (INDEX(ReferenceCard,,2)=Table1[[#This Row],[Mould No]]), 0), 4),)</f>
        <v>4</v>
      </c>
      <c r="J592" s="4" cm="1">
        <f t="array" ref="J592">IFERROR(INDEX(ReferenceCard, MATCH(1, (INDEX(ReferenceCard,,1)=Table1[[#This Row],[SAP No]]) * (INDEX(ReferenceCard,,2)=Table1[[#This Row],[Mould No]]), 0), 9),)</f>
        <v>77</v>
      </c>
      <c r="K592" s="4" cm="1">
        <f t="array" ref="K592">IFERROR(INDEX(ReferenceCard, MATCH(1, (INDEX(ReferenceCard,,1)=Table1[[#This Row],[SAP No]]) * (INDEX(ReferenceCard,,2)=Table1[[#This Row],[Mould No]]), 0), 7),)</f>
        <v>77</v>
      </c>
      <c r="L592">
        <v>1359</v>
      </c>
      <c r="M592">
        <v>0</v>
      </c>
      <c r="N592">
        <v>0</v>
      </c>
      <c r="O592">
        <v>0</v>
      </c>
      <c r="P592">
        <f>Table1[[#This Row],[Shot]]*Table1[[#This Row],[Cav]]</f>
        <v>5436</v>
      </c>
      <c r="Q592">
        <v>0</v>
      </c>
      <c r="R592">
        <f>(Table1[[#This Row],[Part Weight (gm)]]*Table1[[#This Row],[Finish Good]])/1000</f>
        <v>0</v>
      </c>
      <c r="S592">
        <v>0</v>
      </c>
      <c r="T592">
        <f>IF(Table1[[#This Row],[Qty Order]]="Sample","-",IF(Table1[[#This Row],[Qty Order]]="RTFN","-",Table1[[#This Row],[Qty Order]]-Table1[[#This Row],[Qty Accumulate]]))</f>
        <v>0</v>
      </c>
      <c r="U592">
        <f>((Table1[[#This Row],[Shift Output]]*Table1[[#This Row],[Part Weight (gm)]])/1000)+Table1[[#This Row],[Reject Startup (kg)]]+Table1[[#This Row],[Reject Purging (kg)]]+Table1[[#This Row],[Reject Preform (kg)]]</f>
        <v>418.572</v>
      </c>
      <c r="V592" s="37">
        <f>(Table1[[#This Row],[Gross Weight (gm)]]-Table1[[#This Row],[Part Weight (gm)]])*Table1[[#This Row],[Shift Output]]/1000</f>
        <v>0</v>
      </c>
      <c r="W592" s="3">
        <v>0</v>
      </c>
      <c r="X592" s="36">
        <f>Table1[[#This Row],[Reject Startup (kg)]]/Table1[[#This Row],[Material Used]]</f>
        <v>0</v>
      </c>
      <c r="Y592" s="3">
        <v>5</v>
      </c>
      <c r="Z592" s="36">
        <f>Table1[[#This Row],[Reject Prod (kg)]]/Table1[[#This Row],[Material Used]]</f>
        <v>1.194537618378678E-2</v>
      </c>
      <c r="AA592" s="4">
        <v>0</v>
      </c>
      <c r="AB592" s="5">
        <v>10.8599999999999</v>
      </c>
      <c r="AC592" s="4" cm="1">
        <f t="array" ref="AC592">IFERROR(INDEX(ReferenceCard, MATCH(1, (INDEX(ReferenceCard,,1)=Table1[[#This Row],[SAP No]]) * (INDEX(ReferenceCard,,2)=Table1[[#This Row],[Mould No]]), 0), 9),)</f>
        <v>77</v>
      </c>
      <c r="AD592" s="5">
        <v>0</v>
      </c>
      <c r="AE592" s="5">
        <v>0</v>
      </c>
      <c r="AF592" s="5">
        <v>0</v>
      </c>
      <c r="AG592" s="5">
        <v>0</v>
      </c>
      <c r="AH592" s="5">
        <v>1.1399999999999899</v>
      </c>
      <c r="AI592" s="5">
        <v>0</v>
      </c>
      <c r="AJ592" s="5">
        <v>0</v>
      </c>
      <c r="AL592" s="2"/>
      <c r="AM592" s="2"/>
      <c r="AN592" s="3">
        <v>0</v>
      </c>
      <c r="AO592" s="3">
        <v>0</v>
      </c>
      <c r="AP592" s="6">
        <f>((Table1[[#This Row],[Reject Startup (kg)]]+Table1[[#This Row],[Reject Prod (kg)]]+Table1[[#This Row],[Reject Purging (kg)]]+Table1[[#This Row],[Reject Preform (kg)]])/Table1[[#This Row],[Part Weight (gm)]])*1000</f>
        <v>64.935064935064929</v>
      </c>
    </row>
    <row r="593" spans="1:42" x14ac:dyDescent="0.35">
      <c r="A593" s="1">
        <v>46004</v>
      </c>
      <c r="B593">
        <v>1</v>
      </c>
      <c r="C593" t="s">
        <v>27</v>
      </c>
      <c r="D593" t="str" cm="1">
        <f t="array" ref="D593">IFERROR(INDEX(ReferenceCard, MATCH(1, (INDEX(ReferenceCard,,1)=Table1[[#This Row],[SAP No]]) * (INDEX(ReferenceCard,,2)=Table1[[#This Row],[Mould No]]), 0), 6),)</f>
        <v>PPSB520Y</v>
      </c>
      <c r="E593">
        <v>552181</v>
      </c>
      <c r="F593">
        <v>4</v>
      </c>
      <c r="G593" t="str" cm="1">
        <f t="array" ref="G593">IFERROR(INDEX(ReferenceCard, MATCH(1, (INDEX(ReferenceCard,,1)=Table1[[#This Row],[SAP No]]) * (INDEX(ReferenceCard,,2)=Table1[[#This Row],[Mould No]]), 0), 3),)</f>
        <v>BC28-0090-D-APH-5180-3538-PP-6 NOTCHES-MOLD4</v>
      </c>
      <c r="H593">
        <v>0</v>
      </c>
      <c r="I593" cm="1">
        <f t="array" ref="I593">IFERROR(INDEX(ReferenceCard, MATCH(1, (INDEX(ReferenceCard,,1)=Table1[[#This Row],[SAP No]]) * (INDEX(ReferenceCard,,2)=Table1[[#This Row],[Mould No]]), 0), 4),)</f>
        <v>6</v>
      </c>
      <c r="J593" s="4" cm="1">
        <f t="array" ref="J593">IFERROR(INDEX(ReferenceCard, MATCH(1, (INDEX(ReferenceCard,,1)=Table1[[#This Row],[SAP No]]) * (INDEX(ReferenceCard,,2)=Table1[[#This Row],[Mould No]]), 0), 9),)</f>
        <v>18.8</v>
      </c>
      <c r="K593" s="4" cm="1">
        <f t="array" ref="K593">IFERROR(INDEX(ReferenceCard, MATCH(1, (INDEX(ReferenceCard,,1)=Table1[[#This Row],[SAP No]]) * (INDEX(ReferenceCard,,2)=Table1[[#This Row],[Mould No]]), 0), 7),)</f>
        <v>18.8</v>
      </c>
      <c r="L593">
        <v>247</v>
      </c>
      <c r="M593">
        <v>0</v>
      </c>
      <c r="N593">
        <v>0</v>
      </c>
      <c r="O593">
        <v>0</v>
      </c>
      <c r="P593">
        <f>Table1[[#This Row],[Shot]]*Table1[[#This Row],[Cav]]</f>
        <v>1482</v>
      </c>
      <c r="Q593">
        <v>0</v>
      </c>
      <c r="R593">
        <f>(Table1[[#This Row],[Part Weight (gm)]]*Table1[[#This Row],[Finish Good]])/1000</f>
        <v>0</v>
      </c>
      <c r="S593">
        <v>0</v>
      </c>
      <c r="T593">
        <f>IF(Table1[[#This Row],[Qty Order]]="Sample","-",IF(Table1[[#This Row],[Qty Order]]="RTFN","-",Table1[[#This Row],[Qty Order]]-Table1[[#This Row],[Qty Accumulate]]))</f>
        <v>0</v>
      </c>
      <c r="U593">
        <f>((Table1[[#This Row],[Shift Output]]*Table1[[#This Row],[Part Weight (gm)]])/1000)+Table1[[#This Row],[Reject Startup (kg)]]+Table1[[#This Row],[Reject Purging (kg)]]+Table1[[#This Row],[Reject Preform (kg)]]</f>
        <v>27.861600000000003</v>
      </c>
      <c r="V593" s="37">
        <f>(Table1[[#This Row],[Gross Weight (gm)]]-Table1[[#This Row],[Part Weight (gm)]])*Table1[[#This Row],[Shift Output]]/1000</f>
        <v>0</v>
      </c>
      <c r="W593" s="3">
        <v>0</v>
      </c>
      <c r="X593" s="36">
        <f>Table1[[#This Row],[Reject Startup (kg)]]/Table1[[#This Row],[Material Used]]</f>
        <v>0</v>
      </c>
      <c r="Y593" s="3">
        <v>0</v>
      </c>
      <c r="Z593" s="36">
        <f>Table1[[#This Row],[Reject Prod (kg)]]/Table1[[#This Row],[Material Used]]</f>
        <v>0</v>
      </c>
      <c r="AA593" s="4">
        <v>0</v>
      </c>
      <c r="AB593" s="5">
        <v>0</v>
      </c>
      <c r="AC593" s="4" cm="1">
        <f t="array" ref="AC593">IFERROR(INDEX(ReferenceCard, MATCH(1, (INDEX(ReferenceCard,,1)=Table1[[#This Row],[SAP No]]) * (INDEX(ReferenceCard,,2)=Table1[[#This Row],[Mould No]]), 0), 9),)</f>
        <v>18.8</v>
      </c>
      <c r="AD593" s="5">
        <v>0</v>
      </c>
      <c r="AE593" s="5">
        <v>0</v>
      </c>
      <c r="AF593" s="5">
        <v>0</v>
      </c>
      <c r="AG593" s="5">
        <v>0</v>
      </c>
      <c r="AH593" s="5">
        <v>12</v>
      </c>
      <c r="AI593" s="5">
        <v>0</v>
      </c>
      <c r="AJ593" s="5">
        <v>0</v>
      </c>
      <c r="AL593" s="2"/>
      <c r="AM593" s="2"/>
      <c r="AN593" s="3">
        <v>0</v>
      </c>
      <c r="AO593" s="3">
        <v>0</v>
      </c>
      <c r="AP59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94" spans="1:42" x14ac:dyDescent="0.35">
      <c r="A594" s="1">
        <v>46004</v>
      </c>
      <c r="B594">
        <v>1</v>
      </c>
      <c r="C594" t="s">
        <v>29</v>
      </c>
      <c r="D594" t="str" cm="1">
        <f t="array" ref="D594">IFERROR(INDEX(ReferenceCard, MATCH(1, (INDEX(ReferenceCard,,1)=Table1[[#This Row],[SAP No]]) * (INDEX(ReferenceCard,,2)=Table1[[#This Row],[Mould No]]), 0), 6),)</f>
        <v>PET</v>
      </c>
      <c r="E594">
        <v>620599</v>
      </c>
      <c r="F594">
        <v>0</v>
      </c>
      <c r="G594" t="str" cm="1">
        <f t="array" ref="G594">IFERROR(INDEX(ReferenceCard, MATCH(1, (INDEX(ReferenceCard,,1)=Table1[[#This Row],[SAP No]]) * (INDEX(ReferenceCard,,2)=Table1[[#This Row],[Mould No]]), 0), 3),)</f>
        <v>BC28-0750-K4-R-CL (55g)</v>
      </c>
      <c r="H594">
        <v>0</v>
      </c>
      <c r="I594" cm="1">
        <f t="array" ref="I594">IFERROR(INDEX(ReferenceCard, MATCH(1, (INDEX(ReferenceCard,,1)=Table1[[#This Row],[SAP No]]) * (INDEX(ReferenceCard,,2)=Table1[[#This Row],[Mould No]]), 0), 4),)</f>
        <v>4</v>
      </c>
      <c r="J594" s="4" cm="1">
        <f t="array" ref="J594">IFERROR(INDEX(ReferenceCard, MATCH(1, (INDEX(ReferenceCard,,1)=Table1[[#This Row],[SAP No]]) * (INDEX(ReferenceCard,,2)=Table1[[#This Row],[Mould No]]), 0), 9),)</f>
        <v>55</v>
      </c>
      <c r="K594" s="4" cm="1">
        <f t="array" ref="K594">IFERROR(INDEX(ReferenceCard, MATCH(1, (INDEX(ReferenceCard,,1)=Table1[[#This Row],[SAP No]]) * (INDEX(ReferenceCard,,2)=Table1[[#This Row],[Mould No]]), 0), 7),)</f>
        <v>55</v>
      </c>
      <c r="L594">
        <v>2730</v>
      </c>
      <c r="M594">
        <v>0</v>
      </c>
      <c r="N594">
        <v>0</v>
      </c>
      <c r="O594">
        <v>0</v>
      </c>
      <c r="P594">
        <f>Table1[[#This Row],[Shot]]*Table1[[#This Row],[Cav]]</f>
        <v>10920</v>
      </c>
      <c r="Q594">
        <v>0</v>
      </c>
      <c r="R594">
        <f>(Table1[[#This Row],[Part Weight (gm)]]*Table1[[#This Row],[Finish Good]])/1000</f>
        <v>0</v>
      </c>
      <c r="S594">
        <v>0</v>
      </c>
      <c r="T594">
        <f>IF(Table1[[#This Row],[Qty Order]]="Sample","-",IF(Table1[[#This Row],[Qty Order]]="RTFN","-",Table1[[#This Row],[Qty Order]]-Table1[[#This Row],[Qty Accumulate]]))</f>
        <v>0</v>
      </c>
      <c r="U594">
        <f>((Table1[[#This Row],[Shift Output]]*Table1[[#This Row],[Part Weight (gm)]])/1000)+Table1[[#This Row],[Reject Startup (kg)]]+Table1[[#This Row],[Reject Purging (kg)]]+Table1[[#This Row],[Reject Preform (kg)]]</f>
        <v>600.6</v>
      </c>
      <c r="V594" s="37">
        <f>(Table1[[#This Row],[Gross Weight (gm)]]-Table1[[#This Row],[Part Weight (gm)]])*Table1[[#This Row],[Shift Output]]/1000</f>
        <v>0</v>
      </c>
      <c r="W594" s="3">
        <v>0</v>
      </c>
      <c r="X594" s="36">
        <f>Table1[[#This Row],[Reject Startup (kg)]]/Table1[[#This Row],[Material Used]]</f>
        <v>0</v>
      </c>
      <c r="Y594" s="3">
        <v>8</v>
      </c>
      <c r="Z594" s="36">
        <f>Table1[[#This Row],[Reject Prod (kg)]]/Table1[[#This Row],[Material Used]]</f>
        <v>1.332001332001332E-2</v>
      </c>
      <c r="AA594" s="4">
        <v>28.1511135101318</v>
      </c>
      <c r="AB594" s="5">
        <v>10.6999999999999</v>
      </c>
      <c r="AC594" s="4" cm="1">
        <f t="array" ref="AC594">IFERROR(INDEX(ReferenceCard, MATCH(1, (INDEX(ReferenceCard,,1)=Table1[[#This Row],[SAP No]]) * (INDEX(ReferenceCard,,2)=Table1[[#This Row],[Mould No]]), 0), 9),)</f>
        <v>55</v>
      </c>
      <c r="AD594" s="5">
        <v>0</v>
      </c>
      <c r="AE594" s="5">
        <v>0</v>
      </c>
      <c r="AF594" s="5">
        <v>0</v>
      </c>
      <c r="AG594" s="5">
        <v>0</v>
      </c>
      <c r="AH594" s="5">
        <v>1.3</v>
      </c>
      <c r="AI594" s="5">
        <v>0</v>
      </c>
      <c r="AJ594" s="5">
        <v>0</v>
      </c>
      <c r="AL594" s="2"/>
      <c r="AM594" s="2"/>
      <c r="AN594" s="3">
        <v>0</v>
      </c>
      <c r="AO594" s="3">
        <v>0</v>
      </c>
      <c r="AP594" s="6">
        <f>((Table1[[#This Row],[Reject Startup (kg)]]+Table1[[#This Row],[Reject Prod (kg)]]+Table1[[#This Row],[Reject Purging (kg)]]+Table1[[#This Row],[Reject Preform (kg)]])/Table1[[#This Row],[Part Weight (gm)]])*1000</f>
        <v>145.45454545454544</v>
      </c>
    </row>
    <row r="595" spans="1:42" x14ac:dyDescent="0.35">
      <c r="A595" s="1">
        <v>46004</v>
      </c>
      <c r="B595">
        <v>1</v>
      </c>
      <c r="C595" t="s">
        <v>31</v>
      </c>
      <c r="D595" t="str" cm="1">
        <f t="array" ref="D595">IFERROR(INDEX(ReferenceCard, MATCH(1, (INDEX(ReferenceCard,,1)=Table1[[#This Row],[SAP No]]) * (INDEX(ReferenceCard,,2)=Table1[[#This Row],[Mould No]]), 0), 6),)</f>
        <v>PPSB520Y</v>
      </c>
      <c r="E595">
        <v>586276</v>
      </c>
      <c r="F595">
        <v>4</v>
      </c>
      <c r="G595" t="str" cm="1">
        <f t="array" ref="G595">IFERROR(INDEX(ReferenceCard, MATCH(1, (INDEX(ReferenceCard,,1)=Table1[[#This Row],[SAP No]]) * (INDEX(ReferenceCard,,2)=Table1[[#This Row],[Mould No]]), 0), 3),)</f>
        <v>BC28-0056-D-APH-LEB-604001-MOLD4</v>
      </c>
      <c r="H595">
        <v>0</v>
      </c>
      <c r="I595" cm="1">
        <f t="array" ref="I595">IFERROR(INDEX(ReferenceCard, MATCH(1, (INDEX(ReferenceCard,,1)=Table1[[#This Row],[SAP No]]) * (INDEX(ReferenceCard,,2)=Table1[[#This Row],[Mould No]]), 0), 4),)</f>
        <v>6</v>
      </c>
      <c r="J595" s="4" cm="1">
        <f t="array" ref="J595">IFERROR(INDEX(ReferenceCard, MATCH(1, (INDEX(ReferenceCard,,1)=Table1[[#This Row],[SAP No]]) * (INDEX(ReferenceCard,,2)=Table1[[#This Row],[Mould No]]), 0), 9),)</f>
        <v>12.3</v>
      </c>
      <c r="K595" s="4" cm="1">
        <f t="array" ref="K595">IFERROR(INDEX(ReferenceCard, MATCH(1, (INDEX(ReferenceCard,,1)=Table1[[#This Row],[SAP No]]) * (INDEX(ReferenceCard,,2)=Table1[[#This Row],[Mould No]]), 0), 7),)</f>
        <v>12.3</v>
      </c>
      <c r="L595">
        <v>1650</v>
      </c>
      <c r="M595">
        <v>0</v>
      </c>
      <c r="N595">
        <v>0</v>
      </c>
      <c r="O595">
        <v>0</v>
      </c>
      <c r="P595">
        <f>Table1[[#This Row],[Shot]]*Table1[[#This Row],[Cav]]</f>
        <v>9900</v>
      </c>
      <c r="Q595">
        <v>0</v>
      </c>
      <c r="R595">
        <f>(Table1[[#This Row],[Part Weight (gm)]]*Table1[[#This Row],[Finish Good]])/1000</f>
        <v>0</v>
      </c>
      <c r="S595">
        <v>0</v>
      </c>
      <c r="T595">
        <f>IF(Table1[[#This Row],[Qty Order]]="Sample","-",IF(Table1[[#This Row],[Qty Order]]="RTFN","-",Table1[[#This Row],[Qty Order]]-Table1[[#This Row],[Qty Accumulate]]))</f>
        <v>0</v>
      </c>
      <c r="U595">
        <f>((Table1[[#This Row],[Shift Output]]*Table1[[#This Row],[Part Weight (gm)]])/1000)+Table1[[#This Row],[Reject Startup (kg)]]+Table1[[#This Row],[Reject Purging (kg)]]+Table1[[#This Row],[Reject Preform (kg)]]</f>
        <v>121.77</v>
      </c>
      <c r="V595" s="37">
        <f>(Table1[[#This Row],[Gross Weight (gm)]]-Table1[[#This Row],[Part Weight (gm)]])*Table1[[#This Row],[Shift Output]]/1000</f>
        <v>0</v>
      </c>
      <c r="W595" s="3">
        <v>0</v>
      </c>
      <c r="X595" s="36">
        <f>Table1[[#This Row],[Reject Startup (kg)]]/Table1[[#This Row],[Material Used]]</f>
        <v>0</v>
      </c>
      <c r="Y595" s="3">
        <v>1</v>
      </c>
      <c r="Z595" s="36">
        <f>Table1[[#This Row],[Reject Prod (kg)]]/Table1[[#This Row],[Material Used]]</f>
        <v>8.2122033341545542E-3</v>
      </c>
      <c r="AA595" s="4">
        <v>26.173757553100501</v>
      </c>
      <c r="AB595" s="5">
        <v>12</v>
      </c>
      <c r="AC595" s="4" cm="1">
        <f t="array" ref="AC595">IFERROR(INDEX(ReferenceCard, MATCH(1, (INDEX(ReferenceCard,,1)=Table1[[#This Row],[SAP No]]) * (INDEX(ReferenceCard,,2)=Table1[[#This Row],[Mould No]]), 0), 9),)</f>
        <v>12.3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L595" s="2"/>
      <c r="AM595" s="2"/>
      <c r="AN595" s="3">
        <v>0</v>
      </c>
      <c r="AO595" s="3">
        <v>0</v>
      </c>
      <c r="AP595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596" spans="1:42" x14ac:dyDescent="0.35">
      <c r="A596" s="1">
        <v>46004</v>
      </c>
      <c r="B596">
        <v>1</v>
      </c>
      <c r="C596" t="s">
        <v>33</v>
      </c>
      <c r="D596" t="str" cm="1">
        <f t="array" ref="D596">IFERROR(INDEX(ReferenceCard, MATCH(1, (INDEX(ReferenceCard,,1)=Table1[[#This Row],[SAP No]]) * (INDEX(ReferenceCard,,2)=Table1[[#This Row],[Mould No]]), 0), 6),)</f>
        <v>PET</v>
      </c>
      <c r="E596">
        <v>541381</v>
      </c>
      <c r="F596">
        <v>0</v>
      </c>
      <c r="G596" t="str" cm="1">
        <f t="array" ref="G596">IFERROR(INDEX(ReferenceCard, MATCH(1, (INDEX(ReferenceCard,,1)=Table1[[#This Row],[SAP No]]) * (INDEX(ReferenceCard,,2)=Table1[[#This Row],[Mould No]]), 0), 3),)</f>
        <v>BC28-1200-K-R-CL</v>
      </c>
      <c r="H596">
        <v>0</v>
      </c>
      <c r="I596" cm="1">
        <f t="array" ref="I596">IFERROR(INDEX(ReferenceCard, MATCH(1, (INDEX(ReferenceCard,,1)=Table1[[#This Row],[SAP No]]) * (INDEX(ReferenceCard,,2)=Table1[[#This Row],[Mould No]]), 0), 4),)</f>
        <v>4</v>
      </c>
      <c r="J596" s="4" cm="1">
        <f t="array" ref="J596">IFERROR(INDEX(ReferenceCard, MATCH(1, (INDEX(ReferenceCard,,1)=Table1[[#This Row],[SAP No]]) * (INDEX(ReferenceCard,,2)=Table1[[#This Row],[Mould No]]), 0), 9),)</f>
        <v>55</v>
      </c>
      <c r="K596" s="4" cm="1">
        <f t="array" ref="K596">IFERROR(INDEX(ReferenceCard, MATCH(1, (INDEX(ReferenceCard,,1)=Table1[[#This Row],[SAP No]]) * (INDEX(ReferenceCard,,2)=Table1[[#This Row],[Mould No]]), 0), 7),)</f>
        <v>55</v>
      </c>
      <c r="L596">
        <v>0</v>
      </c>
      <c r="M596">
        <v>0</v>
      </c>
      <c r="N596">
        <v>0</v>
      </c>
      <c r="O596">
        <v>0</v>
      </c>
      <c r="P596">
        <f>Table1[[#This Row],[Shot]]*Table1[[#This Row],[Cav]]</f>
        <v>0</v>
      </c>
      <c r="Q596">
        <v>0</v>
      </c>
      <c r="R596">
        <f>(Table1[[#This Row],[Part Weight (gm)]]*Table1[[#This Row],[Finish Good]])/1000</f>
        <v>0</v>
      </c>
      <c r="S596">
        <v>0</v>
      </c>
      <c r="T596">
        <f>IF(Table1[[#This Row],[Qty Order]]="Sample","-",IF(Table1[[#This Row],[Qty Order]]="RTFN","-",Table1[[#This Row],[Qty Order]]-Table1[[#This Row],[Qty Accumulate]]))</f>
        <v>0</v>
      </c>
      <c r="U596">
        <f>((Table1[[#This Row],[Shift Output]]*Table1[[#This Row],[Part Weight (gm)]])/1000)+Table1[[#This Row],[Reject Startup (kg)]]+Table1[[#This Row],[Reject Purging (kg)]]+Table1[[#This Row],[Reject Preform (kg)]]</f>
        <v>0</v>
      </c>
      <c r="V596" s="37">
        <f>(Table1[[#This Row],[Gross Weight (gm)]]-Table1[[#This Row],[Part Weight (gm)]])*Table1[[#This Row],[Shift Output]]/1000</f>
        <v>0</v>
      </c>
      <c r="W596" s="3">
        <v>0</v>
      </c>
      <c r="X596" s="36" t="e">
        <f>Table1[[#This Row],[Reject Startup (kg)]]/Table1[[#This Row],[Material Used]]</f>
        <v>#DIV/0!</v>
      </c>
      <c r="Y596" s="3">
        <v>0</v>
      </c>
      <c r="Z596" s="36" t="e">
        <f>Table1[[#This Row],[Reject Prod (kg)]]/Table1[[#This Row],[Material Used]]</f>
        <v>#DIV/0!</v>
      </c>
      <c r="AA596" s="4">
        <v>0</v>
      </c>
      <c r="AB596" s="5">
        <v>0</v>
      </c>
      <c r="AC596" s="4" cm="1">
        <f t="array" ref="AC596">IFERROR(INDEX(ReferenceCard, MATCH(1, (INDEX(ReferenceCard,,1)=Table1[[#This Row],[SAP No]]) * (INDEX(ReferenceCard,,2)=Table1[[#This Row],[Mould No]]), 0), 9),)</f>
        <v>55</v>
      </c>
      <c r="AD596" s="5">
        <v>12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t="s">
        <v>145</v>
      </c>
      <c r="AL596" s="2"/>
      <c r="AM596" s="2"/>
      <c r="AN596" s="3">
        <v>0</v>
      </c>
      <c r="AO596" s="3">
        <v>0</v>
      </c>
      <c r="AP59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97" spans="1:42" x14ac:dyDescent="0.35">
      <c r="A597" s="1">
        <v>46004</v>
      </c>
      <c r="B597">
        <v>1</v>
      </c>
      <c r="C597" t="s">
        <v>35</v>
      </c>
      <c r="D597" t="str" cm="1">
        <f t="array" ref="D597">IFERROR(INDEX(ReferenceCard, MATCH(1, (INDEX(ReferenceCard,,1)=Table1[[#This Row],[SAP No]]) * (INDEX(ReferenceCard,,2)=Table1[[#This Row],[Mould No]]), 0), 6),)</f>
        <v>PPSB520Y</v>
      </c>
      <c r="E597">
        <v>552181</v>
      </c>
      <c r="F597">
        <v>1</v>
      </c>
      <c r="G597" t="str" cm="1">
        <f t="array" ref="G597">IFERROR(INDEX(ReferenceCard, MATCH(1, (INDEX(ReferenceCard,,1)=Table1[[#This Row],[SAP No]]) * (INDEX(ReferenceCard,,2)=Table1[[#This Row],[Mould No]]), 0), 3),)</f>
        <v>BC28-0090-D-APH-5180-3538-PP-6 NOTCHES-MOLD1</v>
      </c>
      <c r="H597">
        <v>0</v>
      </c>
      <c r="I597" cm="1">
        <f t="array" ref="I597">IFERROR(INDEX(ReferenceCard, MATCH(1, (INDEX(ReferenceCard,,1)=Table1[[#This Row],[SAP No]]) * (INDEX(ReferenceCard,,2)=Table1[[#This Row],[Mould No]]), 0), 4),)</f>
        <v>6</v>
      </c>
      <c r="J597" s="4" cm="1">
        <f t="array" ref="J597">IFERROR(INDEX(ReferenceCard, MATCH(1, (INDEX(ReferenceCard,,1)=Table1[[#This Row],[SAP No]]) * (INDEX(ReferenceCard,,2)=Table1[[#This Row],[Mould No]]), 0), 9),)</f>
        <v>18.8</v>
      </c>
      <c r="K597" s="4" cm="1">
        <f t="array" ref="K597">IFERROR(INDEX(ReferenceCard, MATCH(1, (INDEX(ReferenceCard,,1)=Table1[[#This Row],[SAP No]]) * (INDEX(ReferenceCard,,2)=Table1[[#This Row],[Mould No]]), 0), 7),)</f>
        <v>18.8</v>
      </c>
      <c r="L597">
        <v>1381</v>
      </c>
      <c r="M597">
        <v>0</v>
      </c>
      <c r="N597">
        <v>0</v>
      </c>
      <c r="O597">
        <v>0</v>
      </c>
      <c r="P597">
        <f>Table1[[#This Row],[Shot]]*Table1[[#This Row],[Cav]]</f>
        <v>8286</v>
      </c>
      <c r="Q597">
        <v>0</v>
      </c>
      <c r="R597">
        <f>(Table1[[#This Row],[Part Weight (gm)]]*Table1[[#This Row],[Finish Good]])/1000</f>
        <v>0</v>
      </c>
      <c r="S597">
        <v>0</v>
      </c>
      <c r="T597">
        <f>IF(Table1[[#This Row],[Qty Order]]="Sample","-",IF(Table1[[#This Row],[Qty Order]]="RTFN","-",Table1[[#This Row],[Qty Order]]-Table1[[#This Row],[Qty Accumulate]]))</f>
        <v>0</v>
      </c>
      <c r="U597">
        <f>((Table1[[#This Row],[Shift Output]]*Table1[[#This Row],[Part Weight (gm)]])/1000)+Table1[[#This Row],[Reject Startup (kg)]]+Table1[[#This Row],[Reject Purging (kg)]]+Table1[[#This Row],[Reject Preform (kg)]]</f>
        <v>155.77680000000001</v>
      </c>
      <c r="V597" s="37">
        <f>(Table1[[#This Row],[Gross Weight (gm)]]-Table1[[#This Row],[Part Weight (gm)]])*Table1[[#This Row],[Shift Output]]/1000</f>
        <v>0</v>
      </c>
      <c r="W597" s="3">
        <v>0</v>
      </c>
      <c r="X597" s="36">
        <f>Table1[[#This Row],[Reject Startup (kg)]]/Table1[[#This Row],[Material Used]]</f>
        <v>0</v>
      </c>
      <c r="Y597" s="3">
        <v>0</v>
      </c>
      <c r="Z597" s="36">
        <f>Table1[[#This Row],[Reject Prod (kg)]]/Table1[[#This Row],[Material Used]]</f>
        <v>0</v>
      </c>
      <c r="AA597" s="4">
        <v>31.268518447875898</v>
      </c>
      <c r="AB597" s="5">
        <v>12</v>
      </c>
      <c r="AC597" s="4" cm="1">
        <f t="array" ref="AC597">IFERROR(INDEX(ReferenceCard, MATCH(1, (INDEX(ReferenceCard,,1)=Table1[[#This Row],[SAP No]]) * (INDEX(ReferenceCard,,2)=Table1[[#This Row],[Mould No]]), 0), 9),)</f>
        <v>18.8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L597" s="2"/>
      <c r="AM597" s="2"/>
      <c r="AN597" s="3">
        <v>0</v>
      </c>
      <c r="AO597" s="3">
        <v>0</v>
      </c>
      <c r="AP59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598" spans="1:42" x14ac:dyDescent="0.35">
      <c r="A598" s="1">
        <v>46004</v>
      </c>
      <c r="B598">
        <v>1</v>
      </c>
      <c r="C598" t="s">
        <v>18</v>
      </c>
      <c r="D598" t="str" cm="1">
        <f t="array" ref="D598">IFERROR(INDEX(ReferenceCard, MATCH(1, (INDEX(ReferenceCard,,1)=Table1[[#This Row],[SAP No]]) * (INDEX(ReferenceCard,,2)=Table1[[#This Row],[Mould No]]), 0), 6),)</f>
        <v>PPSB520Y</v>
      </c>
      <c r="E598">
        <v>555979</v>
      </c>
      <c r="F598">
        <v>4</v>
      </c>
      <c r="G598" t="str" cm="1">
        <f t="array" ref="G598">IFERROR(INDEX(ReferenceCard, MATCH(1, (INDEX(ReferenceCard,,1)=Table1[[#This Row],[SAP No]]) * (INDEX(ReferenceCard,,2)=Table1[[#This Row],[Mould No]]), 0), 3),)</f>
        <v>BC28-0170-D-APH-5180-3539-PP-6 NOTCHES-MOLD4</v>
      </c>
      <c r="H598">
        <v>0</v>
      </c>
      <c r="I598" cm="1">
        <f t="array" ref="I598">IFERROR(INDEX(ReferenceCard, MATCH(1, (INDEX(ReferenceCard,,1)=Table1[[#This Row],[SAP No]]) * (INDEX(ReferenceCard,,2)=Table1[[#This Row],[Mould No]]), 0), 4),)</f>
        <v>6</v>
      </c>
      <c r="J598" s="4" cm="1">
        <f t="array" ref="J598">IFERROR(INDEX(ReferenceCard, MATCH(1, (INDEX(ReferenceCard,,1)=Table1[[#This Row],[SAP No]]) * (INDEX(ReferenceCard,,2)=Table1[[#This Row],[Mould No]]), 0), 9),)</f>
        <v>28</v>
      </c>
      <c r="K598" s="4" cm="1">
        <f t="array" ref="K598">IFERROR(INDEX(ReferenceCard, MATCH(1, (INDEX(ReferenceCard,,1)=Table1[[#This Row],[SAP No]]) * (INDEX(ReferenceCard,,2)=Table1[[#This Row],[Mould No]]), 0), 7),)</f>
        <v>28</v>
      </c>
      <c r="L598">
        <v>980</v>
      </c>
      <c r="M598">
        <v>0</v>
      </c>
      <c r="N598">
        <v>0</v>
      </c>
      <c r="O598">
        <v>0</v>
      </c>
      <c r="P598">
        <f>Table1[[#This Row],[Shot]]*Table1[[#This Row],[Cav]]</f>
        <v>5880</v>
      </c>
      <c r="Q598">
        <v>0</v>
      </c>
      <c r="R598">
        <f>(Table1[[#This Row],[Part Weight (gm)]]*Table1[[#This Row],[Finish Good]])/1000</f>
        <v>0</v>
      </c>
      <c r="S598">
        <v>0</v>
      </c>
      <c r="T598">
        <f>IF(Table1[[#This Row],[Qty Order]]="Sample","-",IF(Table1[[#This Row],[Qty Order]]="RTFN","-",Table1[[#This Row],[Qty Order]]-Table1[[#This Row],[Qty Accumulate]]))</f>
        <v>0</v>
      </c>
      <c r="U598">
        <f>((Table1[[#This Row],[Shift Output]]*Table1[[#This Row],[Part Weight (gm)]])/1000)+Table1[[#This Row],[Reject Startup (kg)]]+Table1[[#This Row],[Reject Purging (kg)]]+Table1[[#This Row],[Reject Preform (kg)]]</f>
        <v>164.64</v>
      </c>
      <c r="V598" s="37">
        <f>(Table1[[#This Row],[Gross Weight (gm)]]-Table1[[#This Row],[Part Weight (gm)]])*Table1[[#This Row],[Shift Output]]/1000</f>
        <v>0</v>
      </c>
      <c r="W598" s="3">
        <v>0</v>
      </c>
      <c r="X598" s="36">
        <f>Table1[[#This Row],[Reject Startup (kg)]]/Table1[[#This Row],[Material Used]]</f>
        <v>0</v>
      </c>
      <c r="Y598" s="3">
        <v>2</v>
      </c>
      <c r="Z598" s="36">
        <f>Table1[[#This Row],[Reject Prod (kg)]]/Table1[[#This Row],[Material Used]]</f>
        <v>1.2147716229348883E-2</v>
      </c>
      <c r="AA598" s="4">
        <v>43.5</v>
      </c>
      <c r="AB598" s="5">
        <v>12</v>
      </c>
      <c r="AC598" s="4" cm="1">
        <f t="array" ref="AC598">IFERROR(INDEX(ReferenceCard, MATCH(1, (INDEX(ReferenceCard,,1)=Table1[[#This Row],[SAP No]]) * (INDEX(ReferenceCard,,2)=Table1[[#This Row],[Mould No]]), 0), 9),)</f>
        <v>28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L598" s="2"/>
      <c r="AM598" s="2"/>
      <c r="AN598" s="3">
        <v>0</v>
      </c>
      <c r="AO598" s="3">
        <v>0</v>
      </c>
      <c r="AP598" s="6">
        <f>((Table1[[#This Row],[Reject Startup (kg)]]+Table1[[#This Row],[Reject Prod (kg)]]+Table1[[#This Row],[Reject Purging (kg)]]+Table1[[#This Row],[Reject Preform (kg)]])/Table1[[#This Row],[Part Weight (gm)]])*1000</f>
        <v>71.428571428571431</v>
      </c>
    </row>
    <row r="599" spans="1:42" x14ac:dyDescent="0.35">
      <c r="A599" s="1">
        <v>46004</v>
      </c>
      <c r="B599">
        <v>1</v>
      </c>
      <c r="C599" t="s">
        <v>0</v>
      </c>
      <c r="D599" t="str" cm="1">
        <f t="array" ref="D599">IFERROR(INDEX(ReferenceCard, MATCH(1, (INDEX(ReferenceCard,,1)=Table1[[#This Row],[SAP No]]) * (INDEX(ReferenceCard,,2)=Table1[[#This Row],[Mould No]]), 0), 6),)</f>
        <v>PET</v>
      </c>
      <c r="E599">
        <v>369308</v>
      </c>
      <c r="F599">
        <v>0</v>
      </c>
      <c r="G599" t="str" cm="1">
        <f t="array" ref="G599">IFERROR(INDEX(ReferenceCard, MATCH(1, (INDEX(ReferenceCard,,1)=Table1[[#This Row],[SAP No]]) * (INDEX(ReferenceCard,,2)=Table1[[#This Row],[Mould No]]), 0), 3),)</f>
        <v>BW38-0280-LS-R-RED</v>
      </c>
      <c r="H599">
        <v>0</v>
      </c>
      <c r="I599" cm="1">
        <f t="array" ref="I599">IFERROR(INDEX(ReferenceCard, MATCH(1, (INDEX(ReferenceCard,,1)=Table1[[#This Row],[SAP No]]) * (INDEX(ReferenceCard,,2)=Table1[[#This Row],[Mould No]]), 0), 4),)</f>
        <v>4</v>
      </c>
      <c r="J599" s="4" cm="1">
        <f t="array" ref="J599">IFERROR(INDEX(ReferenceCard, MATCH(1, (INDEX(ReferenceCard,,1)=Table1[[#This Row],[SAP No]]) * (INDEX(ReferenceCard,,2)=Table1[[#This Row],[Mould No]]), 0), 9),)</f>
        <v>31</v>
      </c>
      <c r="K599" s="4" cm="1">
        <f t="array" ref="K599">IFERROR(INDEX(ReferenceCard, MATCH(1, (INDEX(ReferenceCard,,1)=Table1[[#This Row],[SAP No]]) * (INDEX(ReferenceCard,,2)=Table1[[#This Row],[Mould No]]), 0), 7),)</f>
        <v>31</v>
      </c>
      <c r="L599">
        <v>0</v>
      </c>
      <c r="M599">
        <v>0</v>
      </c>
      <c r="N599">
        <v>0</v>
      </c>
      <c r="O599">
        <v>0</v>
      </c>
      <c r="P599">
        <f>Table1[[#This Row],[Shot]]*Table1[[#This Row],[Cav]]</f>
        <v>0</v>
      </c>
      <c r="Q599">
        <v>0</v>
      </c>
      <c r="R599">
        <f>(Table1[[#This Row],[Part Weight (gm)]]*Table1[[#This Row],[Finish Good]])/1000</f>
        <v>0</v>
      </c>
      <c r="S599">
        <v>0</v>
      </c>
      <c r="T599">
        <f>IF(Table1[[#This Row],[Qty Order]]="Sample","-",IF(Table1[[#This Row],[Qty Order]]="RTFN","-",Table1[[#This Row],[Qty Order]]-Table1[[#This Row],[Qty Accumulate]]))</f>
        <v>0</v>
      </c>
      <c r="U599">
        <f>((Table1[[#This Row],[Shift Output]]*Table1[[#This Row],[Part Weight (gm)]])/1000)+Table1[[#This Row],[Reject Startup (kg)]]+Table1[[#This Row],[Reject Purging (kg)]]+Table1[[#This Row],[Reject Preform (kg)]]</f>
        <v>0</v>
      </c>
      <c r="V599" s="37">
        <f>(Table1[[#This Row],[Gross Weight (gm)]]-Table1[[#This Row],[Part Weight (gm)]])*Table1[[#This Row],[Shift Output]]/1000</f>
        <v>0</v>
      </c>
      <c r="W599" s="3">
        <v>0</v>
      </c>
      <c r="X599" s="36" t="e">
        <f>Table1[[#This Row],[Reject Startup (kg)]]/Table1[[#This Row],[Material Used]]</f>
        <v>#DIV/0!</v>
      </c>
      <c r="Y599" s="3">
        <v>0</v>
      </c>
      <c r="Z599" s="36" t="e">
        <f>Table1[[#This Row],[Reject Prod (kg)]]/Table1[[#This Row],[Material Used]]</f>
        <v>#DIV/0!</v>
      </c>
      <c r="AA599" s="4">
        <v>0</v>
      </c>
      <c r="AB599" s="5">
        <v>0</v>
      </c>
      <c r="AC599" s="4" cm="1">
        <f t="array" ref="AC599">IFERROR(INDEX(ReferenceCard, MATCH(1, (INDEX(ReferenceCard,,1)=Table1[[#This Row],[SAP No]]) * (INDEX(ReferenceCard,,2)=Table1[[#This Row],[Mould No]]), 0), 9),)</f>
        <v>31</v>
      </c>
      <c r="AD599" s="5">
        <v>0</v>
      </c>
      <c r="AE599" s="5">
        <v>0</v>
      </c>
      <c r="AF599" s="5">
        <v>0</v>
      </c>
      <c r="AG599" s="5">
        <v>0</v>
      </c>
      <c r="AH599" s="5">
        <v>12</v>
      </c>
      <c r="AI599" s="5">
        <v>0</v>
      </c>
      <c r="AJ599" s="5">
        <v>0</v>
      </c>
      <c r="AL599" s="2"/>
      <c r="AM599" s="2"/>
      <c r="AN599" s="3">
        <v>0</v>
      </c>
      <c r="AO599" s="3">
        <v>0</v>
      </c>
      <c r="AP59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00" spans="1:42" x14ac:dyDescent="0.35">
      <c r="A600" s="1">
        <v>46004</v>
      </c>
      <c r="B600">
        <v>1</v>
      </c>
      <c r="C600" t="s">
        <v>3</v>
      </c>
      <c r="D600" t="str" cm="1">
        <f t="array" ref="D600">IFERROR(INDEX(ReferenceCard, MATCH(1, (INDEX(ReferenceCard,,1)=Table1[[#This Row],[SAP No]]) * (INDEX(ReferenceCard,,2)=Table1[[#This Row],[Mould No]]), 0), 6),)</f>
        <v>PET</v>
      </c>
      <c r="E600">
        <v>324163</v>
      </c>
      <c r="F600">
        <v>0</v>
      </c>
      <c r="G600" t="str" cm="1">
        <f t="array" ref="G600">IFERROR(INDEX(ReferenceCard, MATCH(1, (INDEX(ReferenceCard,,1)=Table1[[#This Row],[SAP No]]) * (INDEX(ReferenceCard,,2)=Table1[[#This Row],[Mould No]]), 0), 3),)</f>
        <v>BC28-0265-A-Q-CL</v>
      </c>
      <c r="H600">
        <v>0</v>
      </c>
      <c r="I600" cm="1">
        <f t="array" ref="I600">IFERROR(INDEX(ReferenceCard, MATCH(1, (INDEX(ReferenceCard,,1)=Table1[[#This Row],[SAP No]]) * (INDEX(ReferenceCard,,2)=Table1[[#This Row],[Mould No]]), 0), 4),)</f>
        <v>4</v>
      </c>
      <c r="J600" s="4" cm="1">
        <f t="array" ref="J600">IFERROR(INDEX(ReferenceCard, MATCH(1, (INDEX(ReferenceCard,,1)=Table1[[#This Row],[SAP No]]) * (INDEX(ReferenceCard,,2)=Table1[[#This Row],[Mould No]]), 0), 9),)</f>
        <v>24</v>
      </c>
      <c r="K600" s="4" cm="1">
        <f t="array" ref="K600">IFERROR(INDEX(ReferenceCard, MATCH(1, (INDEX(ReferenceCard,,1)=Table1[[#This Row],[SAP No]]) * (INDEX(ReferenceCard,,2)=Table1[[#This Row],[Mould No]]), 0), 7),)</f>
        <v>23.5</v>
      </c>
      <c r="L600">
        <v>1914</v>
      </c>
      <c r="M600">
        <v>0</v>
      </c>
      <c r="N600">
        <v>0</v>
      </c>
      <c r="O600">
        <v>0</v>
      </c>
      <c r="P600">
        <f>Table1[[#This Row],[Shot]]*Table1[[#This Row],[Cav]]</f>
        <v>7656</v>
      </c>
      <c r="Q600">
        <v>0</v>
      </c>
      <c r="R600">
        <f>(Table1[[#This Row],[Part Weight (gm)]]*Table1[[#This Row],[Finish Good]])/1000</f>
        <v>0</v>
      </c>
      <c r="S600">
        <v>0</v>
      </c>
      <c r="T600">
        <f>IF(Table1[[#This Row],[Qty Order]]="Sample","-",IF(Table1[[#This Row],[Qty Order]]="RTFN","-",Table1[[#This Row],[Qty Order]]-Table1[[#This Row],[Qty Accumulate]]))</f>
        <v>0</v>
      </c>
      <c r="U600">
        <f>((Table1[[#This Row],[Shift Output]]*Table1[[#This Row],[Part Weight (gm)]])/1000)+Table1[[#This Row],[Reject Startup (kg)]]+Table1[[#This Row],[Reject Purging (kg)]]+Table1[[#This Row],[Reject Preform (kg)]]</f>
        <v>179.916</v>
      </c>
      <c r="V600" s="37">
        <f>(Table1[[#This Row],[Gross Weight (gm)]]-Table1[[#This Row],[Part Weight (gm)]])*Table1[[#This Row],[Shift Output]]/1000</f>
        <v>3.8279999999999998</v>
      </c>
      <c r="W600" s="3">
        <v>0</v>
      </c>
      <c r="X600" s="36">
        <f>Table1[[#This Row],[Reject Startup (kg)]]/Table1[[#This Row],[Material Used]]</f>
        <v>0</v>
      </c>
      <c r="Y600" s="3">
        <v>2</v>
      </c>
      <c r="Z600" s="36">
        <f>Table1[[#This Row],[Reject Prod (kg)]]/Table1[[#This Row],[Material Used]]</f>
        <v>1.1116298717179129E-2</v>
      </c>
      <c r="AA600" s="4">
        <v>22.567745208740199</v>
      </c>
      <c r="AB600" s="5">
        <v>12</v>
      </c>
      <c r="AC600" s="4" cm="1">
        <f t="array" ref="AC600">IFERROR(INDEX(ReferenceCard, MATCH(1, (INDEX(ReferenceCard,,1)=Table1[[#This Row],[SAP No]]) * (INDEX(ReferenceCard,,2)=Table1[[#This Row],[Mould No]]), 0), 9),)</f>
        <v>24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L600" s="2"/>
      <c r="AM600" s="2"/>
      <c r="AN600" s="3">
        <v>0</v>
      </c>
      <c r="AO600" s="3">
        <v>0</v>
      </c>
      <c r="AP600" s="6">
        <f>((Table1[[#This Row],[Reject Startup (kg)]]+Table1[[#This Row],[Reject Prod (kg)]]+Table1[[#This Row],[Reject Purging (kg)]]+Table1[[#This Row],[Reject Preform (kg)]])/Table1[[#This Row],[Part Weight (gm)]])*1000</f>
        <v>85.106382978723403</v>
      </c>
    </row>
    <row r="601" spans="1:42" x14ac:dyDescent="0.35">
      <c r="A601" s="1">
        <v>46004</v>
      </c>
      <c r="B601">
        <v>1</v>
      </c>
      <c r="C601" t="s">
        <v>5</v>
      </c>
      <c r="D601" t="str" cm="1">
        <f t="array" ref="D601">IFERROR(INDEX(ReferenceCard, MATCH(1, (INDEX(ReferenceCard,,1)=Table1[[#This Row],[SAP No]]) * (INDEX(ReferenceCard,,2)=Table1[[#This Row],[Mould No]]), 0), 6),)</f>
        <v>PET</v>
      </c>
      <c r="E601">
        <v>543590</v>
      </c>
      <c r="F601">
        <v>0</v>
      </c>
      <c r="G601" t="str" cm="1">
        <f t="array" ref="G601">IFERROR(INDEX(ReferenceCard, MATCH(1, (INDEX(ReferenceCard,,1)=Table1[[#This Row],[SAP No]]) * (INDEX(ReferenceCard,,2)=Table1[[#This Row],[Mould No]]), 0), 3),)</f>
        <v>BC28-0130-R-R-AM</v>
      </c>
      <c r="H601">
        <v>0</v>
      </c>
      <c r="I601" cm="1">
        <f t="array" ref="I601">IFERROR(INDEX(ReferenceCard, MATCH(1, (INDEX(ReferenceCard,,1)=Table1[[#This Row],[SAP No]]) * (INDEX(ReferenceCard,,2)=Table1[[#This Row],[Mould No]]), 0), 4),)</f>
        <v>4</v>
      </c>
      <c r="J601" s="4" cm="1">
        <f t="array" ref="J601">IFERROR(INDEX(ReferenceCard, MATCH(1, (INDEX(ReferenceCard,,1)=Table1[[#This Row],[SAP No]]) * (INDEX(ReferenceCard,,2)=Table1[[#This Row],[Mould No]]), 0), 9),)</f>
        <v>19</v>
      </c>
      <c r="K601" s="4" cm="1">
        <f t="array" ref="K601">IFERROR(INDEX(ReferenceCard, MATCH(1, (INDEX(ReferenceCard,,1)=Table1[[#This Row],[SAP No]]) * (INDEX(ReferenceCard,,2)=Table1[[#This Row],[Mould No]]), 0), 7),)</f>
        <v>19</v>
      </c>
      <c r="L601">
        <v>3561</v>
      </c>
      <c r="M601">
        <v>0</v>
      </c>
      <c r="N601">
        <v>0</v>
      </c>
      <c r="O601">
        <v>0</v>
      </c>
      <c r="P601">
        <f>Table1[[#This Row],[Shot]]*Table1[[#This Row],[Cav]]</f>
        <v>14244</v>
      </c>
      <c r="Q601">
        <v>0</v>
      </c>
      <c r="R601">
        <f>(Table1[[#This Row],[Part Weight (gm)]]*Table1[[#This Row],[Finish Good]])/1000</f>
        <v>0</v>
      </c>
      <c r="S601">
        <v>0</v>
      </c>
      <c r="T601">
        <f>IF(Table1[[#This Row],[Qty Order]]="Sample","-",IF(Table1[[#This Row],[Qty Order]]="RTFN","-",Table1[[#This Row],[Qty Order]]-Table1[[#This Row],[Qty Accumulate]]))</f>
        <v>0</v>
      </c>
      <c r="U601">
        <f>((Table1[[#This Row],[Shift Output]]*Table1[[#This Row],[Part Weight (gm)]])/1000)+Table1[[#This Row],[Reject Startup (kg)]]+Table1[[#This Row],[Reject Purging (kg)]]+Table1[[#This Row],[Reject Preform (kg)]]</f>
        <v>270.63600000000002</v>
      </c>
      <c r="V601" s="37">
        <f>(Table1[[#This Row],[Gross Weight (gm)]]-Table1[[#This Row],[Part Weight (gm)]])*Table1[[#This Row],[Shift Output]]/1000</f>
        <v>0</v>
      </c>
      <c r="W601" s="3">
        <v>0</v>
      </c>
      <c r="X601" s="36">
        <f>Table1[[#This Row],[Reject Startup (kg)]]/Table1[[#This Row],[Material Used]]</f>
        <v>0</v>
      </c>
      <c r="Y601" s="3">
        <v>5</v>
      </c>
      <c r="Z601" s="36">
        <f>Table1[[#This Row],[Reject Prod (kg)]]/Table1[[#This Row],[Material Used]]</f>
        <v>1.8474999630500005E-2</v>
      </c>
      <c r="AA601" s="4">
        <v>22.8723430633544</v>
      </c>
      <c r="AB601" s="5">
        <v>11.38</v>
      </c>
      <c r="AC601" s="4" cm="1">
        <f t="array" ref="AC601">IFERROR(INDEX(ReferenceCard, MATCH(1, (INDEX(ReferenceCard,,1)=Table1[[#This Row],[SAP No]]) * (INDEX(ReferenceCard,,2)=Table1[[#This Row],[Mould No]]), 0), 9),)</f>
        <v>19</v>
      </c>
      <c r="AD601" s="5">
        <v>0</v>
      </c>
      <c r="AE601" s="5">
        <v>0</v>
      </c>
      <c r="AF601" s="5">
        <v>0</v>
      </c>
      <c r="AG601" s="5">
        <v>0</v>
      </c>
      <c r="AH601" s="5">
        <v>0.62</v>
      </c>
      <c r="AI601" s="5">
        <v>0</v>
      </c>
      <c r="AJ601" s="5">
        <v>0</v>
      </c>
      <c r="AL601" s="2"/>
      <c r="AM601" s="2"/>
      <c r="AN601" s="3">
        <v>0</v>
      </c>
      <c r="AO601" s="3">
        <v>0</v>
      </c>
      <c r="AP601" s="6">
        <f>((Table1[[#This Row],[Reject Startup (kg)]]+Table1[[#This Row],[Reject Prod (kg)]]+Table1[[#This Row],[Reject Purging (kg)]]+Table1[[#This Row],[Reject Preform (kg)]])/Table1[[#This Row],[Part Weight (gm)]])*1000</f>
        <v>263.15789473684208</v>
      </c>
    </row>
    <row r="602" spans="1:42" x14ac:dyDescent="0.35">
      <c r="A602" s="1">
        <v>46004</v>
      </c>
      <c r="B602">
        <v>1</v>
      </c>
      <c r="C602" t="s">
        <v>7</v>
      </c>
      <c r="D602" t="str" cm="1">
        <f t="array" ref="D602">IFERROR(INDEX(ReferenceCard, MATCH(1, (INDEX(ReferenceCard,,1)=Table1[[#This Row],[SAP No]]) * (INDEX(ReferenceCard,,2)=Table1[[#This Row],[Mould No]]), 0), 6),)</f>
        <v>PET</v>
      </c>
      <c r="E602">
        <v>426555</v>
      </c>
      <c r="F602">
        <v>0</v>
      </c>
      <c r="G602" t="str" cm="1">
        <f t="array" ref="G602">IFERROR(INDEX(ReferenceCard, MATCH(1, (INDEX(ReferenceCard,,1)=Table1[[#This Row],[SAP No]]) * (INDEX(ReferenceCard,,2)=Table1[[#This Row],[Mould No]]), 0), 3),)</f>
        <v>BX38-0330-Z-S-CL-HW</v>
      </c>
      <c r="H602">
        <v>0</v>
      </c>
      <c r="I602" cm="1">
        <f t="array" ref="I602">IFERROR(INDEX(ReferenceCard, MATCH(1, (INDEX(ReferenceCard,,1)=Table1[[#This Row],[SAP No]]) * (INDEX(ReferenceCard,,2)=Table1[[#This Row],[Mould No]]), 0), 4),)</f>
        <v>4</v>
      </c>
      <c r="J602" s="4" cm="1">
        <f t="array" ref="J602">IFERROR(INDEX(ReferenceCard, MATCH(1, (INDEX(ReferenceCard,,1)=Table1[[#This Row],[SAP No]]) * (INDEX(ReferenceCard,,2)=Table1[[#This Row],[Mould No]]), 0), 9),)</f>
        <v>29</v>
      </c>
      <c r="K602" s="4" cm="1">
        <f t="array" ref="K602">IFERROR(INDEX(ReferenceCard, MATCH(1, (INDEX(ReferenceCard,,1)=Table1[[#This Row],[SAP No]]) * (INDEX(ReferenceCard,,2)=Table1[[#This Row],[Mould No]]), 0), 7),)</f>
        <v>29</v>
      </c>
      <c r="L602">
        <v>5214</v>
      </c>
      <c r="M602">
        <v>0</v>
      </c>
      <c r="N602">
        <v>0</v>
      </c>
      <c r="O602">
        <v>0</v>
      </c>
      <c r="P602">
        <f>Table1[[#This Row],[Shot]]*Table1[[#This Row],[Cav]]</f>
        <v>20856</v>
      </c>
      <c r="Q602">
        <v>0</v>
      </c>
      <c r="R602">
        <f>(Table1[[#This Row],[Part Weight (gm)]]*Table1[[#This Row],[Finish Good]])/1000</f>
        <v>0</v>
      </c>
      <c r="S602">
        <v>0</v>
      </c>
      <c r="T602">
        <f>IF(Table1[[#This Row],[Qty Order]]="Sample","-",IF(Table1[[#This Row],[Qty Order]]="RTFN","-",Table1[[#This Row],[Qty Order]]-Table1[[#This Row],[Qty Accumulate]]))</f>
        <v>0</v>
      </c>
      <c r="U602">
        <f>((Table1[[#This Row],[Shift Output]]*Table1[[#This Row],[Part Weight (gm)]])/1000)+Table1[[#This Row],[Reject Startup (kg)]]+Table1[[#This Row],[Reject Purging (kg)]]+Table1[[#This Row],[Reject Preform (kg)]]</f>
        <v>604.82399999999996</v>
      </c>
      <c r="V602" s="37">
        <f>(Table1[[#This Row],[Gross Weight (gm)]]-Table1[[#This Row],[Part Weight (gm)]])*Table1[[#This Row],[Shift Output]]/1000</f>
        <v>0</v>
      </c>
      <c r="W602" s="3">
        <v>0</v>
      </c>
      <c r="X602" s="36">
        <f>Table1[[#This Row],[Reject Startup (kg)]]/Table1[[#This Row],[Material Used]]</f>
        <v>0</v>
      </c>
      <c r="Y602" s="3">
        <v>0</v>
      </c>
      <c r="Z602" s="36">
        <f>Table1[[#This Row],[Reject Prod (kg)]]/Table1[[#This Row],[Material Used]]</f>
        <v>0</v>
      </c>
      <c r="AA602" s="4">
        <v>25.757663726806602</v>
      </c>
      <c r="AB602" s="5">
        <v>10.8699999999999</v>
      </c>
      <c r="AC602" s="4" cm="1">
        <f t="array" ref="AC602">IFERROR(INDEX(ReferenceCard, MATCH(1, (INDEX(ReferenceCard,,1)=Table1[[#This Row],[SAP No]]) * (INDEX(ReferenceCard,,2)=Table1[[#This Row],[Mould No]]), 0), 9),)</f>
        <v>29</v>
      </c>
      <c r="AD602" s="5">
        <v>0</v>
      </c>
      <c r="AE602" s="5">
        <v>0</v>
      </c>
      <c r="AF602" s="5">
        <v>0</v>
      </c>
      <c r="AG602" s="5">
        <v>0</v>
      </c>
      <c r="AH602" s="5">
        <v>1.1299999999999899</v>
      </c>
      <c r="AI602" s="5">
        <v>0</v>
      </c>
      <c r="AJ602" s="5">
        <v>0</v>
      </c>
      <c r="AL602" s="2"/>
      <c r="AM602" s="2"/>
      <c r="AN602" s="3">
        <v>0</v>
      </c>
      <c r="AO602" s="3">
        <v>0</v>
      </c>
      <c r="AP60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03" spans="1:42" x14ac:dyDescent="0.35">
      <c r="A603" s="1">
        <v>46004</v>
      </c>
      <c r="B603">
        <v>1</v>
      </c>
      <c r="C603" t="s">
        <v>9</v>
      </c>
      <c r="D603" t="str" cm="1">
        <f t="array" ref="D603">IFERROR(INDEX(ReferenceCard, MATCH(1, (INDEX(ReferenceCard,,1)=Table1[[#This Row],[SAP No]]) * (INDEX(ReferenceCard,,2)=Table1[[#This Row],[Mould No]]), 0), 6),)</f>
        <v>rPET</v>
      </c>
      <c r="E603">
        <v>593537</v>
      </c>
      <c r="F603">
        <v>0</v>
      </c>
      <c r="G603" t="str" cm="1">
        <f t="array" ref="G603">IFERROR(INDEX(ReferenceCard, MATCH(1, (INDEX(ReferenceCard,,1)=Table1[[#This Row],[SAP No]]) * (INDEX(ReferenceCard,,2)=Table1[[#This Row],[Mould No]]), 0), 3),)</f>
        <v>BX38-1000-RN-R-CL-rPET</v>
      </c>
      <c r="H603">
        <v>0</v>
      </c>
      <c r="I603" cm="1">
        <f t="array" ref="I603">IFERROR(INDEX(ReferenceCard, MATCH(1, (INDEX(ReferenceCard,,1)=Table1[[#This Row],[SAP No]]) * (INDEX(ReferenceCard,,2)=Table1[[#This Row],[Mould No]]), 0), 4),)</f>
        <v>4</v>
      </c>
      <c r="J603" s="4" cm="1">
        <f t="array" ref="J603">IFERROR(INDEX(ReferenceCard, MATCH(1, (INDEX(ReferenceCard,,1)=Table1[[#This Row],[SAP No]]) * (INDEX(ReferenceCard,,2)=Table1[[#This Row],[Mould No]]), 0), 9),)</f>
        <v>56.5</v>
      </c>
      <c r="K603" s="4" cm="1">
        <f t="array" ref="K603">IFERROR(INDEX(ReferenceCard, MATCH(1, (INDEX(ReferenceCard,,1)=Table1[[#This Row],[SAP No]]) * (INDEX(ReferenceCard,,2)=Table1[[#This Row],[Mould No]]), 0), 7),)</f>
        <v>56.8</v>
      </c>
      <c r="L603">
        <v>1520</v>
      </c>
      <c r="M603">
        <v>0</v>
      </c>
      <c r="N603">
        <v>0</v>
      </c>
      <c r="O603">
        <v>0</v>
      </c>
      <c r="P603">
        <f>Table1[[#This Row],[Shot]]*Table1[[#This Row],[Cav]]</f>
        <v>6080</v>
      </c>
      <c r="Q603">
        <v>0</v>
      </c>
      <c r="R603">
        <f>(Table1[[#This Row],[Part Weight (gm)]]*Table1[[#This Row],[Finish Good]])/1000</f>
        <v>0</v>
      </c>
      <c r="S603">
        <v>0</v>
      </c>
      <c r="T603">
        <f>IF(Table1[[#This Row],[Qty Order]]="Sample","-",IF(Table1[[#This Row],[Qty Order]]="RTFN","-",Table1[[#This Row],[Qty Order]]-Table1[[#This Row],[Qty Accumulate]]))</f>
        <v>0</v>
      </c>
      <c r="U603">
        <f>((Table1[[#This Row],[Shift Output]]*Table1[[#This Row],[Part Weight (gm)]])/1000)+Table1[[#This Row],[Reject Startup (kg)]]+Table1[[#This Row],[Reject Purging (kg)]]+Table1[[#This Row],[Reject Preform (kg)]]</f>
        <v>345.34399999999999</v>
      </c>
      <c r="V603" s="37">
        <f>(Table1[[#This Row],[Gross Weight (gm)]]-Table1[[#This Row],[Part Weight (gm)]])*Table1[[#This Row],[Shift Output]]/1000</f>
        <v>-1.8239999999999827</v>
      </c>
      <c r="W603" s="3">
        <v>0</v>
      </c>
      <c r="X603" s="36">
        <f>Table1[[#This Row],[Reject Startup (kg)]]/Table1[[#This Row],[Material Used]]</f>
        <v>0</v>
      </c>
      <c r="Y603" s="3">
        <v>1</v>
      </c>
      <c r="Z603" s="36">
        <f>Table1[[#This Row],[Reject Prod (kg)]]/Table1[[#This Row],[Material Used]]</f>
        <v>2.8956634544106746E-3</v>
      </c>
      <c r="AA603" s="4">
        <v>28.4231243133544</v>
      </c>
      <c r="AB603" s="5">
        <v>12</v>
      </c>
      <c r="AC603" s="4" cm="1">
        <f t="array" ref="AC603">IFERROR(INDEX(ReferenceCard, MATCH(1, (INDEX(ReferenceCard,,1)=Table1[[#This Row],[SAP No]]) * (INDEX(ReferenceCard,,2)=Table1[[#This Row],[Mould No]]), 0), 9),)</f>
        <v>56.5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L603" s="2"/>
      <c r="AM603" s="2"/>
      <c r="AN603" s="3">
        <v>0</v>
      </c>
      <c r="AO603" s="3">
        <v>0</v>
      </c>
      <c r="AP603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604" spans="1:42" x14ac:dyDescent="0.35">
      <c r="A604" s="1">
        <v>46004</v>
      </c>
      <c r="B604">
        <v>1</v>
      </c>
      <c r="C604" t="s">
        <v>11</v>
      </c>
      <c r="D604" t="str" cm="1">
        <f t="array" ref="D604">IFERROR(INDEX(ReferenceCard, MATCH(1, (INDEX(ReferenceCard,,1)=Table1[[#This Row],[SAP No]]) * (INDEX(ReferenceCard,,2)=Table1[[#This Row],[Mould No]]), 0), 6),)</f>
        <v>rPET</v>
      </c>
      <c r="E604">
        <v>620994</v>
      </c>
      <c r="F604">
        <v>0</v>
      </c>
      <c r="G604" t="str" cm="1">
        <f t="array" ref="G604">IFERROR(INDEX(ReferenceCard, MATCH(1, (INDEX(ReferenceCard,,1)=Table1[[#This Row],[SAP No]]) * (INDEX(ReferenceCard,,2)=Table1[[#This Row],[Mould No]]), 0), 3),)</f>
        <v>JJ63-0400-SH-S-CL-rPET</v>
      </c>
      <c r="H604">
        <v>0</v>
      </c>
      <c r="I604" cm="1">
        <f t="array" ref="I604">IFERROR(INDEX(ReferenceCard, MATCH(1, (INDEX(ReferenceCard,,1)=Table1[[#This Row],[SAP No]]) * (INDEX(ReferenceCard,,2)=Table1[[#This Row],[Mould No]]), 0), 4),)</f>
        <v>4</v>
      </c>
      <c r="J604" s="4" cm="1">
        <f t="array" ref="J604">IFERROR(INDEX(ReferenceCard, MATCH(1, (INDEX(ReferenceCard,,1)=Table1[[#This Row],[SAP No]]) * (INDEX(ReferenceCard,,2)=Table1[[#This Row],[Mould No]]), 0), 9),)</f>
        <v>32.74</v>
      </c>
      <c r="K604" s="4" cm="1">
        <f t="array" ref="K604">IFERROR(INDEX(ReferenceCard, MATCH(1, (INDEX(ReferenceCard,,1)=Table1[[#This Row],[SAP No]]) * (INDEX(ReferenceCard,,2)=Table1[[#This Row],[Mould No]]), 0), 7),)</f>
        <v>33</v>
      </c>
      <c r="L604">
        <v>9042</v>
      </c>
      <c r="M604">
        <v>0</v>
      </c>
      <c r="N604">
        <v>0</v>
      </c>
      <c r="O604">
        <v>0</v>
      </c>
      <c r="P604">
        <f>Table1[[#This Row],[Shot]]*Table1[[#This Row],[Cav]]</f>
        <v>36168</v>
      </c>
      <c r="Q604">
        <v>0</v>
      </c>
      <c r="R604">
        <f>(Table1[[#This Row],[Part Weight (gm)]]*Table1[[#This Row],[Finish Good]])/1000</f>
        <v>0</v>
      </c>
      <c r="S604">
        <v>0</v>
      </c>
      <c r="T604">
        <f>IF(Table1[[#This Row],[Qty Order]]="Sample","-",IF(Table1[[#This Row],[Qty Order]]="RTFN","-",Table1[[#This Row],[Qty Order]]-Table1[[#This Row],[Qty Accumulate]]))</f>
        <v>0</v>
      </c>
      <c r="U604">
        <f>((Table1[[#This Row],[Shift Output]]*Table1[[#This Row],[Part Weight (gm)]])/1000)+Table1[[#This Row],[Reject Startup (kg)]]+Table1[[#This Row],[Reject Purging (kg)]]+Table1[[#This Row],[Reject Preform (kg)]]</f>
        <v>1193.5440000000001</v>
      </c>
      <c r="V604" s="37">
        <f>(Table1[[#This Row],[Gross Weight (gm)]]-Table1[[#This Row],[Part Weight (gm)]])*Table1[[#This Row],[Shift Output]]/1000</f>
        <v>-9.4036799999999268</v>
      </c>
      <c r="W604" s="3">
        <v>0</v>
      </c>
      <c r="X604" s="36">
        <f>Table1[[#This Row],[Reject Startup (kg)]]/Table1[[#This Row],[Material Used]]</f>
        <v>0</v>
      </c>
      <c r="Y604" s="3">
        <v>2</v>
      </c>
      <c r="Z604" s="36">
        <f>Table1[[#This Row],[Reject Prod (kg)]]/Table1[[#This Row],[Material Used]]</f>
        <v>1.6756818349386365E-3</v>
      </c>
      <c r="AA604" s="4">
        <v>19.571180343627901</v>
      </c>
      <c r="AB604" s="5">
        <v>7.78</v>
      </c>
      <c r="AC604" s="4" cm="1">
        <f t="array" ref="AC604">IFERROR(INDEX(ReferenceCard, MATCH(1, (INDEX(ReferenceCard,,1)=Table1[[#This Row],[SAP No]]) * (INDEX(ReferenceCard,,2)=Table1[[#This Row],[Mould No]]), 0), 9),)</f>
        <v>32.74</v>
      </c>
      <c r="AD604" s="5">
        <v>4.21999999999999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t="s">
        <v>146</v>
      </c>
      <c r="AL604" s="2" t="s">
        <v>147</v>
      </c>
      <c r="AM604" s="2" t="s">
        <v>148</v>
      </c>
      <c r="AN604" s="3">
        <v>0</v>
      </c>
      <c r="AO604" s="3">
        <v>0</v>
      </c>
      <c r="AP604" s="6">
        <f>((Table1[[#This Row],[Reject Startup (kg)]]+Table1[[#This Row],[Reject Prod (kg)]]+Table1[[#This Row],[Reject Purging (kg)]]+Table1[[#This Row],[Reject Preform (kg)]])/Table1[[#This Row],[Part Weight (gm)]])*1000</f>
        <v>60.606060606060609</v>
      </c>
    </row>
    <row r="605" spans="1:42" x14ac:dyDescent="0.35">
      <c r="A605" s="1">
        <v>46004</v>
      </c>
      <c r="B605">
        <v>1</v>
      </c>
      <c r="C605" t="s">
        <v>14</v>
      </c>
      <c r="D605" t="str" cm="1">
        <f t="array" ref="D605">IFERROR(INDEX(ReferenceCard, MATCH(1, (INDEX(ReferenceCard,,1)=Table1[[#This Row],[SAP No]]) * (INDEX(ReferenceCard,,2)=Table1[[#This Row],[Mould No]]), 0), 6),)</f>
        <v>PET</v>
      </c>
      <c r="E605">
        <v>324165</v>
      </c>
      <c r="F605">
        <v>0</v>
      </c>
      <c r="G605" t="str" cm="1">
        <f t="array" ref="G605">IFERROR(INDEX(ReferenceCard, MATCH(1, (INDEX(ReferenceCard,,1)=Table1[[#This Row],[SAP No]]) * (INDEX(ReferenceCard,,2)=Table1[[#This Row],[Mould No]]), 0), 3),)</f>
        <v>JJ63-0400-SH-S-WH</v>
      </c>
      <c r="H605">
        <v>0</v>
      </c>
      <c r="I605" cm="1">
        <f t="array" ref="I605">IFERROR(INDEX(ReferenceCard, MATCH(1, (INDEX(ReferenceCard,,1)=Table1[[#This Row],[SAP No]]) * (INDEX(ReferenceCard,,2)=Table1[[#This Row],[Mould No]]), 0), 4),)</f>
        <v>4</v>
      </c>
      <c r="J605" s="4" cm="1">
        <f t="array" ref="J605">IFERROR(INDEX(ReferenceCard, MATCH(1, (INDEX(ReferenceCard,,1)=Table1[[#This Row],[SAP No]]) * (INDEX(ReferenceCard,,2)=Table1[[#This Row],[Mould No]]), 0), 9),)</f>
        <v>32.56</v>
      </c>
      <c r="K605" s="4" cm="1">
        <f t="array" ref="K605">IFERROR(INDEX(ReferenceCard, MATCH(1, (INDEX(ReferenceCard,,1)=Table1[[#This Row],[SAP No]]) * (INDEX(ReferenceCard,,2)=Table1[[#This Row],[Mould No]]), 0), 7),)</f>
        <v>33</v>
      </c>
      <c r="L605">
        <v>3678</v>
      </c>
      <c r="M605">
        <v>0</v>
      </c>
      <c r="N605">
        <v>0</v>
      </c>
      <c r="O605">
        <v>0</v>
      </c>
      <c r="P605">
        <f>Table1[[#This Row],[Shot]]*Table1[[#This Row],[Cav]]</f>
        <v>14712</v>
      </c>
      <c r="Q605">
        <v>0</v>
      </c>
      <c r="R605">
        <f>(Table1[[#This Row],[Part Weight (gm)]]*Table1[[#This Row],[Finish Good]])/1000</f>
        <v>0</v>
      </c>
      <c r="S605">
        <v>0</v>
      </c>
      <c r="T605">
        <f>IF(Table1[[#This Row],[Qty Order]]="Sample","-",IF(Table1[[#This Row],[Qty Order]]="RTFN","-",Table1[[#This Row],[Qty Order]]-Table1[[#This Row],[Qty Accumulate]]))</f>
        <v>0</v>
      </c>
      <c r="U605">
        <f>((Table1[[#This Row],[Shift Output]]*Table1[[#This Row],[Part Weight (gm)]])/1000)+Table1[[#This Row],[Reject Startup (kg)]]+Table1[[#This Row],[Reject Purging (kg)]]+Table1[[#This Row],[Reject Preform (kg)]]</f>
        <v>485.49599999999998</v>
      </c>
      <c r="V605" s="37">
        <f>(Table1[[#This Row],[Gross Weight (gm)]]-Table1[[#This Row],[Part Weight (gm)]])*Table1[[#This Row],[Shift Output]]/1000</f>
        <v>-6.4732799999999662</v>
      </c>
      <c r="W605" s="3">
        <v>0</v>
      </c>
      <c r="X605" s="36">
        <f>Table1[[#This Row],[Reject Startup (kg)]]/Table1[[#This Row],[Material Used]]</f>
        <v>0</v>
      </c>
      <c r="Y605" s="3">
        <v>1</v>
      </c>
      <c r="Z605" s="36">
        <f>Table1[[#This Row],[Reject Prod (kg)]]/Table1[[#This Row],[Material Used]]</f>
        <v>2.0597492049368071E-3</v>
      </c>
      <c r="AA605" s="4">
        <v>21.5246181488037</v>
      </c>
      <c r="AB605" s="5">
        <v>11</v>
      </c>
      <c r="AC605" s="4" cm="1">
        <f t="array" ref="AC605">IFERROR(INDEX(ReferenceCard, MATCH(1, (INDEX(ReferenceCard,,1)=Table1[[#This Row],[SAP No]]) * (INDEX(ReferenceCard,,2)=Table1[[#This Row],[Mould No]]), 0), 9),)</f>
        <v>32.56</v>
      </c>
      <c r="AD605" s="5">
        <v>0</v>
      </c>
      <c r="AE605" s="5">
        <v>0</v>
      </c>
      <c r="AF605" s="5">
        <v>0</v>
      </c>
      <c r="AG605" s="5">
        <v>1</v>
      </c>
      <c r="AH605" s="5">
        <v>0</v>
      </c>
      <c r="AI605" s="5">
        <v>0</v>
      </c>
      <c r="AJ605" s="5">
        <v>0</v>
      </c>
      <c r="AL605" s="2"/>
      <c r="AM605" s="2"/>
      <c r="AN605" s="3">
        <v>0</v>
      </c>
      <c r="AO605" s="3">
        <v>0</v>
      </c>
      <c r="AP605" s="6">
        <f>((Table1[[#This Row],[Reject Startup (kg)]]+Table1[[#This Row],[Reject Prod (kg)]]+Table1[[#This Row],[Reject Purging (kg)]]+Table1[[#This Row],[Reject Preform (kg)]])/Table1[[#This Row],[Part Weight (gm)]])*1000</f>
        <v>30.303030303030305</v>
      </c>
    </row>
    <row r="606" spans="1:42" x14ac:dyDescent="0.35">
      <c r="A606" s="1">
        <v>46004</v>
      </c>
      <c r="B606">
        <v>1</v>
      </c>
      <c r="C606" t="s">
        <v>16</v>
      </c>
      <c r="D606" t="str" cm="1">
        <f t="array" ref="D606">IFERROR(INDEX(ReferenceCard, MATCH(1, (INDEX(ReferenceCard,,1)=Table1[[#This Row],[SAP No]]) * (INDEX(ReferenceCard,,2)=Table1[[#This Row],[Mould No]]), 0), 6),)</f>
        <v>PET</v>
      </c>
      <c r="E606">
        <v>323092</v>
      </c>
      <c r="F606">
        <v>0</v>
      </c>
      <c r="G606" t="str" cm="1">
        <f t="array" ref="G606">IFERROR(INDEX(ReferenceCard, MATCH(1, (INDEX(ReferenceCard,,1)=Table1[[#This Row],[SAP No]]) * (INDEX(ReferenceCard,,2)=Table1[[#This Row],[Mould No]]), 0), 3),)</f>
        <v>BX38-1000-GH-R-CL(GREEN) (ASEM)</v>
      </c>
      <c r="H606">
        <v>0</v>
      </c>
      <c r="I606" cm="1">
        <f t="array" ref="I606">IFERROR(INDEX(ReferenceCard, MATCH(1, (INDEX(ReferenceCard,,1)=Table1[[#This Row],[SAP No]]) * (INDEX(ReferenceCard,,2)=Table1[[#This Row],[Mould No]]), 0), 4),)</f>
        <v>4</v>
      </c>
      <c r="J606" s="4" cm="1">
        <f t="array" ref="J606">IFERROR(INDEX(ReferenceCard, MATCH(1, (INDEX(ReferenceCard,,1)=Table1[[#This Row],[SAP No]]) * (INDEX(ReferenceCard,,2)=Table1[[#This Row],[Mould No]]), 0), 9),)</f>
        <v>48.9</v>
      </c>
      <c r="K606" s="4" cm="1">
        <f t="array" ref="K606">IFERROR(INDEX(ReferenceCard, MATCH(1, (INDEX(ReferenceCard,,1)=Table1[[#This Row],[SAP No]]) * (INDEX(ReferenceCard,,2)=Table1[[#This Row],[Mould No]]), 0), 7),)</f>
        <v>48.9</v>
      </c>
      <c r="L606">
        <v>443</v>
      </c>
      <c r="M606">
        <v>0</v>
      </c>
      <c r="N606">
        <v>0</v>
      </c>
      <c r="O606">
        <v>0</v>
      </c>
      <c r="P606">
        <f>Table1[[#This Row],[Shot]]*Table1[[#This Row],[Cav]]</f>
        <v>1772</v>
      </c>
      <c r="Q606">
        <v>0</v>
      </c>
      <c r="R606">
        <f>(Table1[[#This Row],[Part Weight (gm)]]*Table1[[#This Row],[Finish Good]])/1000</f>
        <v>0</v>
      </c>
      <c r="S606">
        <v>0</v>
      </c>
      <c r="T606">
        <f>IF(Table1[[#This Row],[Qty Order]]="Sample","-",IF(Table1[[#This Row],[Qty Order]]="RTFN","-",Table1[[#This Row],[Qty Order]]-Table1[[#This Row],[Qty Accumulate]]))</f>
        <v>0</v>
      </c>
      <c r="U606">
        <f>((Table1[[#This Row],[Shift Output]]*Table1[[#This Row],[Part Weight (gm)]])/1000)+Table1[[#This Row],[Reject Startup (kg)]]+Table1[[#This Row],[Reject Purging (kg)]]+Table1[[#This Row],[Reject Preform (kg)]]</f>
        <v>86.650800000000004</v>
      </c>
      <c r="V606" s="37">
        <f>(Table1[[#This Row],[Gross Weight (gm)]]-Table1[[#This Row],[Part Weight (gm)]])*Table1[[#This Row],[Shift Output]]/1000</f>
        <v>0</v>
      </c>
      <c r="W606" s="3">
        <v>0</v>
      </c>
      <c r="X606" s="36">
        <f>Table1[[#This Row],[Reject Startup (kg)]]/Table1[[#This Row],[Material Used]]</f>
        <v>0</v>
      </c>
      <c r="Y606" s="3">
        <v>0</v>
      </c>
      <c r="Z606" s="36">
        <f>Table1[[#This Row],[Reject Prod (kg)]]/Table1[[#This Row],[Material Used]]</f>
        <v>0</v>
      </c>
      <c r="AA606" s="4">
        <v>0</v>
      </c>
      <c r="AB606" s="5">
        <v>1.1200000000000001</v>
      </c>
      <c r="AC606" s="4" cm="1">
        <f t="array" ref="AC606">IFERROR(INDEX(ReferenceCard, MATCH(1, (INDEX(ReferenceCard,,1)=Table1[[#This Row],[SAP No]]) * (INDEX(ReferenceCard,,2)=Table1[[#This Row],[Mould No]]), 0), 9),)</f>
        <v>48.9</v>
      </c>
      <c r="AD606" s="5">
        <v>10.69</v>
      </c>
      <c r="AE606" s="5">
        <v>0</v>
      </c>
      <c r="AF606" s="5">
        <v>0</v>
      </c>
      <c r="AG606" s="5">
        <v>0</v>
      </c>
      <c r="AH606" s="5">
        <v>0.19</v>
      </c>
      <c r="AI606" s="5">
        <v>0</v>
      </c>
      <c r="AJ606" s="5">
        <v>0</v>
      </c>
      <c r="AK606" t="s">
        <v>149</v>
      </c>
      <c r="AL606" s="2"/>
      <c r="AM606" s="2"/>
      <c r="AN606" s="3">
        <v>0</v>
      </c>
      <c r="AO606" s="3">
        <v>0</v>
      </c>
      <c r="AP60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07" spans="1:42" x14ac:dyDescent="0.35">
      <c r="A607" s="1">
        <v>46004</v>
      </c>
      <c r="B607">
        <v>1</v>
      </c>
      <c r="C607" t="s">
        <v>23</v>
      </c>
      <c r="D607" t="str" cm="1">
        <f t="array" ref="D607">IFERROR(INDEX(ReferenceCard, MATCH(1, (INDEX(ReferenceCard,,1)=Table1[[#This Row],[SAP No]]) * (INDEX(ReferenceCard,,2)=Table1[[#This Row],[Mould No]]), 0), 6),)</f>
        <v>PPSB520Y</v>
      </c>
      <c r="E607">
        <v>586276</v>
      </c>
      <c r="F607">
        <v>2</v>
      </c>
      <c r="G607" t="str" cm="1">
        <f t="array" ref="G607">IFERROR(INDEX(ReferenceCard, MATCH(1, (INDEX(ReferenceCard,,1)=Table1[[#This Row],[SAP No]]) * (INDEX(ReferenceCard,,2)=Table1[[#This Row],[Mould No]]), 0), 3),)</f>
        <v>BC28-0056-D-APH-LEB-604001-MOLD2</v>
      </c>
      <c r="H607">
        <v>0</v>
      </c>
      <c r="I607" cm="1">
        <f t="array" ref="I607">IFERROR(INDEX(ReferenceCard, MATCH(1, (INDEX(ReferenceCard,,1)=Table1[[#This Row],[SAP No]]) * (INDEX(ReferenceCard,,2)=Table1[[#This Row],[Mould No]]), 0), 4),)</f>
        <v>6</v>
      </c>
      <c r="J607" s="4" cm="1">
        <f t="array" ref="J607">IFERROR(INDEX(ReferenceCard, MATCH(1, (INDEX(ReferenceCard,,1)=Table1[[#This Row],[SAP No]]) * (INDEX(ReferenceCard,,2)=Table1[[#This Row],[Mould No]]), 0), 9),)</f>
        <v>12.3</v>
      </c>
      <c r="K607" s="4" cm="1">
        <f t="array" ref="K607">IFERROR(INDEX(ReferenceCard, MATCH(1, (INDEX(ReferenceCard,,1)=Table1[[#This Row],[SAP No]]) * (INDEX(ReferenceCard,,2)=Table1[[#This Row],[Mould No]]), 0), 7),)</f>
        <v>12.3</v>
      </c>
      <c r="L607">
        <v>1695</v>
      </c>
      <c r="M607">
        <v>0</v>
      </c>
      <c r="N607">
        <v>0</v>
      </c>
      <c r="O607">
        <v>0</v>
      </c>
      <c r="P607">
        <f>Table1[[#This Row],[Shot]]*Table1[[#This Row],[Cav]]</f>
        <v>10170</v>
      </c>
      <c r="Q607">
        <v>0</v>
      </c>
      <c r="R607">
        <f>(Table1[[#This Row],[Part Weight (gm)]]*Table1[[#This Row],[Finish Good]])/1000</f>
        <v>0</v>
      </c>
      <c r="S607">
        <v>0</v>
      </c>
      <c r="T607">
        <f>IF(Table1[[#This Row],[Qty Order]]="Sample","-",IF(Table1[[#This Row],[Qty Order]]="RTFN","-",Table1[[#This Row],[Qty Order]]-Table1[[#This Row],[Qty Accumulate]]))</f>
        <v>0</v>
      </c>
      <c r="U607">
        <f>((Table1[[#This Row],[Shift Output]]*Table1[[#This Row],[Part Weight (gm)]])/1000)+Table1[[#This Row],[Reject Startup (kg)]]+Table1[[#This Row],[Reject Purging (kg)]]+Table1[[#This Row],[Reject Preform (kg)]]</f>
        <v>125.09099999999999</v>
      </c>
      <c r="V607" s="37">
        <f>(Table1[[#This Row],[Gross Weight (gm)]]-Table1[[#This Row],[Part Weight (gm)]])*Table1[[#This Row],[Shift Output]]/1000</f>
        <v>0</v>
      </c>
      <c r="W607" s="3">
        <v>0</v>
      </c>
      <c r="X607" s="36">
        <f>Table1[[#This Row],[Reject Startup (kg)]]/Table1[[#This Row],[Material Used]]</f>
        <v>0</v>
      </c>
      <c r="Y607" s="3">
        <v>1</v>
      </c>
      <c r="Z607" s="36">
        <f>Table1[[#This Row],[Reject Prod (kg)]]/Table1[[#This Row],[Material Used]]</f>
        <v>7.9941802367876191E-3</v>
      </c>
      <c r="AA607" s="4">
        <v>25.481130599975501</v>
      </c>
      <c r="AB607" s="5">
        <v>12</v>
      </c>
      <c r="AC607" s="4" cm="1">
        <f t="array" ref="AC607">IFERROR(INDEX(ReferenceCard, MATCH(1, (INDEX(ReferenceCard,,1)=Table1[[#This Row],[SAP No]]) * (INDEX(ReferenceCard,,2)=Table1[[#This Row],[Mould No]]), 0), 9),)</f>
        <v>12.3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L607" s="2"/>
      <c r="AM607" s="2"/>
      <c r="AN607" s="3">
        <v>0</v>
      </c>
      <c r="AO607" s="3">
        <v>0</v>
      </c>
      <c r="AP607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608" spans="1:42" x14ac:dyDescent="0.35">
      <c r="A608" s="1">
        <v>46003</v>
      </c>
      <c r="B608">
        <v>2</v>
      </c>
      <c r="C608" t="s">
        <v>0</v>
      </c>
      <c r="D608" t="str" cm="1">
        <f t="array" ref="D608">IFERROR(INDEX(ReferenceCard, MATCH(1, (INDEX(ReferenceCard,,1)=Table1[[#This Row],[SAP No]]) * (INDEX(ReferenceCard,,2)=Table1[[#This Row],[Mould No]]), 0), 6),)</f>
        <v>PET</v>
      </c>
      <c r="E608">
        <v>369308</v>
      </c>
      <c r="F608">
        <v>0</v>
      </c>
      <c r="G608" t="str" cm="1">
        <f t="array" ref="G608">IFERROR(INDEX(ReferenceCard, MATCH(1, (INDEX(ReferenceCard,,1)=Table1[[#This Row],[SAP No]]) * (INDEX(ReferenceCard,,2)=Table1[[#This Row],[Mould No]]), 0), 3),)</f>
        <v>BW38-0280-LS-R-RED</v>
      </c>
      <c r="H608">
        <v>0</v>
      </c>
      <c r="I608" cm="1">
        <f t="array" ref="I608">IFERROR(INDEX(ReferenceCard, MATCH(1, (INDEX(ReferenceCard,,1)=Table1[[#This Row],[SAP No]]) * (INDEX(ReferenceCard,,2)=Table1[[#This Row],[Mould No]]), 0), 4),)</f>
        <v>4</v>
      </c>
      <c r="J608" s="4" cm="1">
        <f t="array" ref="J608">IFERROR(INDEX(ReferenceCard, MATCH(1, (INDEX(ReferenceCard,,1)=Table1[[#This Row],[SAP No]]) * (INDEX(ReferenceCard,,2)=Table1[[#This Row],[Mould No]]), 0), 9),)</f>
        <v>31</v>
      </c>
      <c r="K608" s="4" cm="1">
        <f t="array" ref="K608">IFERROR(INDEX(ReferenceCard, MATCH(1, (INDEX(ReferenceCard,,1)=Table1[[#This Row],[SAP No]]) * (INDEX(ReferenceCard,,2)=Table1[[#This Row],[Mould No]]), 0), 7),)</f>
        <v>31</v>
      </c>
      <c r="L608">
        <v>0</v>
      </c>
      <c r="M608">
        <v>0</v>
      </c>
      <c r="N608">
        <v>0</v>
      </c>
      <c r="O608">
        <v>0</v>
      </c>
      <c r="P608">
        <f>Table1[[#This Row],[Shot]]*Table1[[#This Row],[Cav]]</f>
        <v>0</v>
      </c>
      <c r="Q608">
        <v>0</v>
      </c>
      <c r="R608">
        <f>(Table1[[#This Row],[Part Weight (gm)]]*Table1[[#This Row],[Finish Good]])/1000</f>
        <v>0</v>
      </c>
      <c r="S608">
        <v>0</v>
      </c>
      <c r="T608">
        <f>IF(Table1[[#This Row],[Qty Order]]="Sample","-",IF(Table1[[#This Row],[Qty Order]]="RTFN","-",Table1[[#This Row],[Qty Order]]-Table1[[#This Row],[Qty Accumulate]]))</f>
        <v>0</v>
      </c>
      <c r="U608">
        <f>((Table1[[#This Row],[Shift Output]]*Table1[[#This Row],[Part Weight (gm)]])/1000)+Table1[[#This Row],[Reject Startup (kg)]]+Table1[[#This Row],[Reject Purging (kg)]]+Table1[[#This Row],[Reject Preform (kg)]]</f>
        <v>0</v>
      </c>
      <c r="V608" s="37">
        <f>(Table1[[#This Row],[Gross Weight (gm)]]-Table1[[#This Row],[Part Weight (gm)]])*Table1[[#This Row],[Shift Output]]/1000</f>
        <v>0</v>
      </c>
      <c r="W608" s="3">
        <v>0</v>
      </c>
      <c r="X608" s="36" t="e">
        <f>Table1[[#This Row],[Reject Startup (kg)]]/Table1[[#This Row],[Material Used]]</f>
        <v>#DIV/0!</v>
      </c>
      <c r="Y608" s="3">
        <v>0</v>
      </c>
      <c r="Z608" s="36" t="e">
        <f>Table1[[#This Row],[Reject Prod (kg)]]/Table1[[#This Row],[Material Used]]</f>
        <v>#DIV/0!</v>
      </c>
      <c r="AA608" s="4">
        <v>0</v>
      </c>
      <c r="AB608" s="5">
        <v>0</v>
      </c>
      <c r="AC608" s="4" cm="1">
        <f t="array" ref="AC608">IFERROR(INDEX(ReferenceCard, MATCH(1, (INDEX(ReferenceCard,,1)=Table1[[#This Row],[SAP No]]) * (INDEX(ReferenceCard,,2)=Table1[[#This Row],[Mould No]]), 0), 9),)</f>
        <v>31</v>
      </c>
      <c r="AD608" s="5">
        <v>0</v>
      </c>
      <c r="AE608" s="5">
        <v>0</v>
      </c>
      <c r="AF608" s="5">
        <v>0</v>
      </c>
      <c r="AG608" s="5">
        <v>0</v>
      </c>
      <c r="AH608" s="5">
        <v>12</v>
      </c>
      <c r="AI608" s="5">
        <v>0</v>
      </c>
      <c r="AJ608" s="5">
        <v>0</v>
      </c>
      <c r="AL608" s="2"/>
      <c r="AM608" s="2"/>
      <c r="AN608" s="3">
        <v>0</v>
      </c>
      <c r="AO608" s="3">
        <v>0</v>
      </c>
      <c r="AP60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09" spans="1:42" x14ac:dyDescent="0.35">
      <c r="A609" s="1">
        <v>46003</v>
      </c>
      <c r="B609">
        <v>2</v>
      </c>
      <c r="C609" t="s">
        <v>3</v>
      </c>
      <c r="D609" t="str" cm="1">
        <f t="array" ref="D609">IFERROR(INDEX(ReferenceCard, MATCH(1, (INDEX(ReferenceCard,,1)=Table1[[#This Row],[SAP No]]) * (INDEX(ReferenceCard,,2)=Table1[[#This Row],[Mould No]]), 0), 6),)</f>
        <v>PET</v>
      </c>
      <c r="E609">
        <v>324163</v>
      </c>
      <c r="F609">
        <v>0</v>
      </c>
      <c r="G609" t="str" cm="1">
        <f t="array" ref="G609">IFERROR(INDEX(ReferenceCard, MATCH(1, (INDEX(ReferenceCard,,1)=Table1[[#This Row],[SAP No]]) * (INDEX(ReferenceCard,,2)=Table1[[#This Row],[Mould No]]), 0), 3),)</f>
        <v>BC28-0265-A-Q-CL</v>
      </c>
      <c r="H609">
        <v>0</v>
      </c>
      <c r="I609" cm="1">
        <f t="array" ref="I609">IFERROR(INDEX(ReferenceCard, MATCH(1, (INDEX(ReferenceCard,,1)=Table1[[#This Row],[SAP No]]) * (INDEX(ReferenceCard,,2)=Table1[[#This Row],[Mould No]]), 0), 4),)</f>
        <v>4</v>
      </c>
      <c r="J609" s="4" cm="1">
        <f t="array" ref="J609">IFERROR(INDEX(ReferenceCard, MATCH(1, (INDEX(ReferenceCard,,1)=Table1[[#This Row],[SAP No]]) * (INDEX(ReferenceCard,,2)=Table1[[#This Row],[Mould No]]), 0), 9),)</f>
        <v>24</v>
      </c>
      <c r="K609" s="4" cm="1">
        <f t="array" ref="K609">IFERROR(INDEX(ReferenceCard, MATCH(1, (INDEX(ReferenceCard,,1)=Table1[[#This Row],[SAP No]]) * (INDEX(ReferenceCard,,2)=Table1[[#This Row],[Mould No]]), 0), 7),)</f>
        <v>23.5</v>
      </c>
      <c r="L609">
        <v>3577</v>
      </c>
      <c r="M609">
        <v>0</v>
      </c>
      <c r="N609">
        <v>0</v>
      </c>
      <c r="O609">
        <v>0</v>
      </c>
      <c r="P609">
        <f>Table1[[#This Row],[Shot]]*Table1[[#This Row],[Cav]]</f>
        <v>14308</v>
      </c>
      <c r="Q609">
        <v>0</v>
      </c>
      <c r="R609">
        <f>(Table1[[#This Row],[Part Weight (gm)]]*Table1[[#This Row],[Finish Good]])/1000</f>
        <v>0</v>
      </c>
      <c r="S609">
        <v>0</v>
      </c>
      <c r="T609">
        <f>IF(Table1[[#This Row],[Qty Order]]="Sample","-",IF(Table1[[#This Row],[Qty Order]]="RTFN","-",Table1[[#This Row],[Qty Order]]-Table1[[#This Row],[Qty Accumulate]]))</f>
        <v>0</v>
      </c>
      <c r="U609">
        <f>((Table1[[#This Row],[Shift Output]]*Table1[[#This Row],[Part Weight (gm)]])/1000)+Table1[[#This Row],[Reject Startup (kg)]]+Table1[[#This Row],[Reject Purging (kg)]]+Table1[[#This Row],[Reject Preform (kg)]]</f>
        <v>336.238</v>
      </c>
      <c r="V609" s="37">
        <f>(Table1[[#This Row],[Gross Weight (gm)]]-Table1[[#This Row],[Part Weight (gm)]])*Table1[[#This Row],[Shift Output]]/1000</f>
        <v>7.1539999999999999</v>
      </c>
      <c r="W609" s="3">
        <v>0</v>
      </c>
      <c r="X609" s="36">
        <f>Table1[[#This Row],[Reject Startup (kg)]]/Table1[[#This Row],[Material Used]]</f>
        <v>0</v>
      </c>
      <c r="Y609" s="3">
        <v>3</v>
      </c>
      <c r="Z609" s="36">
        <f>Table1[[#This Row],[Reject Prod (kg)]]/Table1[[#This Row],[Material Used]]</f>
        <v>8.9222515004252941E-3</v>
      </c>
      <c r="AA609" s="4">
        <v>22.574428558349599</v>
      </c>
      <c r="AB609" s="5">
        <v>12</v>
      </c>
      <c r="AC609" s="4" cm="1">
        <f t="array" ref="AC609">IFERROR(INDEX(ReferenceCard, MATCH(1, (INDEX(ReferenceCard,,1)=Table1[[#This Row],[SAP No]]) * (INDEX(ReferenceCard,,2)=Table1[[#This Row],[Mould No]]), 0), 9),)</f>
        <v>24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L609" s="2"/>
      <c r="AM609" s="2"/>
      <c r="AN609" s="3">
        <v>0</v>
      </c>
      <c r="AO609" s="3">
        <v>0</v>
      </c>
      <c r="AP609" s="6">
        <f>((Table1[[#This Row],[Reject Startup (kg)]]+Table1[[#This Row],[Reject Prod (kg)]]+Table1[[#This Row],[Reject Purging (kg)]]+Table1[[#This Row],[Reject Preform (kg)]])/Table1[[#This Row],[Part Weight (gm)]])*1000</f>
        <v>127.6595744680851</v>
      </c>
    </row>
    <row r="610" spans="1:42" x14ac:dyDescent="0.35">
      <c r="A610" s="1">
        <v>46003</v>
      </c>
      <c r="B610">
        <v>2</v>
      </c>
      <c r="C610" t="s">
        <v>5</v>
      </c>
      <c r="D610" t="str" cm="1">
        <f t="array" ref="D610">IFERROR(INDEX(ReferenceCard, MATCH(1, (INDEX(ReferenceCard,,1)=Table1[[#This Row],[SAP No]]) * (INDEX(ReferenceCard,,2)=Table1[[#This Row],[Mould No]]), 0), 6),)</f>
        <v>PET</v>
      </c>
      <c r="E610">
        <v>543590</v>
      </c>
      <c r="F610">
        <v>0</v>
      </c>
      <c r="G610" t="str" cm="1">
        <f t="array" ref="G610">IFERROR(INDEX(ReferenceCard, MATCH(1, (INDEX(ReferenceCard,,1)=Table1[[#This Row],[SAP No]]) * (INDEX(ReferenceCard,,2)=Table1[[#This Row],[Mould No]]), 0), 3),)</f>
        <v>BC28-0130-R-R-AM</v>
      </c>
      <c r="H610">
        <v>0</v>
      </c>
      <c r="I610" cm="1">
        <f t="array" ref="I610">IFERROR(INDEX(ReferenceCard, MATCH(1, (INDEX(ReferenceCard,,1)=Table1[[#This Row],[SAP No]]) * (INDEX(ReferenceCard,,2)=Table1[[#This Row],[Mould No]]), 0), 4),)</f>
        <v>4</v>
      </c>
      <c r="J610" s="4" cm="1">
        <f t="array" ref="J610">IFERROR(INDEX(ReferenceCard, MATCH(1, (INDEX(ReferenceCard,,1)=Table1[[#This Row],[SAP No]]) * (INDEX(ReferenceCard,,2)=Table1[[#This Row],[Mould No]]), 0), 9),)</f>
        <v>19</v>
      </c>
      <c r="K610" s="4" cm="1">
        <f t="array" ref="K610">IFERROR(INDEX(ReferenceCard, MATCH(1, (INDEX(ReferenceCard,,1)=Table1[[#This Row],[SAP No]]) * (INDEX(ReferenceCard,,2)=Table1[[#This Row],[Mould No]]), 0), 7),)</f>
        <v>19</v>
      </c>
      <c r="L610">
        <v>3602</v>
      </c>
      <c r="M610">
        <v>0</v>
      </c>
      <c r="N610">
        <v>0</v>
      </c>
      <c r="O610">
        <v>0</v>
      </c>
      <c r="P610">
        <f>Table1[[#This Row],[Shot]]*Table1[[#This Row],[Cav]]</f>
        <v>14408</v>
      </c>
      <c r="Q610">
        <v>0</v>
      </c>
      <c r="R610">
        <f>(Table1[[#This Row],[Part Weight (gm)]]*Table1[[#This Row],[Finish Good]])/1000</f>
        <v>0</v>
      </c>
      <c r="S610">
        <v>0</v>
      </c>
      <c r="T610">
        <f>IF(Table1[[#This Row],[Qty Order]]="Sample","-",IF(Table1[[#This Row],[Qty Order]]="RTFN","-",Table1[[#This Row],[Qty Order]]-Table1[[#This Row],[Qty Accumulate]]))</f>
        <v>0</v>
      </c>
      <c r="U610">
        <f>((Table1[[#This Row],[Shift Output]]*Table1[[#This Row],[Part Weight (gm)]])/1000)+Table1[[#This Row],[Reject Startup (kg)]]+Table1[[#This Row],[Reject Purging (kg)]]+Table1[[#This Row],[Reject Preform (kg)]]</f>
        <v>273.75200000000001</v>
      </c>
      <c r="V610" s="37">
        <f>(Table1[[#This Row],[Gross Weight (gm)]]-Table1[[#This Row],[Part Weight (gm)]])*Table1[[#This Row],[Shift Output]]/1000</f>
        <v>0</v>
      </c>
      <c r="W610" s="3">
        <v>0</v>
      </c>
      <c r="X610" s="36">
        <f>Table1[[#This Row],[Reject Startup (kg)]]/Table1[[#This Row],[Material Used]]</f>
        <v>0</v>
      </c>
      <c r="Y610" s="3">
        <v>3</v>
      </c>
      <c r="Z610" s="36">
        <f>Table1[[#This Row],[Reject Prod (kg)]]/Table1[[#This Row],[Material Used]]</f>
        <v>1.0958824045121131E-2</v>
      </c>
      <c r="AA610" s="4">
        <v>22.429405212402301</v>
      </c>
      <c r="AB610" s="5">
        <v>8.0099999999999891</v>
      </c>
      <c r="AC610" s="4" cm="1">
        <f t="array" ref="AC610">IFERROR(INDEX(ReferenceCard, MATCH(1, (INDEX(ReferenceCard,,1)=Table1[[#This Row],[SAP No]]) * (INDEX(ReferenceCard,,2)=Table1[[#This Row],[Mould No]]), 0), 9),)</f>
        <v>19</v>
      </c>
      <c r="AD610" s="5">
        <v>0</v>
      </c>
      <c r="AE610" s="5">
        <v>0</v>
      </c>
      <c r="AF610" s="5">
        <v>0</v>
      </c>
      <c r="AG610" s="5">
        <v>0</v>
      </c>
      <c r="AH610" s="5">
        <v>3.99</v>
      </c>
      <c r="AI610" s="5">
        <v>0</v>
      </c>
      <c r="AJ610" s="5">
        <v>0</v>
      </c>
      <c r="AL610" s="2"/>
      <c r="AM610" s="2"/>
      <c r="AN610" s="3">
        <v>0</v>
      </c>
      <c r="AO610" s="3">
        <v>0</v>
      </c>
      <c r="AP610" s="6">
        <f>((Table1[[#This Row],[Reject Startup (kg)]]+Table1[[#This Row],[Reject Prod (kg)]]+Table1[[#This Row],[Reject Purging (kg)]]+Table1[[#This Row],[Reject Preform (kg)]])/Table1[[#This Row],[Part Weight (gm)]])*1000</f>
        <v>157.89473684210526</v>
      </c>
    </row>
    <row r="611" spans="1:42" x14ac:dyDescent="0.35">
      <c r="A611" s="1">
        <v>46003</v>
      </c>
      <c r="B611">
        <v>2</v>
      </c>
      <c r="C611" t="s">
        <v>7</v>
      </c>
      <c r="D611" t="str" cm="1">
        <f t="array" ref="D611">IFERROR(INDEX(ReferenceCard, MATCH(1, (INDEX(ReferenceCard,,1)=Table1[[#This Row],[SAP No]]) * (INDEX(ReferenceCard,,2)=Table1[[#This Row],[Mould No]]), 0), 6),)</f>
        <v>PET</v>
      </c>
      <c r="E611">
        <v>426555</v>
      </c>
      <c r="F611">
        <v>0</v>
      </c>
      <c r="G611" t="str" cm="1">
        <f t="array" ref="G611">IFERROR(INDEX(ReferenceCard, MATCH(1, (INDEX(ReferenceCard,,1)=Table1[[#This Row],[SAP No]]) * (INDEX(ReferenceCard,,2)=Table1[[#This Row],[Mould No]]), 0), 3),)</f>
        <v>BX38-0330-Z-S-CL-HW</v>
      </c>
      <c r="H611">
        <v>0</v>
      </c>
      <c r="I611" cm="1">
        <f t="array" ref="I611">IFERROR(INDEX(ReferenceCard, MATCH(1, (INDEX(ReferenceCard,,1)=Table1[[#This Row],[SAP No]]) * (INDEX(ReferenceCard,,2)=Table1[[#This Row],[Mould No]]), 0), 4),)</f>
        <v>4</v>
      </c>
      <c r="J611" s="4" cm="1">
        <f t="array" ref="J611">IFERROR(INDEX(ReferenceCard, MATCH(1, (INDEX(ReferenceCard,,1)=Table1[[#This Row],[SAP No]]) * (INDEX(ReferenceCard,,2)=Table1[[#This Row],[Mould No]]), 0), 9),)</f>
        <v>29</v>
      </c>
      <c r="K611" s="4" cm="1">
        <f t="array" ref="K611">IFERROR(INDEX(ReferenceCard, MATCH(1, (INDEX(ReferenceCard,,1)=Table1[[#This Row],[SAP No]]) * (INDEX(ReferenceCard,,2)=Table1[[#This Row],[Mould No]]), 0), 7),)</f>
        <v>29</v>
      </c>
      <c r="L611">
        <v>3791</v>
      </c>
      <c r="M611">
        <v>0</v>
      </c>
      <c r="N611">
        <v>0</v>
      </c>
      <c r="O611">
        <v>0</v>
      </c>
      <c r="P611">
        <f>Table1[[#This Row],[Shot]]*Table1[[#This Row],[Cav]]</f>
        <v>15164</v>
      </c>
      <c r="Q611">
        <v>0</v>
      </c>
      <c r="R611">
        <f>(Table1[[#This Row],[Part Weight (gm)]]*Table1[[#This Row],[Finish Good]])/1000</f>
        <v>0</v>
      </c>
      <c r="S611">
        <v>0</v>
      </c>
      <c r="T611">
        <f>IF(Table1[[#This Row],[Qty Order]]="Sample","-",IF(Table1[[#This Row],[Qty Order]]="RTFN","-",Table1[[#This Row],[Qty Order]]-Table1[[#This Row],[Qty Accumulate]]))</f>
        <v>0</v>
      </c>
      <c r="U611">
        <f>((Table1[[#This Row],[Shift Output]]*Table1[[#This Row],[Part Weight (gm)]])/1000)+Table1[[#This Row],[Reject Startup (kg)]]+Table1[[#This Row],[Reject Purging (kg)]]+Table1[[#This Row],[Reject Preform (kg)]]</f>
        <v>439.75599999999997</v>
      </c>
      <c r="V611" s="37">
        <f>(Table1[[#This Row],[Gross Weight (gm)]]-Table1[[#This Row],[Part Weight (gm)]])*Table1[[#This Row],[Shift Output]]/1000</f>
        <v>0</v>
      </c>
      <c r="W611" s="3">
        <v>0</v>
      </c>
      <c r="X611" s="36">
        <f>Table1[[#This Row],[Reject Startup (kg)]]/Table1[[#This Row],[Material Used]]</f>
        <v>0</v>
      </c>
      <c r="Y611" s="3">
        <v>2</v>
      </c>
      <c r="Z611" s="36">
        <f>Table1[[#This Row],[Reject Prod (kg)]]/Table1[[#This Row],[Material Used]]</f>
        <v>4.5479766052083431E-3</v>
      </c>
      <c r="AA611" s="4">
        <v>25.599666595458899</v>
      </c>
      <c r="AB611" s="5">
        <v>12</v>
      </c>
      <c r="AC611" s="4" cm="1">
        <f t="array" ref="AC611">IFERROR(INDEX(ReferenceCard, MATCH(1, (INDEX(ReferenceCard,,1)=Table1[[#This Row],[SAP No]]) * (INDEX(ReferenceCard,,2)=Table1[[#This Row],[Mould No]]), 0), 9),)</f>
        <v>29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L611" s="2"/>
      <c r="AM611" s="2"/>
      <c r="AN611" s="3">
        <v>0</v>
      </c>
      <c r="AO611" s="3">
        <v>0</v>
      </c>
      <c r="AP611" s="6">
        <f>((Table1[[#This Row],[Reject Startup (kg)]]+Table1[[#This Row],[Reject Prod (kg)]]+Table1[[#This Row],[Reject Purging (kg)]]+Table1[[#This Row],[Reject Preform (kg)]])/Table1[[#This Row],[Part Weight (gm)]])*1000</f>
        <v>68.965517241379303</v>
      </c>
    </row>
    <row r="612" spans="1:42" x14ac:dyDescent="0.35">
      <c r="A612" s="1">
        <v>46003</v>
      </c>
      <c r="B612">
        <v>2</v>
      </c>
      <c r="C612" t="s">
        <v>9</v>
      </c>
      <c r="D612" t="str" cm="1">
        <f t="array" ref="D612">IFERROR(INDEX(ReferenceCard, MATCH(1, (INDEX(ReferenceCard,,1)=Table1[[#This Row],[SAP No]]) * (INDEX(ReferenceCard,,2)=Table1[[#This Row],[Mould No]]), 0), 6),)</f>
        <v>rPET</v>
      </c>
      <c r="E612">
        <v>593537</v>
      </c>
      <c r="F612">
        <v>0</v>
      </c>
      <c r="G612" t="str" cm="1">
        <f t="array" ref="G612">IFERROR(INDEX(ReferenceCard, MATCH(1, (INDEX(ReferenceCard,,1)=Table1[[#This Row],[SAP No]]) * (INDEX(ReferenceCard,,2)=Table1[[#This Row],[Mould No]]), 0), 3),)</f>
        <v>BX38-1000-RN-R-CL-rPET</v>
      </c>
      <c r="H612">
        <v>0</v>
      </c>
      <c r="I612" cm="1">
        <f t="array" ref="I612">IFERROR(INDEX(ReferenceCard, MATCH(1, (INDEX(ReferenceCard,,1)=Table1[[#This Row],[SAP No]]) * (INDEX(ReferenceCard,,2)=Table1[[#This Row],[Mould No]]), 0), 4),)</f>
        <v>4</v>
      </c>
      <c r="J612" s="4" cm="1">
        <f t="array" ref="J612">IFERROR(INDEX(ReferenceCard, MATCH(1, (INDEX(ReferenceCard,,1)=Table1[[#This Row],[SAP No]]) * (INDEX(ReferenceCard,,2)=Table1[[#This Row],[Mould No]]), 0), 9),)</f>
        <v>56.5</v>
      </c>
      <c r="K612" s="4" cm="1">
        <f t="array" ref="K612">IFERROR(INDEX(ReferenceCard, MATCH(1, (INDEX(ReferenceCard,,1)=Table1[[#This Row],[SAP No]]) * (INDEX(ReferenceCard,,2)=Table1[[#This Row],[Mould No]]), 0), 7),)</f>
        <v>56.8</v>
      </c>
      <c r="L612">
        <v>3481</v>
      </c>
      <c r="M612">
        <v>0</v>
      </c>
      <c r="N612">
        <v>0</v>
      </c>
      <c r="O612">
        <v>0</v>
      </c>
      <c r="P612">
        <f>Table1[[#This Row],[Shot]]*Table1[[#This Row],[Cav]]</f>
        <v>13924</v>
      </c>
      <c r="Q612">
        <v>0</v>
      </c>
      <c r="R612">
        <f>(Table1[[#This Row],[Part Weight (gm)]]*Table1[[#This Row],[Finish Good]])/1000</f>
        <v>0</v>
      </c>
      <c r="S612">
        <v>0</v>
      </c>
      <c r="T612">
        <f>IF(Table1[[#This Row],[Qty Order]]="Sample","-",IF(Table1[[#This Row],[Qty Order]]="RTFN","-",Table1[[#This Row],[Qty Order]]-Table1[[#This Row],[Qty Accumulate]]))</f>
        <v>0</v>
      </c>
      <c r="U612">
        <f>((Table1[[#This Row],[Shift Output]]*Table1[[#This Row],[Part Weight (gm)]])/1000)+Table1[[#This Row],[Reject Startup (kg)]]+Table1[[#This Row],[Reject Purging (kg)]]+Table1[[#This Row],[Reject Preform (kg)]]</f>
        <v>790.88319999999999</v>
      </c>
      <c r="V612" s="37">
        <f>(Table1[[#This Row],[Gross Weight (gm)]]-Table1[[#This Row],[Part Weight (gm)]])*Table1[[#This Row],[Shift Output]]/1000</f>
        <v>-4.1771999999999609</v>
      </c>
      <c r="W612" s="3">
        <v>0</v>
      </c>
      <c r="X612" s="36">
        <f>Table1[[#This Row],[Reject Startup (kg)]]/Table1[[#This Row],[Material Used]]</f>
        <v>0</v>
      </c>
      <c r="Y612" s="3">
        <v>4</v>
      </c>
      <c r="Z612" s="36">
        <f>Table1[[#This Row],[Reject Prod (kg)]]/Table1[[#This Row],[Material Used]]</f>
        <v>5.0576368293067803E-3</v>
      </c>
      <c r="AA612" s="4">
        <v>28.422666549682599</v>
      </c>
      <c r="AB612" s="5">
        <v>12</v>
      </c>
      <c r="AC612" s="4" cm="1">
        <f t="array" ref="AC612">IFERROR(INDEX(ReferenceCard, MATCH(1, (INDEX(ReferenceCard,,1)=Table1[[#This Row],[SAP No]]) * (INDEX(ReferenceCard,,2)=Table1[[#This Row],[Mould No]]), 0), 9),)</f>
        <v>56.5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L612" s="2"/>
      <c r="AM612" s="2"/>
      <c r="AN612" s="3">
        <v>0</v>
      </c>
      <c r="AO612" s="3">
        <v>0</v>
      </c>
      <c r="AP612" s="6">
        <f>((Table1[[#This Row],[Reject Startup (kg)]]+Table1[[#This Row],[Reject Prod (kg)]]+Table1[[#This Row],[Reject Purging (kg)]]+Table1[[#This Row],[Reject Preform (kg)]])/Table1[[#This Row],[Part Weight (gm)]])*1000</f>
        <v>70.422535211267615</v>
      </c>
    </row>
    <row r="613" spans="1:42" x14ac:dyDescent="0.35">
      <c r="A613" s="1">
        <v>46003</v>
      </c>
      <c r="B613">
        <v>2</v>
      </c>
      <c r="C613" t="s">
        <v>11</v>
      </c>
      <c r="D613" t="str" cm="1">
        <f t="array" ref="D613">IFERROR(INDEX(ReferenceCard, MATCH(1, (INDEX(ReferenceCard,,1)=Table1[[#This Row],[SAP No]]) * (INDEX(ReferenceCard,,2)=Table1[[#This Row],[Mould No]]), 0), 6),)</f>
        <v>rPET</v>
      </c>
      <c r="E613">
        <v>620994</v>
      </c>
      <c r="F613">
        <v>0</v>
      </c>
      <c r="G613" t="str" cm="1">
        <f t="array" ref="G613">IFERROR(INDEX(ReferenceCard, MATCH(1, (INDEX(ReferenceCard,,1)=Table1[[#This Row],[SAP No]]) * (INDEX(ReferenceCard,,2)=Table1[[#This Row],[Mould No]]), 0), 3),)</f>
        <v>JJ63-0400-SH-S-CL-rPET</v>
      </c>
      <c r="H613">
        <v>0</v>
      </c>
      <c r="I613" cm="1">
        <f t="array" ref="I613">IFERROR(INDEX(ReferenceCard, MATCH(1, (INDEX(ReferenceCard,,1)=Table1[[#This Row],[SAP No]]) * (INDEX(ReferenceCard,,2)=Table1[[#This Row],[Mould No]]), 0), 4),)</f>
        <v>4</v>
      </c>
      <c r="J613" s="4" cm="1">
        <f t="array" ref="J613">IFERROR(INDEX(ReferenceCard, MATCH(1, (INDEX(ReferenceCard,,1)=Table1[[#This Row],[SAP No]]) * (INDEX(ReferenceCard,,2)=Table1[[#This Row],[Mould No]]), 0), 9),)</f>
        <v>32.74</v>
      </c>
      <c r="K613" s="4" cm="1">
        <f t="array" ref="K613">IFERROR(INDEX(ReferenceCard, MATCH(1, (INDEX(ReferenceCard,,1)=Table1[[#This Row],[SAP No]]) * (INDEX(ReferenceCard,,2)=Table1[[#This Row],[Mould No]]), 0), 7),)</f>
        <v>33</v>
      </c>
      <c r="L613">
        <v>3969</v>
      </c>
      <c r="M613">
        <v>0</v>
      </c>
      <c r="N613">
        <v>0</v>
      </c>
      <c r="O613">
        <v>0</v>
      </c>
      <c r="P613">
        <f>Table1[[#This Row],[Shot]]*Table1[[#This Row],[Cav]]</f>
        <v>15876</v>
      </c>
      <c r="Q613">
        <v>0</v>
      </c>
      <c r="R613">
        <f>(Table1[[#This Row],[Part Weight (gm)]]*Table1[[#This Row],[Finish Good]])/1000</f>
        <v>0</v>
      </c>
      <c r="S613">
        <v>0</v>
      </c>
      <c r="T613">
        <f>IF(Table1[[#This Row],[Qty Order]]="Sample","-",IF(Table1[[#This Row],[Qty Order]]="RTFN","-",Table1[[#This Row],[Qty Order]]-Table1[[#This Row],[Qty Accumulate]]))</f>
        <v>0</v>
      </c>
      <c r="U613">
        <f>((Table1[[#This Row],[Shift Output]]*Table1[[#This Row],[Part Weight (gm)]])/1000)+Table1[[#This Row],[Reject Startup (kg)]]+Table1[[#This Row],[Reject Purging (kg)]]+Table1[[#This Row],[Reject Preform (kg)]]</f>
        <v>523.90800000000002</v>
      </c>
      <c r="V613" s="37">
        <f>(Table1[[#This Row],[Gross Weight (gm)]]-Table1[[#This Row],[Part Weight (gm)]])*Table1[[#This Row],[Shift Output]]/1000</f>
        <v>-4.1277599999999683</v>
      </c>
      <c r="W613" s="3">
        <v>0</v>
      </c>
      <c r="X613" s="36">
        <f>Table1[[#This Row],[Reject Startup (kg)]]/Table1[[#This Row],[Material Used]]</f>
        <v>0</v>
      </c>
      <c r="Y613" s="3">
        <v>1</v>
      </c>
      <c r="Z613" s="36">
        <f>Table1[[#This Row],[Reject Prod (kg)]]/Table1[[#This Row],[Material Used]]</f>
        <v>1.9087320674622261E-3</v>
      </c>
      <c r="AA613" s="4">
        <v>20.0386142730712</v>
      </c>
      <c r="AB613" s="5">
        <v>11.97</v>
      </c>
      <c r="AC613" s="4" cm="1">
        <f t="array" ref="AC613">IFERROR(INDEX(ReferenceCard, MATCH(1, (INDEX(ReferenceCard,,1)=Table1[[#This Row],[SAP No]]) * (INDEX(ReferenceCard,,2)=Table1[[#This Row],[Mould No]]), 0), 9),)</f>
        <v>32.74</v>
      </c>
      <c r="AD613" s="5">
        <v>0</v>
      </c>
      <c r="AE613" s="5">
        <v>0</v>
      </c>
      <c r="AF613" s="5">
        <v>0</v>
      </c>
      <c r="AG613" s="5">
        <v>0</v>
      </c>
      <c r="AH613" s="5">
        <v>2.9999999999999898E-2</v>
      </c>
      <c r="AI613" s="5">
        <v>0</v>
      </c>
      <c r="AJ613" s="5">
        <v>0</v>
      </c>
      <c r="AL613" s="2"/>
      <c r="AM613" s="2"/>
      <c r="AN613" s="3">
        <v>0</v>
      </c>
      <c r="AO613" s="3">
        <v>0</v>
      </c>
      <c r="AP613" s="6">
        <f>((Table1[[#This Row],[Reject Startup (kg)]]+Table1[[#This Row],[Reject Prod (kg)]]+Table1[[#This Row],[Reject Purging (kg)]]+Table1[[#This Row],[Reject Preform (kg)]])/Table1[[#This Row],[Part Weight (gm)]])*1000</f>
        <v>30.303030303030305</v>
      </c>
    </row>
    <row r="614" spans="1:42" x14ac:dyDescent="0.35">
      <c r="A614" s="1">
        <v>46003</v>
      </c>
      <c r="B614">
        <v>2</v>
      </c>
      <c r="C614" t="s">
        <v>14</v>
      </c>
      <c r="D614" t="str" cm="1">
        <f t="array" ref="D614">IFERROR(INDEX(ReferenceCard, MATCH(1, (INDEX(ReferenceCard,,1)=Table1[[#This Row],[SAP No]]) * (INDEX(ReferenceCard,,2)=Table1[[#This Row],[Mould No]]), 0), 6),)</f>
        <v>PET</v>
      </c>
      <c r="E614">
        <v>324165</v>
      </c>
      <c r="F614">
        <v>0</v>
      </c>
      <c r="G614" t="str" cm="1">
        <f t="array" ref="G614">IFERROR(INDEX(ReferenceCard, MATCH(1, (INDEX(ReferenceCard,,1)=Table1[[#This Row],[SAP No]]) * (INDEX(ReferenceCard,,2)=Table1[[#This Row],[Mould No]]), 0), 3),)</f>
        <v>JJ63-0400-SH-S-WH</v>
      </c>
      <c r="H614">
        <v>0</v>
      </c>
      <c r="I614" cm="1">
        <f t="array" ref="I614">IFERROR(INDEX(ReferenceCard, MATCH(1, (INDEX(ReferenceCard,,1)=Table1[[#This Row],[SAP No]]) * (INDEX(ReferenceCard,,2)=Table1[[#This Row],[Mould No]]), 0), 4),)</f>
        <v>4</v>
      </c>
      <c r="J614" s="4" cm="1">
        <f t="array" ref="J614">IFERROR(INDEX(ReferenceCard, MATCH(1, (INDEX(ReferenceCard,,1)=Table1[[#This Row],[SAP No]]) * (INDEX(ReferenceCard,,2)=Table1[[#This Row],[Mould No]]), 0), 9),)</f>
        <v>32.56</v>
      </c>
      <c r="K614" s="4" cm="1">
        <f t="array" ref="K614">IFERROR(INDEX(ReferenceCard, MATCH(1, (INDEX(ReferenceCard,,1)=Table1[[#This Row],[SAP No]]) * (INDEX(ReferenceCard,,2)=Table1[[#This Row],[Mould No]]), 0), 7),)</f>
        <v>33</v>
      </c>
      <c r="L614">
        <v>4315</v>
      </c>
      <c r="M614">
        <v>0</v>
      </c>
      <c r="N614">
        <v>0</v>
      </c>
      <c r="O614">
        <v>0</v>
      </c>
      <c r="P614">
        <f>Table1[[#This Row],[Shot]]*Table1[[#This Row],[Cav]]</f>
        <v>17260</v>
      </c>
      <c r="Q614">
        <v>0</v>
      </c>
      <c r="R614">
        <f>(Table1[[#This Row],[Part Weight (gm)]]*Table1[[#This Row],[Finish Good]])/1000</f>
        <v>0</v>
      </c>
      <c r="S614">
        <v>0</v>
      </c>
      <c r="T614">
        <f>IF(Table1[[#This Row],[Qty Order]]="Sample","-",IF(Table1[[#This Row],[Qty Order]]="RTFN","-",Table1[[#This Row],[Qty Order]]-Table1[[#This Row],[Qty Accumulate]]))</f>
        <v>0</v>
      </c>
      <c r="U614">
        <f>((Table1[[#This Row],[Shift Output]]*Table1[[#This Row],[Part Weight (gm)]])/1000)+Table1[[#This Row],[Reject Startup (kg)]]+Table1[[#This Row],[Reject Purging (kg)]]+Table1[[#This Row],[Reject Preform (kg)]]</f>
        <v>569.58000000000004</v>
      </c>
      <c r="V614" s="37">
        <f>(Table1[[#This Row],[Gross Weight (gm)]]-Table1[[#This Row],[Part Weight (gm)]])*Table1[[#This Row],[Shift Output]]/1000</f>
        <v>-7.5943999999999603</v>
      </c>
      <c r="W614" s="3">
        <v>0</v>
      </c>
      <c r="X614" s="36">
        <f>Table1[[#This Row],[Reject Startup (kg)]]/Table1[[#This Row],[Material Used]]</f>
        <v>0</v>
      </c>
      <c r="Y614" s="3">
        <v>1</v>
      </c>
      <c r="Z614" s="36">
        <f>Table1[[#This Row],[Reject Prod (kg)]]/Table1[[#This Row],[Material Used]]</f>
        <v>1.7556796235822887E-3</v>
      </c>
      <c r="AA614" s="4">
        <v>21.207818984985298</v>
      </c>
      <c r="AB614" s="5">
        <v>12</v>
      </c>
      <c r="AC614" s="4" cm="1">
        <f t="array" ref="AC614">IFERROR(INDEX(ReferenceCard, MATCH(1, (INDEX(ReferenceCard,,1)=Table1[[#This Row],[SAP No]]) * (INDEX(ReferenceCard,,2)=Table1[[#This Row],[Mould No]]), 0), 9),)</f>
        <v>32.56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L614" s="2"/>
      <c r="AM614" s="2"/>
      <c r="AN614" s="3">
        <v>0</v>
      </c>
      <c r="AO614" s="3">
        <v>0</v>
      </c>
      <c r="AP614" s="6">
        <f>((Table1[[#This Row],[Reject Startup (kg)]]+Table1[[#This Row],[Reject Prod (kg)]]+Table1[[#This Row],[Reject Purging (kg)]]+Table1[[#This Row],[Reject Preform (kg)]])/Table1[[#This Row],[Part Weight (gm)]])*1000</f>
        <v>30.303030303030305</v>
      </c>
    </row>
    <row r="615" spans="1:42" x14ac:dyDescent="0.35">
      <c r="A615" s="1">
        <v>46003</v>
      </c>
      <c r="B615">
        <v>2</v>
      </c>
      <c r="C615" t="s">
        <v>16</v>
      </c>
      <c r="D615" t="str" cm="1">
        <f t="array" ref="D615">IFERROR(INDEX(ReferenceCard, MATCH(1, (INDEX(ReferenceCard,,1)=Table1[[#This Row],[SAP No]]) * (INDEX(ReferenceCard,,2)=Table1[[#This Row],[Mould No]]), 0), 6),)</f>
        <v>PET</v>
      </c>
      <c r="E615">
        <v>323092</v>
      </c>
      <c r="F615">
        <v>0</v>
      </c>
      <c r="G615" t="str" cm="1">
        <f t="array" ref="G615">IFERROR(INDEX(ReferenceCard, MATCH(1, (INDEX(ReferenceCard,,1)=Table1[[#This Row],[SAP No]]) * (INDEX(ReferenceCard,,2)=Table1[[#This Row],[Mould No]]), 0), 3),)</f>
        <v>BX38-1000-GH-R-CL(GREEN) (ASEM)</v>
      </c>
      <c r="H615">
        <v>0</v>
      </c>
      <c r="I615" cm="1">
        <f t="array" ref="I615">IFERROR(INDEX(ReferenceCard, MATCH(1, (INDEX(ReferenceCard,,1)=Table1[[#This Row],[SAP No]]) * (INDEX(ReferenceCard,,2)=Table1[[#This Row],[Mould No]]), 0), 4),)</f>
        <v>4</v>
      </c>
      <c r="J615" s="4" cm="1">
        <f t="array" ref="J615">IFERROR(INDEX(ReferenceCard, MATCH(1, (INDEX(ReferenceCard,,1)=Table1[[#This Row],[SAP No]]) * (INDEX(ReferenceCard,,2)=Table1[[#This Row],[Mould No]]), 0), 9),)</f>
        <v>48.9</v>
      </c>
      <c r="K615" s="4" cm="1">
        <f t="array" ref="K615">IFERROR(INDEX(ReferenceCard, MATCH(1, (INDEX(ReferenceCard,,1)=Table1[[#This Row],[SAP No]]) * (INDEX(ReferenceCard,,2)=Table1[[#This Row],[Mould No]]), 0), 7),)</f>
        <v>48.9</v>
      </c>
      <c r="L615">
        <v>2705</v>
      </c>
      <c r="M615">
        <v>0</v>
      </c>
      <c r="N615">
        <v>0</v>
      </c>
      <c r="O615">
        <v>0</v>
      </c>
      <c r="P615">
        <f>Table1[[#This Row],[Shot]]*Table1[[#This Row],[Cav]]</f>
        <v>10820</v>
      </c>
      <c r="Q615">
        <v>0</v>
      </c>
      <c r="R615">
        <f>(Table1[[#This Row],[Part Weight (gm)]]*Table1[[#This Row],[Finish Good]])/1000</f>
        <v>0</v>
      </c>
      <c r="S615">
        <v>0</v>
      </c>
      <c r="T615">
        <f>IF(Table1[[#This Row],[Qty Order]]="Sample","-",IF(Table1[[#This Row],[Qty Order]]="RTFN","-",Table1[[#This Row],[Qty Order]]-Table1[[#This Row],[Qty Accumulate]]))</f>
        <v>0</v>
      </c>
      <c r="U615">
        <f>((Table1[[#This Row],[Shift Output]]*Table1[[#This Row],[Part Weight (gm)]])/1000)+Table1[[#This Row],[Reject Startup (kg)]]+Table1[[#This Row],[Reject Purging (kg)]]+Table1[[#This Row],[Reject Preform (kg)]]</f>
        <v>529.09799999999996</v>
      </c>
      <c r="V615" s="37">
        <f>(Table1[[#This Row],[Gross Weight (gm)]]-Table1[[#This Row],[Part Weight (gm)]])*Table1[[#This Row],[Shift Output]]/1000</f>
        <v>0</v>
      </c>
      <c r="W615" s="3">
        <v>0</v>
      </c>
      <c r="X615" s="36">
        <f>Table1[[#This Row],[Reject Startup (kg)]]/Table1[[#This Row],[Material Used]]</f>
        <v>0</v>
      </c>
      <c r="Y615" s="3">
        <v>4</v>
      </c>
      <c r="Z615" s="36">
        <f>Table1[[#This Row],[Reject Prod (kg)]]/Table1[[#This Row],[Material Used]]</f>
        <v>7.5600361369727353E-3</v>
      </c>
      <c r="AA615" s="4">
        <v>28.056724548339801</v>
      </c>
      <c r="AB615" s="5">
        <v>11.76</v>
      </c>
      <c r="AC615" s="4" cm="1">
        <f t="array" ref="AC615">IFERROR(INDEX(ReferenceCard, MATCH(1, (INDEX(ReferenceCard,,1)=Table1[[#This Row],[SAP No]]) * (INDEX(ReferenceCard,,2)=Table1[[#This Row],[Mould No]]), 0), 9),)</f>
        <v>48.9</v>
      </c>
      <c r="AD615" s="5">
        <v>0</v>
      </c>
      <c r="AE615" s="5">
        <v>0</v>
      </c>
      <c r="AF615" s="5">
        <v>0</v>
      </c>
      <c r="AG615" s="5">
        <v>0</v>
      </c>
      <c r="AH615" s="5">
        <v>0.23999999999999899</v>
      </c>
      <c r="AI615" s="5">
        <v>0</v>
      </c>
      <c r="AJ615" s="5">
        <v>0</v>
      </c>
      <c r="AL615" s="2"/>
      <c r="AM615" s="2"/>
      <c r="AN615" s="3">
        <v>0</v>
      </c>
      <c r="AO615" s="3">
        <v>0</v>
      </c>
      <c r="AP615" s="6">
        <f>((Table1[[#This Row],[Reject Startup (kg)]]+Table1[[#This Row],[Reject Prod (kg)]]+Table1[[#This Row],[Reject Purging (kg)]]+Table1[[#This Row],[Reject Preform (kg)]])/Table1[[#This Row],[Part Weight (gm)]])*1000</f>
        <v>81.799591002044991</v>
      </c>
    </row>
    <row r="616" spans="1:42" x14ac:dyDescent="0.35">
      <c r="A616" s="1">
        <v>46003</v>
      </c>
      <c r="B616">
        <v>2</v>
      </c>
      <c r="C616" t="s">
        <v>23</v>
      </c>
      <c r="D616" t="str" cm="1">
        <f t="array" ref="D616">IFERROR(INDEX(ReferenceCard, MATCH(1, (INDEX(ReferenceCard,,1)=Table1[[#This Row],[SAP No]]) * (INDEX(ReferenceCard,,2)=Table1[[#This Row],[Mould No]]), 0), 6),)</f>
        <v>PPSB520Y</v>
      </c>
      <c r="E616">
        <v>586276</v>
      </c>
      <c r="F616">
        <v>2</v>
      </c>
      <c r="G616" t="str" cm="1">
        <f t="array" ref="G616">IFERROR(INDEX(ReferenceCard, MATCH(1, (INDEX(ReferenceCard,,1)=Table1[[#This Row],[SAP No]]) * (INDEX(ReferenceCard,,2)=Table1[[#This Row],[Mould No]]), 0), 3),)</f>
        <v>BC28-0056-D-APH-LEB-604001-MOLD2</v>
      </c>
      <c r="H616">
        <v>0</v>
      </c>
      <c r="I616" cm="1">
        <f t="array" ref="I616">IFERROR(INDEX(ReferenceCard, MATCH(1, (INDEX(ReferenceCard,,1)=Table1[[#This Row],[SAP No]]) * (INDEX(ReferenceCard,,2)=Table1[[#This Row],[Mould No]]), 0), 4),)</f>
        <v>6</v>
      </c>
      <c r="J616" s="4" cm="1">
        <f t="array" ref="J616">IFERROR(INDEX(ReferenceCard, MATCH(1, (INDEX(ReferenceCard,,1)=Table1[[#This Row],[SAP No]]) * (INDEX(ReferenceCard,,2)=Table1[[#This Row],[Mould No]]), 0), 9),)</f>
        <v>12.3</v>
      </c>
      <c r="K616" s="4" cm="1">
        <f t="array" ref="K616">IFERROR(INDEX(ReferenceCard, MATCH(1, (INDEX(ReferenceCard,,1)=Table1[[#This Row],[SAP No]]) * (INDEX(ReferenceCard,,2)=Table1[[#This Row],[Mould No]]), 0), 7),)</f>
        <v>12.3</v>
      </c>
      <c r="L616">
        <v>3863</v>
      </c>
      <c r="M616">
        <v>0</v>
      </c>
      <c r="N616">
        <v>0</v>
      </c>
      <c r="O616">
        <v>0</v>
      </c>
      <c r="P616">
        <f>Table1[[#This Row],[Shot]]*Table1[[#This Row],[Cav]]</f>
        <v>23178</v>
      </c>
      <c r="Q616">
        <v>0</v>
      </c>
      <c r="R616">
        <f>(Table1[[#This Row],[Part Weight (gm)]]*Table1[[#This Row],[Finish Good]])/1000</f>
        <v>0</v>
      </c>
      <c r="S616">
        <v>0</v>
      </c>
      <c r="T616">
        <f>IF(Table1[[#This Row],[Qty Order]]="Sample","-",IF(Table1[[#This Row],[Qty Order]]="RTFN","-",Table1[[#This Row],[Qty Order]]-Table1[[#This Row],[Qty Accumulate]]))</f>
        <v>0</v>
      </c>
      <c r="U616">
        <f>((Table1[[#This Row],[Shift Output]]*Table1[[#This Row],[Part Weight (gm)]])/1000)+Table1[[#This Row],[Reject Startup (kg)]]+Table1[[#This Row],[Reject Purging (kg)]]+Table1[[#This Row],[Reject Preform (kg)]]</f>
        <v>285.08940000000001</v>
      </c>
      <c r="V616" s="37">
        <f>(Table1[[#This Row],[Gross Weight (gm)]]-Table1[[#This Row],[Part Weight (gm)]])*Table1[[#This Row],[Shift Output]]/1000</f>
        <v>0</v>
      </c>
      <c r="W616" s="3">
        <v>0</v>
      </c>
      <c r="X616" s="36">
        <f>Table1[[#This Row],[Reject Startup (kg)]]/Table1[[#This Row],[Material Used]]</f>
        <v>0</v>
      </c>
      <c r="Y616" s="3">
        <v>1</v>
      </c>
      <c r="Z616" s="36">
        <f>Table1[[#This Row],[Reject Prod (kg)]]/Table1[[#This Row],[Material Used]]</f>
        <v>3.5076716286189524E-3</v>
      </c>
      <c r="AA616" s="4">
        <v>25.4820652008056</v>
      </c>
      <c r="AB616" s="5">
        <v>12</v>
      </c>
      <c r="AC616" s="4" cm="1">
        <f t="array" ref="AC616">IFERROR(INDEX(ReferenceCard, MATCH(1, (INDEX(ReferenceCard,,1)=Table1[[#This Row],[SAP No]]) * (INDEX(ReferenceCard,,2)=Table1[[#This Row],[Mould No]]), 0), 9),)</f>
        <v>12.3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L616" s="2"/>
      <c r="AM616" s="2"/>
      <c r="AN616" s="3">
        <v>0</v>
      </c>
      <c r="AO616" s="3">
        <v>0</v>
      </c>
      <c r="AP616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617" spans="1:42" x14ac:dyDescent="0.35">
      <c r="A617" s="1">
        <v>46003</v>
      </c>
      <c r="B617">
        <v>2</v>
      </c>
      <c r="C617" t="s">
        <v>25</v>
      </c>
      <c r="D617" t="str" cm="1">
        <f t="array" ref="D617">IFERROR(INDEX(ReferenceCard, MATCH(1, (INDEX(ReferenceCard,,1)=Table1[[#This Row],[SAP No]]) * (INDEX(ReferenceCard,,2)=Table1[[#This Row],[Mould No]]), 0), 6),)</f>
        <v>PET</v>
      </c>
      <c r="E617">
        <v>323133</v>
      </c>
      <c r="F617">
        <v>0</v>
      </c>
      <c r="G617" t="str" cm="1">
        <f t="array" ref="G617">IFERROR(INDEX(ReferenceCard, MATCH(1, (INDEX(ReferenceCard,,1)=Table1[[#This Row],[SAP No]]) * (INDEX(ReferenceCard,,2)=Table1[[#This Row],[Mould No]]), 0), 3),)</f>
        <v>BX38-2000-RH-R-CL(GREEN) (ASEM)</v>
      </c>
      <c r="H617">
        <v>0</v>
      </c>
      <c r="I617" cm="1">
        <f t="array" ref="I617">IFERROR(INDEX(ReferenceCard, MATCH(1, (INDEX(ReferenceCard,,1)=Table1[[#This Row],[SAP No]]) * (INDEX(ReferenceCard,,2)=Table1[[#This Row],[Mould No]]), 0), 4),)</f>
        <v>4</v>
      </c>
      <c r="J617" s="4" cm="1">
        <f t="array" ref="J617">IFERROR(INDEX(ReferenceCard, MATCH(1, (INDEX(ReferenceCard,,1)=Table1[[#This Row],[SAP No]]) * (INDEX(ReferenceCard,,2)=Table1[[#This Row],[Mould No]]), 0), 9),)</f>
        <v>77</v>
      </c>
      <c r="K617" s="4" cm="1">
        <f t="array" ref="K617">IFERROR(INDEX(ReferenceCard, MATCH(1, (INDEX(ReferenceCard,,1)=Table1[[#This Row],[SAP No]]) * (INDEX(ReferenceCard,,2)=Table1[[#This Row],[Mould No]]), 0), 7),)</f>
        <v>77</v>
      </c>
      <c r="L617">
        <v>2987</v>
      </c>
      <c r="M617">
        <v>0</v>
      </c>
      <c r="N617">
        <v>0</v>
      </c>
      <c r="O617">
        <v>0</v>
      </c>
      <c r="P617">
        <f>Table1[[#This Row],[Shot]]*Table1[[#This Row],[Cav]]</f>
        <v>11948</v>
      </c>
      <c r="Q617">
        <v>0</v>
      </c>
      <c r="R617">
        <f>(Table1[[#This Row],[Part Weight (gm)]]*Table1[[#This Row],[Finish Good]])/1000</f>
        <v>0</v>
      </c>
      <c r="S617">
        <v>0</v>
      </c>
      <c r="T617">
        <f>IF(Table1[[#This Row],[Qty Order]]="Sample","-",IF(Table1[[#This Row],[Qty Order]]="RTFN","-",Table1[[#This Row],[Qty Order]]-Table1[[#This Row],[Qty Accumulate]]))</f>
        <v>0</v>
      </c>
      <c r="U617">
        <f>((Table1[[#This Row],[Shift Output]]*Table1[[#This Row],[Part Weight (gm)]])/1000)+Table1[[#This Row],[Reject Startup (kg)]]+Table1[[#This Row],[Reject Purging (kg)]]+Table1[[#This Row],[Reject Preform (kg)]]</f>
        <v>919.99599999999998</v>
      </c>
      <c r="V617" s="37">
        <f>(Table1[[#This Row],[Gross Weight (gm)]]-Table1[[#This Row],[Part Weight (gm)]])*Table1[[#This Row],[Shift Output]]/1000</f>
        <v>0</v>
      </c>
      <c r="W617" s="3">
        <v>0</v>
      </c>
      <c r="X617" s="36">
        <f>Table1[[#This Row],[Reject Startup (kg)]]/Table1[[#This Row],[Material Used]]</f>
        <v>0</v>
      </c>
      <c r="Y617" s="3">
        <v>5</v>
      </c>
      <c r="Z617" s="36">
        <f>Table1[[#This Row],[Reject Prod (kg)]]/Table1[[#This Row],[Material Used]]</f>
        <v>5.434806238287993E-3</v>
      </c>
      <c r="AA617" s="4">
        <v>28.0754680633544</v>
      </c>
      <c r="AB617" s="5">
        <v>12</v>
      </c>
      <c r="AC617" s="4" cm="1">
        <f t="array" ref="AC617">IFERROR(INDEX(ReferenceCard, MATCH(1, (INDEX(ReferenceCard,,1)=Table1[[#This Row],[SAP No]]) * (INDEX(ReferenceCard,,2)=Table1[[#This Row],[Mould No]]), 0), 9),)</f>
        <v>77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L617" s="2"/>
      <c r="AM617" s="2"/>
      <c r="AN617" s="3">
        <v>0</v>
      </c>
      <c r="AO617" s="3">
        <v>0</v>
      </c>
      <c r="AP617" s="6">
        <f>((Table1[[#This Row],[Reject Startup (kg)]]+Table1[[#This Row],[Reject Prod (kg)]]+Table1[[#This Row],[Reject Purging (kg)]]+Table1[[#This Row],[Reject Preform (kg)]])/Table1[[#This Row],[Part Weight (gm)]])*1000</f>
        <v>64.935064935064929</v>
      </c>
    </row>
    <row r="618" spans="1:42" x14ac:dyDescent="0.35">
      <c r="A618" s="1">
        <v>46003</v>
      </c>
      <c r="B618">
        <v>2</v>
      </c>
      <c r="C618" t="s">
        <v>27</v>
      </c>
      <c r="D618" t="str" cm="1">
        <f t="array" ref="D618">IFERROR(INDEX(ReferenceCard, MATCH(1, (INDEX(ReferenceCard,,1)=Table1[[#This Row],[SAP No]]) * (INDEX(ReferenceCard,,2)=Table1[[#This Row],[Mould No]]), 0), 6),)</f>
        <v>PPSB520Y</v>
      </c>
      <c r="E618">
        <v>552181</v>
      </c>
      <c r="F618">
        <v>4</v>
      </c>
      <c r="G618" t="str" cm="1">
        <f t="array" ref="G618">IFERROR(INDEX(ReferenceCard, MATCH(1, (INDEX(ReferenceCard,,1)=Table1[[#This Row],[SAP No]]) * (INDEX(ReferenceCard,,2)=Table1[[#This Row],[Mould No]]), 0), 3),)</f>
        <v>BC28-0090-D-APH-5180-3538-PP-6 NOTCHES-MOLD4</v>
      </c>
      <c r="H618">
        <v>0</v>
      </c>
      <c r="I618" cm="1">
        <f t="array" ref="I618">IFERROR(INDEX(ReferenceCard, MATCH(1, (INDEX(ReferenceCard,,1)=Table1[[#This Row],[SAP No]]) * (INDEX(ReferenceCard,,2)=Table1[[#This Row],[Mould No]]), 0), 4),)</f>
        <v>6</v>
      </c>
      <c r="J618" s="4" cm="1">
        <f t="array" ref="J618">IFERROR(INDEX(ReferenceCard, MATCH(1, (INDEX(ReferenceCard,,1)=Table1[[#This Row],[SAP No]]) * (INDEX(ReferenceCard,,2)=Table1[[#This Row],[Mould No]]), 0), 9),)</f>
        <v>18.8</v>
      </c>
      <c r="K618" s="4" cm="1">
        <f t="array" ref="K618">IFERROR(INDEX(ReferenceCard, MATCH(1, (INDEX(ReferenceCard,,1)=Table1[[#This Row],[SAP No]]) * (INDEX(ReferenceCard,,2)=Table1[[#This Row],[Mould No]]), 0), 7),)</f>
        <v>18.8</v>
      </c>
      <c r="L618">
        <v>124</v>
      </c>
      <c r="M618">
        <v>0</v>
      </c>
      <c r="N618">
        <v>0</v>
      </c>
      <c r="O618">
        <v>0</v>
      </c>
      <c r="P618">
        <f>Table1[[#This Row],[Shot]]*Table1[[#This Row],[Cav]]</f>
        <v>744</v>
      </c>
      <c r="Q618">
        <v>0</v>
      </c>
      <c r="R618">
        <f>(Table1[[#This Row],[Part Weight (gm)]]*Table1[[#This Row],[Finish Good]])/1000</f>
        <v>0</v>
      </c>
      <c r="S618">
        <v>0</v>
      </c>
      <c r="T618">
        <f>IF(Table1[[#This Row],[Qty Order]]="Sample","-",IF(Table1[[#This Row],[Qty Order]]="RTFN","-",Table1[[#This Row],[Qty Order]]-Table1[[#This Row],[Qty Accumulate]]))</f>
        <v>0</v>
      </c>
      <c r="U618">
        <f>((Table1[[#This Row],[Shift Output]]*Table1[[#This Row],[Part Weight (gm)]])/1000)+Table1[[#This Row],[Reject Startup (kg)]]+Table1[[#This Row],[Reject Purging (kg)]]+Table1[[#This Row],[Reject Preform (kg)]]</f>
        <v>21.987200000000001</v>
      </c>
      <c r="V618" s="37">
        <f>(Table1[[#This Row],[Gross Weight (gm)]]-Table1[[#This Row],[Part Weight (gm)]])*Table1[[#This Row],[Shift Output]]/1000</f>
        <v>0</v>
      </c>
      <c r="W618" s="3">
        <v>8</v>
      </c>
      <c r="X618" s="36">
        <f>Table1[[#This Row],[Reject Startup (kg)]]/Table1[[#This Row],[Material Used]]</f>
        <v>0.3638480570513753</v>
      </c>
      <c r="Y618" s="3">
        <v>0</v>
      </c>
      <c r="Z618" s="36">
        <f>Table1[[#This Row],[Reject Prod (kg)]]/Table1[[#This Row],[Material Used]]</f>
        <v>0</v>
      </c>
      <c r="AA618" s="4">
        <v>0</v>
      </c>
      <c r="AB618" s="5">
        <v>0</v>
      </c>
      <c r="AC618" s="4" cm="1">
        <f t="array" ref="AC618">IFERROR(INDEX(ReferenceCard, MATCH(1, (INDEX(ReferenceCard,,1)=Table1[[#This Row],[SAP No]]) * (INDEX(ReferenceCard,,2)=Table1[[#This Row],[Mould No]]), 0), 9),)</f>
        <v>18.8</v>
      </c>
      <c r="AD618" s="5">
        <v>0</v>
      </c>
      <c r="AE618" s="5">
        <v>0</v>
      </c>
      <c r="AF618" s="5">
        <v>0</v>
      </c>
      <c r="AG618" s="5">
        <v>0</v>
      </c>
      <c r="AH618" s="5">
        <v>12</v>
      </c>
      <c r="AI618" s="5">
        <v>0</v>
      </c>
      <c r="AJ618" s="5">
        <v>0</v>
      </c>
      <c r="AL618" s="2"/>
      <c r="AM618" s="2"/>
      <c r="AN618" s="3">
        <v>0</v>
      </c>
      <c r="AO618" s="3">
        <v>0</v>
      </c>
      <c r="AP618" s="6">
        <f>((Table1[[#This Row],[Reject Startup (kg)]]+Table1[[#This Row],[Reject Prod (kg)]]+Table1[[#This Row],[Reject Purging (kg)]]+Table1[[#This Row],[Reject Preform (kg)]])/Table1[[#This Row],[Part Weight (gm)]])*1000</f>
        <v>425.531914893617</v>
      </c>
    </row>
    <row r="619" spans="1:42" x14ac:dyDescent="0.35">
      <c r="A619" s="1">
        <v>46003</v>
      </c>
      <c r="B619">
        <v>2</v>
      </c>
      <c r="C619" t="s">
        <v>29</v>
      </c>
      <c r="D619" t="str" cm="1">
        <f t="array" ref="D619">IFERROR(INDEX(ReferenceCard, MATCH(1, (INDEX(ReferenceCard,,1)=Table1[[#This Row],[SAP No]]) * (INDEX(ReferenceCard,,2)=Table1[[#This Row],[Mould No]]), 0), 6),)</f>
        <v>PET</v>
      </c>
      <c r="E619">
        <v>620599</v>
      </c>
      <c r="F619">
        <v>0</v>
      </c>
      <c r="G619" t="str" cm="1">
        <f t="array" ref="G619">IFERROR(INDEX(ReferenceCard, MATCH(1, (INDEX(ReferenceCard,,1)=Table1[[#This Row],[SAP No]]) * (INDEX(ReferenceCard,,2)=Table1[[#This Row],[Mould No]]), 0), 3),)</f>
        <v>BC28-0750-K4-R-CL (55g)</v>
      </c>
      <c r="H619">
        <v>0</v>
      </c>
      <c r="I619" cm="1">
        <f t="array" ref="I619">IFERROR(INDEX(ReferenceCard, MATCH(1, (INDEX(ReferenceCard,,1)=Table1[[#This Row],[SAP No]]) * (INDEX(ReferenceCard,,2)=Table1[[#This Row],[Mould No]]), 0), 4),)</f>
        <v>4</v>
      </c>
      <c r="J619" s="4" cm="1">
        <f t="array" ref="J619">IFERROR(INDEX(ReferenceCard, MATCH(1, (INDEX(ReferenceCard,,1)=Table1[[#This Row],[SAP No]]) * (INDEX(ReferenceCard,,2)=Table1[[#This Row],[Mould No]]), 0), 9),)</f>
        <v>55</v>
      </c>
      <c r="K619" s="4" cm="1">
        <f t="array" ref="K619">IFERROR(INDEX(ReferenceCard, MATCH(1, (INDEX(ReferenceCard,,1)=Table1[[#This Row],[SAP No]]) * (INDEX(ReferenceCard,,2)=Table1[[#This Row],[Mould No]]), 0), 7),)</f>
        <v>55</v>
      </c>
      <c r="L619">
        <v>1851</v>
      </c>
      <c r="M619">
        <v>0</v>
      </c>
      <c r="N619">
        <v>0</v>
      </c>
      <c r="O619">
        <v>0</v>
      </c>
      <c r="P619">
        <f>Table1[[#This Row],[Shot]]*Table1[[#This Row],[Cav]]</f>
        <v>7404</v>
      </c>
      <c r="Q619">
        <v>0</v>
      </c>
      <c r="R619">
        <f>(Table1[[#This Row],[Part Weight (gm)]]*Table1[[#This Row],[Finish Good]])/1000</f>
        <v>0</v>
      </c>
      <c r="S619">
        <v>0</v>
      </c>
      <c r="T619">
        <f>IF(Table1[[#This Row],[Qty Order]]="Sample","-",IF(Table1[[#This Row],[Qty Order]]="RTFN","-",Table1[[#This Row],[Qty Order]]-Table1[[#This Row],[Qty Accumulate]]))</f>
        <v>0</v>
      </c>
      <c r="U619">
        <f>((Table1[[#This Row],[Shift Output]]*Table1[[#This Row],[Part Weight (gm)]])/1000)+Table1[[#This Row],[Reject Startup (kg)]]+Table1[[#This Row],[Reject Purging (kg)]]+Table1[[#This Row],[Reject Preform (kg)]]</f>
        <v>407.22</v>
      </c>
      <c r="V619" s="37">
        <f>(Table1[[#This Row],[Gross Weight (gm)]]-Table1[[#This Row],[Part Weight (gm)]])*Table1[[#This Row],[Shift Output]]/1000</f>
        <v>0</v>
      </c>
      <c r="W619" s="3">
        <v>0</v>
      </c>
      <c r="X619" s="36">
        <f>Table1[[#This Row],[Reject Startup (kg)]]/Table1[[#This Row],[Material Used]]</f>
        <v>0</v>
      </c>
      <c r="Y619" s="3">
        <v>28</v>
      </c>
      <c r="Z619" s="36">
        <f>Table1[[#This Row],[Reject Prod (kg)]]/Table1[[#This Row],[Material Used]]</f>
        <v>6.8758901822110891E-2</v>
      </c>
      <c r="AA619" s="4">
        <v>28.705743789672798</v>
      </c>
      <c r="AB619" s="5">
        <v>10.8699999999999</v>
      </c>
      <c r="AC619" s="4" cm="1">
        <f t="array" ref="AC619">IFERROR(INDEX(ReferenceCard, MATCH(1, (INDEX(ReferenceCard,,1)=Table1[[#This Row],[SAP No]]) * (INDEX(ReferenceCard,,2)=Table1[[#This Row],[Mould No]]), 0), 9),)</f>
        <v>55</v>
      </c>
      <c r="AD619" s="5">
        <v>0</v>
      </c>
      <c r="AE619" s="5">
        <v>0</v>
      </c>
      <c r="AF619" s="5">
        <v>0</v>
      </c>
      <c r="AG619" s="5">
        <v>0</v>
      </c>
      <c r="AH619" s="5">
        <v>1.1299999999999899</v>
      </c>
      <c r="AI619" s="5">
        <v>0</v>
      </c>
      <c r="AJ619" s="5">
        <v>0</v>
      </c>
      <c r="AL619" s="2"/>
      <c r="AM619" s="2"/>
      <c r="AN619" s="3">
        <v>0</v>
      </c>
      <c r="AO619" s="3">
        <v>0</v>
      </c>
      <c r="AP619" s="6">
        <f>((Table1[[#This Row],[Reject Startup (kg)]]+Table1[[#This Row],[Reject Prod (kg)]]+Table1[[#This Row],[Reject Purging (kg)]]+Table1[[#This Row],[Reject Preform (kg)]])/Table1[[#This Row],[Part Weight (gm)]])*1000</f>
        <v>509.09090909090907</v>
      </c>
    </row>
    <row r="620" spans="1:42" x14ac:dyDescent="0.35">
      <c r="A620" s="1">
        <v>46003</v>
      </c>
      <c r="B620">
        <v>2</v>
      </c>
      <c r="C620" t="s">
        <v>31</v>
      </c>
      <c r="D620" t="str" cm="1">
        <f t="array" ref="D620">IFERROR(INDEX(ReferenceCard, MATCH(1, (INDEX(ReferenceCard,,1)=Table1[[#This Row],[SAP No]]) * (INDEX(ReferenceCard,,2)=Table1[[#This Row],[Mould No]]), 0), 6),)</f>
        <v>PPSB520Y</v>
      </c>
      <c r="E620">
        <v>586276</v>
      </c>
      <c r="F620">
        <v>4</v>
      </c>
      <c r="G620" t="str" cm="1">
        <f t="array" ref="G620">IFERROR(INDEX(ReferenceCard, MATCH(1, (INDEX(ReferenceCard,,1)=Table1[[#This Row],[SAP No]]) * (INDEX(ReferenceCard,,2)=Table1[[#This Row],[Mould No]]), 0), 3),)</f>
        <v>BC28-0056-D-APH-LEB-604001-MOLD4</v>
      </c>
      <c r="H620">
        <v>0</v>
      </c>
      <c r="I620" cm="1">
        <f t="array" ref="I620">IFERROR(INDEX(ReferenceCard, MATCH(1, (INDEX(ReferenceCard,,1)=Table1[[#This Row],[SAP No]]) * (INDEX(ReferenceCard,,2)=Table1[[#This Row],[Mould No]]), 0), 4),)</f>
        <v>6</v>
      </c>
      <c r="J620" s="4" cm="1">
        <f t="array" ref="J620">IFERROR(INDEX(ReferenceCard, MATCH(1, (INDEX(ReferenceCard,,1)=Table1[[#This Row],[SAP No]]) * (INDEX(ReferenceCard,,2)=Table1[[#This Row],[Mould No]]), 0), 9),)</f>
        <v>12.3</v>
      </c>
      <c r="K620" s="4" cm="1">
        <f t="array" ref="K620">IFERROR(INDEX(ReferenceCard, MATCH(1, (INDEX(ReferenceCard,,1)=Table1[[#This Row],[SAP No]]) * (INDEX(ReferenceCard,,2)=Table1[[#This Row],[Mould No]]), 0), 7),)</f>
        <v>12.3</v>
      </c>
      <c r="L620">
        <v>3145</v>
      </c>
      <c r="M620">
        <v>0</v>
      </c>
      <c r="N620">
        <v>0</v>
      </c>
      <c r="O620">
        <v>0</v>
      </c>
      <c r="P620">
        <f>Table1[[#This Row],[Shot]]*Table1[[#This Row],[Cav]]</f>
        <v>18870</v>
      </c>
      <c r="Q620">
        <v>0</v>
      </c>
      <c r="R620">
        <f>(Table1[[#This Row],[Part Weight (gm)]]*Table1[[#This Row],[Finish Good]])/1000</f>
        <v>0</v>
      </c>
      <c r="S620">
        <v>0</v>
      </c>
      <c r="T620">
        <f>IF(Table1[[#This Row],[Qty Order]]="Sample","-",IF(Table1[[#This Row],[Qty Order]]="RTFN","-",Table1[[#This Row],[Qty Order]]-Table1[[#This Row],[Qty Accumulate]]))</f>
        <v>0</v>
      </c>
      <c r="U620">
        <f>((Table1[[#This Row],[Shift Output]]*Table1[[#This Row],[Part Weight (gm)]])/1000)+Table1[[#This Row],[Reject Startup (kg)]]+Table1[[#This Row],[Reject Purging (kg)]]+Table1[[#This Row],[Reject Preform (kg)]]</f>
        <v>232.101</v>
      </c>
      <c r="V620" s="37">
        <f>(Table1[[#This Row],[Gross Weight (gm)]]-Table1[[#This Row],[Part Weight (gm)]])*Table1[[#This Row],[Shift Output]]/1000</f>
        <v>0</v>
      </c>
      <c r="W620" s="3">
        <v>0</v>
      </c>
      <c r="X620" s="36">
        <f>Table1[[#This Row],[Reject Startup (kg)]]/Table1[[#This Row],[Material Used]]</f>
        <v>0</v>
      </c>
      <c r="Y620" s="3">
        <v>1</v>
      </c>
      <c r="Z620" s="36">
        <f>Table1[[#This Row],[Reject Prod (kg)]]/Table1[[#This Row],[Material Used]]</f>
        <v>4.3084691578235334E-3</v>
      </c>
      <c r="AA620" s="4">
        <v>26.177162170410099</v>
      </c>
      <c r="AB620" s="5">
        <v>8.0099999999999891</v>
      </c>
      <c r="AC620" s="4" cm="1">
        <f t="array" ref="AC620">IFERROR(INDEX(ReferenceCard, MATCH(1, (INDEX(ReferenceCard,,1)=Table1[[#This Row],[SAP No]]) * (INDEX(ReferenceCard,,2)=Table1[[#This Row],[Mould No]]), 0), 9),)</f>
        <v>12.3</v>
      </c>
      <c r="AD620" s="5">
        <v>0</v>
      </c>
      <c r="AE620" s="5">
        <v>0</v>
      </c>
      <c r="AF620" s="5">
        <v>0</v>
      </c>
      <c r="AG620" s="5">
        <v>0</v>
      </c>
      <c r="AH620" s="5">
        <v>3.99</v>
      </c>
      <c r="AI620" s="5">
        <v>0</v>
      </c>
      <c r="AJ620" s="5">
        <v>0</v>
      </c>
      <c r="AL620" s="2"/>
      <c r="AM620" s="2"/>
      <c r="AN620" s="3">
        <v>0</v>
      </c>
      <c r="AO620" s="3">
        <v>0</v>
      </c>
      <c r="AP620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621" spans="1:42" x14ac:dyDescent="0.35">
      <c r="A621" s="1">
        <v>46003</v>
      </c>
      <c r="B621">
        <v>2</v>
      </c>
      <c r="C621" t="s">
        <v>33</v>
      </c>
      <c r="D621" t="str" cm="1">
        <f t="array" ref="D621">IFERROR(INDEX(ReferenceCard, MATCH(1, (INDEX(ReferenceCard,,1)=Table1[[#This Row],[SAP No]]) * (INDEX(ReferenceCard,,2)=Table1[[#This Row],[Mould No]]), 0), 6),)</f>
        <v>PET</v>
      </c>
      <c r="E621">
        <v>541381</v>
      </c>
      <c r="F621">
        <v>0</v>
      </c>
      <c r="G621" t="str" cm="1">
        <f t="array" ref="G621">IFERROR(INDEX(ReferenceCard, MATCH(1, (INDEX(ReferenceCard,,1)=Table1[[#This Row],[SAP No]]) * (INDEX(ReferenceCard,,2)=Table1[[#This Row],[Mould No]]), 0), 3),)</f>
        <v>BC28-1200-K-R-CL</v>
      </c>
      <c r="H621">
        <v>0</v>
      </c>
      <c r="I621" cm="1">
        <f t="array" ref="I621">IFERROR(INDEX(ReferenceCard, MATCH(1, (INDEX(ReferenceCard,,1)=Table1[[#This Row],[SAP No]]) * (INDEX(ReferenceCard,,2)=Table1[[#This Row],[Mould No]]), 0), 4),)</f>
        <v>4</v>
      </c>
      <c r="J621" s="4" cm="1">
        <f t="array" ref="J621">IFERROR(INDEX(ReferenceCard, MATCH(1, (INDEX(ReferenceCard,,1)=Table1[[#This Row],[SAP No]]) * (INDEX(ReferenceCard,,2)=Table1[[#This Row],[Mould No]]), 0), 9),)</f>
        <v>55</v>
      </c>
      <c r="K621" s="4" cm="1">
        <f t="array" ref="K621">IFERROR(INDEX(ReferenceCard, MATCH(1, (INDEX(ReferenceCard,,1)=Table1[[#This Row],[SAP No]]) * (INDEX(ReferenceCard,,2)=Table1[[#This Row],[Mould No]]), 0), 7),)</f>
        <v>55</v>
      </c>
      <c r="L621">
        <v>0</v>
      </c>
      <c r="M621">
        <v>0</v>
      </c>
      <c r="N621">
        <v>0</v>
      </c>
      <c r="O621">
        <v>0</v>
      </c>
      <c r="P621">
        <f>Table1[[#This Row],[Shot]]*Table1[[#This Row],[Cav]]</f>
        <v>0</v>
      </c>
      <c r="Q621">
        <v>0</v>
      </c>
      <c r="R621">
        <f>(Table1[[#This Row],[Part Weight (gm)]]*Table1[[#This Row],[Finish Good]])/1000</f>
        <v>0</v>
      </c>
      <c r="S621">
        <v>0</v>
      </c>
      <c r="T621">
        <f>IF(Table1[[#This Row],[Qty Order]]="Sample","-",IF(Table1[[#This Row],[Qty Order]]="RTFN","-",Table1[[#This Row],[Qty Order]]-Table1[[#This Row],[Qty Accumulate]]))</f>
        <v>0</v>
      </c>
      <c r="U621">
        <f>((Table1[[#This Row],[Shift Output]]*Table1[[#This Row],[Part Weight (gm)]])/1000)+Table1[[#This Row],[Reject Startup (kg)]]+Table1[[#This Row],[Reject Purging (kg)]]+Table1[[#This Row],[Reject Preform (kg)]]</f>
        <v>0</v>
      </c>
      <c r="V621" s="37">
        <f>(Table1[[#This Row],[Gross Weight (gm)]]-Table1[[#This Row],[Part Weight (gm)]])*Table1[[#This Row],[Shift Output]]/1000</f>
        <v>0</v>
      </c>
      <c r="W621" s="3">
        <v>0</v>
      </c>
      <c r="X621" s="36" t="e">
        <f>Table1[[#This Row],[Reject Startup (kg)]]/Table1[[#This Row],[Material Used]]</f>
        <v>#DIV/0!</v>
      </c>
      <c r="Y621" s="3">
        <v>0</v>
      </c>
      <c r="Z621" s="36" t="e">
        <f>Table1[[#This Row],[Reject Prod (kg)]]/Table1[[#This Row],[Material Used]]</f>
        <v>#DIV/0!</v>
      </c>
      <c r="AA621" s="4">
        <v>0</v>
      </c>
      <c r="AB621" s="5">
        <v>0</v>
      </c>
      <c r="AC621" s="4" cm="1">
        <f t="array" ref="AC621">IFERROR(INDEX(ReferenceCard, MATCH(1, (INDEX(ReferenceCard,,1)=Table1[[#This Row],[SAP No]]) * (INDEX(ReferenceCard,,2)=Table1[[#This Row],[Mould No]]), 0), 9),)</f>
        <v>55</v>
      </c>
      <c r="AD621" s="5">
        <v>12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t="s">
        <v>150</v>
      </c>
      <c r="AL621" s="2" t="s">
        <v>151</v>
      </c>
      <c r="AM621" s="2"/>
      <c r="AN621" s="3"/>
      <c r="AO621" s="3">
        <v>0</v>
      </c>
      <c r="AP62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22" spans="1:42" x14ac:dyDescent="0.35">
      <c r="A622" s="1">
        <v>46003</v>
      </c>
      <c r="B622">
        <v>2</v>
      </c>
      <c r="C622" t="s">
        <v>35</v>
      </c>
      <c r="D622" t="str" cm="1">
        <f t="array" ref="D622">IFERROR(INDEX(ReferenceCard, MATCH(1, (INDEX(ReferenceCard,,1)=Table1[[#This Row],[SAP No]]) * (INDEX(ReferenceCard,,2)=Table1[[#This Row],[Mould No]]), 0), 6),)</f>
        <v>PPSB520Y</v>
      </c>
      <c r="E622">
        <v>552181</v>
      </c>
      <c r="F622">
        <v>1</v>
      </c>
      <c r="G622" t="str" cm="1">
        <f t="array" ref="G622">IFERROR(INDEX(ReferenceCard, MATCH(1, (INDEX(ReferenceCard,,1)=Table1[[#This Row],[SAP No]]) * (INDEX(ReferenceCard,,2)=Table1[[#This Row],[Mould No]]), 0), 3),)</f>
        <v>BC28-0090-D-APH-5180-3538-PP-6 NOTCHES-MOLD1</v>
      </c>
      <c r="H622">
        <v>0</v>
      </c>
      <c r="I622" cm="1">
        <f t="array" ref="I622">IFERROR(INDEX(ReferenceCard, MATCH(1, (INDEX(ReferenceCard,,1)=Table1[[#This Row],[SAP No]]) * (INDEX(ReferenceCard,,2)=Table1[[#This Row],[Mould No]]), 0), 4),)</f>
        <v>6</v>
      </c>
      <c r="J622" s="4" cm="1">
        <f t="array" ref="J622">IFERROR(INDEX(ReferenceCard, MATCH(1, (INDEX(ReferenceCard,,1)=Table1[[#This Row],[SAP No]]) * (INDEX(ReferenceCard,,2)=Table1[[#This Row],[Mould No]]), 0), 9),)</f>
        <v>18.8</v>
      </c>
      <c r="K622" s="4" cm="1">
        <f t="array" ref="K622">IFERROR(INDEX(ReferenceCard, MATCH(1, (INDEX(ReferenceCard,,1)=Table1[[#This Row],[SAP No]]) * (INDEX(ReferenceCard,,2)=Table1[[#This Row],[Mould No]]), 0), 7),)</f>
        <v>18.8</v>
      </c>
      <c r="L622">
        <v>3129</v>
      </c>
      <c r="M622">
        <v>0</v>
      </c>
      <c r="N622">
        <v>0</v>
      </c>
      <c r="O622">
        <v>0</v>
      </c>
      <c r="P622">
        <f>Table1[[#This Row],[Shot]]*Table1[[#This Row],[Cav]]</f>
        <v>18774</v>
      </c>
      <c r="Q622">
        <v>0</v>
      </c>
      <c r="R622">
        <f>(Table1[[#This Row],[Part Weight (gm)]]*Table1[[#This Row],[Finish Good]])/1000</f>
        <v>0</v>
      </c>
      <c r="S622">
        <v>0</v>
      </c>
      <c r="T622">
        <f>IF(Table1[[#This Row],[Qty Order]]="Sample","-",IF(Table1[[#This Row],[Qty Order]]="RTFN","-",Table1[[#This Row],[Qty Order]]-Table1[[#This Row],[Qty Accumulate]]))</f>
        <v>0</v>
      </c>
      <c r="U622">
        <f>((Table1[[#This Row],[Shift Output]]*Table1[[#This Row],[Part Weight (gm)]])/1000)+Table1[[#This Row],[Reject Startup (kg)]]+Table1[[#This Row],[Reject Purging (kg)]]+Table1[[#This Row],[Reject Preform (kg)]]</f>
        <v>352.95120000000003</v>
      </c>
      <c r="V622" s="37">
        <f>(Table1[[#This Row],[Gross Weight (gm)]]-Table1[[#This Row],[Part Weight (gm)]])*Table1[[#This Row],[Shift Output]]/1000</f>
        <v>0</v>
      </c>
      <c r="W622" s="3">
        <v>0</v>
      </c>
      <c r="X622" s="36">
        <f>Table1[[#This Row],[Reject Startup (kg)]]/Table1[[#This Row],[Material Used]]</f>
        <v>0</v>
      </c>
      <c r="Y622" s="3">
        <v>3</v>
      </c>
      <c r="Z622" s="36">
        <f>Table1[[#This Row],[Reject Prod (kg)]]/Table1[[#This Row],[Material Used]]</f>
        <v>8.4997586068555654E-3</v>
      </c>
      <c r="AA622" s="4">
        <v>31.269607543945298</v>
      </c>
      <c r="AB622" s="5">
        <v>12</v>
      </c>
      <c r="AC622" s="4" cm="1">
        <f t="array" ref="AC622">IFERROR(INDEX(ReferenceCard, MATCH(1, (INDEX(ReferenceCard,,1)=Table1[[#This Row],[SAP No]]) * (INDEX(ReferenceCard,,2)=Table1[[#This Row],[Mould No]]), 0), 9),)</f>
        <v>18.8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L622" s="2"/>
      <c r="AM622" s="2"/>
      <c r="AN622" s="3">
        <v>0</v>
      </c>
      <c r="AO622" s="3">
        <v>0</v>
      </c>
      <c r="AP622" s="6">
        <f>((Table1[[#This Row],[Reject Startup (kg)]]+Table1[[#This Row],[Reject Prod (kg)]]+Table1[[#This Row],[Reject Purging (kg)]]+Table1[[#This Row],[Reject Preform (kg)]])/Table1[[#This Row],[Part Weight (gm)]])*1000</f>
        <v>159.57446808510636</v>
      </c>
    </row>
    <row r="623" spans="1:42" x14ac:dyDescent="0.35">
      <c r="A623" s="1">
        <v>46003</v>
      </c>
      <c r="B623">
        <v>2</v>
      </c>
      <c r="C623" t="s">
        <v>18</v>
      </c>
      <c r="D623" t="str" cm="1">
        <f t="array" ref="D623">IFERROR(INDEX(ReferenceCard, MATCH(1, (INDEX(ReferenceCard,,1)=Table1[[#This Row],[SAP No]]) * (INDEX(ReferenceCard,,2)=Table1[[#This Row],[Mould No]]), 0), 6),)</f>
        <v>PPSB520Y</v>
      </c>
      <c r="E623">
        <v>555979</v>
      </c>
      <c r="F623">
        <v>4</v>
      </c>
      <c r="G623" t="str" cm="1">
        <f t="array" ref="G623">IFERROR(INDEX(ReferenceCard, MATCH(1, (INDEX(ReferenceCard,,1)=Table1[[#This Row],[SAP No]]) * (INDEX(ReferenceCard,,2)=Table1[[#This Row],[Mould No]]), 0), 3),)</f>
        <v>BC28-0170-D-APH-5180-3539-PP-6 NOTCHES-MOLD4</v>
      </c>
      <c r="H623">
        <v>0</v>
      </c>
      <c r="I623" cm="1">
        <f t="array" ref="I623">IFERROR(INDEX(ReferenceCard, MATCH(1, (INDEX(ReferenceCard,,1)=Table1[[#This Row],[SAP No]]) * (INDEX(ReferenceCard,,2)=Table1[[#This Row],[Mould No]]), 0), 4),)</f>
        <v>6</v>
      </c>
      <c r="J623" s="4" cm="1">
        <f t="array" ref="J623">IFERROR(INDEX(ReferenceCard, MATCH(1, (INDEX(ReferenceCard,,1)=Table1[[#This Row],[SAP No]]) * (INDEX(ReferenceCard,,2)=Table1[[#This Row],[Mould No]]), 0), 9),)</f>
        <v>28</v>
      </c>
      <c r="K623" s="4" cm="1">
        <f t="array" ref="K623">IFERROR(INDEX(ReferenceCard, MATCH(1, (INDEX(ReferenceCard,,1)=Table1[[#This Row],[SAP No]]) * (INDEX(ReferenceCard,,2)=Table1[[#This Row],[Mould No]]), 0), 7),)</f>
        <v>28</v>
      </c>
      <c r="L623">
        <v>1000</v>
      </c>
      <c r="M623">
        <v>0</v>
      </c>
      <c r="N623">
        <v>0</v>
      </c>
      <c r="O623">
        <v>0</v>
      </c>
      <c r="P623">
        <f>Table1[[#This Row],[Shot]]*Table1[[#This Row],[Cav]]</f>
        <v>6000</v>
      </c>
      <c r="Q623">
        <v>0</v>
      </c>
      <c r="R623">
        <f>(Table1[[#This Row],[Part Weight (gm)]]*Table1[[#This Row],[Finish Good]])/1000</f>
        <v>0</v>
      </c>
      <c r="S623">
        <v>0</v>
      </c>
      <c r="T623">
        <f>IF(Table1[[#This Row],[Qty Order]]="Sample","-",IF(Table1[[#This Row],[Qty Order]]="RTFN","-",Table1[[#This Row],[Qty Order]]-Table1[[#This Row],[Qty Accumulate]]))</f>
        <v>0</v>
      </c>
      <c r="U623">
        <f>((Table1[[#This Row],[Shift Output]]*Table1[[#This Row],[Part Weight (gm)]])/1000)+Table1[[#This Row],[Reject Startup (kg)]]+Table1[[#This Row],[Reject Purging (kg)]]+Table1[[#This Row],[Reject Preform (kg)]]</f>
        <v>168</v>
      </c>
      <c r="V623" s="37">
        <f>(Table1[[#This Row],[Gross Weight (gm)]]-Table1[[#This Row],[Part Weight (gm)]])*Table1[[#This Row],[Shift Output]]/1000</f>
        <v>0</v>
      </c>
      <c r="W623" s="3">
        <v>0</v>
      </c>
      <c r="X623" s="36">
        <f>Table1[[#This Row],[Reject Startup (kg)]]/Table1[[#This Row],[Material Used]]</f>
        <v>0</v>
      </c>
      <c r="Y623" s="3">
        <v>3</v>
      </c>
      <c r="Z623" s="36">
        <f>Table1[[#This Row],[Reject Prod (kg)]]/Table1[[#This Row],[Material Used]]</f>
        <v>1.7857142857142856E-2</v>
      </c>
      <c r="AA623" s="4">
        <v>43.5</v>
      </c>
      <c r="AB623" s="5">
        <v>12</v>
      </c>
      <c r="AC623" s="4" cm="1">
        <f t="array" ref="AC623">IFERROR(INDEX(ReferenceCard, MATCH(1, (INDEX(ReferenceCard,,1)=Table1[[#This Row],[SAP No]]) * (INDEX(ReferenceCard,,2)=Table1[[#This Row],[Mould No]]), 0), 9),)</f>
        <v>28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L623" s="2"/>
      <c r="AM623" s="2"/>
      <c r="AN623" s="3">
        <v>0</v>
      </c>
      <c r="AO623" s="3">
        <v>0</v>
      </c>
      <c r="AP623" s="6">
        <f>((Table1[[#This Row],[Reject Startup (kg)]]+Table1[[#This Row],[Reject Prod (kg)]]+Table1[[#This Row],[Reject Purging (kg)]]+Table1[[#This Row],[Reject Preform (kg)]])/Table1[[#This Row],[Part Weight (gm)]])*1000</f>
        <v>107.14285714285714</v>
      </c>
    </row>
    <row r="624" spans="1:42" x14ac:dyDescent="0.35">
      <c r="A624" s="1">
        <v>46003</v>
      </c>
      <c r="B624">
        <v>1</v>
      </c>
      <c r="C624" t="s">
        <v>0</v>
      </c>
      <c r="D624" t="str" cm="1">
        <f t="array" ref="D624">IFERROR(INDEX(ReferenceCard, MATCH(1, (INDEX(ReferenceCard,,1)=Table1[[#This Row],[SAP No]]) * (INDEX(ReferenceCard,,2)=Table1[[#This Row],[Mould No]]), 0), 6),)</f>
        <v>PET</v>
      </c>
      <c r="E624">
        <v>369308</v>
      </c>
      <c r="F624">
        <v>0</v>
      </c>
      <c r="G624" t="str" cm="1">
        <f t="array" ref="G624">IFERROR(INDEX(ReferenceCard, MATCH(1, (INDEX(ReferenceCard,,1)=Table1[[#This Row],[SAP No]]) * (INDEX(ReferenceCard,,2)=Table1[[#This Row],[Mould No]]), 0), 3),)</f>
        <v>BW38-0280-LS-R-RED</v>
      </c>
      <c r="H624">
        <v>0</v>
      </c>
      <c r="I624" cm="1">
        <f t="array" ref="I624">IFERROR(INDEX(ReferenceCard, MATCH(1, (INDEX(ReferenceCard,,1)=Table1[[#This Row],[SAP No]]) * (INDEX(ReferenceCard,,2)=Table1[[#This Row],[Mould No]]), 0), 4),)</f>
        <v>4</v>
      </c>
      <c r="J624" s="4" cm="1">
        <f t="array" ref="J624">IFERROR(INDEX(ReferenceCard, MATCH(1, (INDEX(ReferenceCard,,1)=Table1[[#This Row],[SAP No]]) * (INDEX(ReferenceCard,,2)=Table1[[#This Row],[Mould No]]), 0), 9),)</f>
        <v>31</v>
      </c>
      <c r="K624" s="4" cm="1">
        <f t="array" ref="K624">IFERROR(INDEX(ReferenceCard, MATCH(1, (INDEX(ReferenceCard,,1)=Table1[[#This Row],[SAP No]]) * (INDEX(ReferenceCard,,2)=Table1[[#This Row],[Mould No]]), 0), 7),)</f>
        <v>31</v>
      </c>
      <c r="L624">
        <v>0</v>
      </c>
      <c r="M624">
        <v>0</v>
      </c>
      <c r="N624">
        <v>0</v>
      </c>
      <c r="O624">
        <v>0</v>
      </c>
      <c r="P624">
        <f>Table1[[#This Row],[Shot]]*Table1[[#This Row],[Cav]]</f>
        <v>0</v>
      </c>
      <c r="Q624">
        <v>0</v>
      </c>
      <c r="R624">
        <f>(Table1[[#This Row],[Part Weight (gm)]]*Table1[[#This Row],[Finish Good]])/1000</f>
        <v>0</v>
      </c>
      <c r="S624">
        <v>0</v>
      </c>
      <c r="T624">
        <f>IF(Table1[[#This Row],[Qty Order]]="Sample","-",IF(Table1[[#This Row],[Qty Order]]="RTFN","-",Table1[[#This Row],[Qty Order]]-Table1[[#This Row],[Qty Accumulate]]))</f>
        <v>0</v>
      </c>
      <c r="U624">
        <f>((Table1[[#This Row],[Shift Output]]*Table1[[#This Row],[Part Weight (gm)]])/1000)+Table1[[#This Row],[Reject Startup (kg)]]+Table1[[#This Row],[Reject Purging (kg)]]+Table1[[#This Row],[Reject Preform (kg)]]</f>
        <v>0</v>
      </c>
      <c r="V624" s="37">
        <f>(Table1[[#This Row],[Gross Weight (gm)]]-Table1[[#This Row],[Part Weight (gm)]])*Table1[[#This Row],[Shift Output]]/1000</f>
        <v>0</v>
      </c>
      <c r="W624" s="3">
        <v>0</v>
      </c>
      <c r="X624" s="36" t="e">
        <f>Table1[[#This Row],[Reject Startup (kg)]]/Table1[[#This Row],[Material Used]]</f>
        <v>#DIV/0!</v>
      </c>
      <c r="Y624" s="3">
        <v>0</v>
      </c>
      <c r="Z624" s="36" t="e">
        <f>Table1[[#This Row],[Reject Prod (kg)]]/Table1[[#This Row],[Material Used]]</f>
        <v>#DIV/0!</v>
      </c>
      <c r="AA624" s="4">
        <v>0</v>
      </c>
      <c r="AB624" s="5">
        <v>0</v>
      </c>
      <c r="AC624" s="4" cm="1">
        <f t="array" ref="AC624">IFERROR(INDEX(ReferenceCard, MATCH(1, (INDEX(ReferenceCard,,1)=Table1[[#This Row],[SAP No]]) * (INDEX(ReferenceCard,,2)=Table1[[#This Row],[Mould No]]), 0), 9),)</f>
        <v>31</v>
      </c>
      <c r="AD624" s="5">
        <v>0</v>
      </c>
      <c r="AE624" s="5">
        <v>0</v>
      </c>
      <c r="AF624" s="5">
        <v>0</v>
      </c>
      <c r="AG624" s="5">
        <v>0</v>
      </c>
      <c r="AH624" s="5">
        <v>12</v>
      </c>
      <c r="AI624" s="5">
        <v>0</v>
      </c>
      <c r="AJ624" s="5">
        <v>0</v>
      </c>
      <c r="AL624" s="2"/>
      <c r="AM624" s="2"/>
      <c r="AN624" s="3">
        <v>0</v>
      </c>
      <c r="AO624" s="3">
        <v>0</v>
      </c>
      <c r="AP62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25" spans="1:42" x14ac:dyDescent="0.35">
      <c r="A625" s="1">
        <v>46003</v>
      </c>
      <c r="B625">
        <v>1</v>
      </c>
      <c r="C625" t="s">
        <v>3</v>
      </c>
      <c r="D625" t="str" cm="1">
        <f t="array" ref="D625">IFERROR(INDEX(ReferenceCard, MATCH(1, (INDEX(ReferenceCard,,1)=Table1[[#This Row],[SAP No]]) * (INDEX(ReferenceCard,,2)=Table1[[#This Row],[Mould No]]), 0), 6),)</f>
        <v>PET</v>
      </c>
      <c r="E625">
        <v>324163</v>
      </c>
      <c r="F625">
        <v>0</v>
      </c>
      <c r="G625" t="str" cm="1">
        <f t="array" ref="G625">IFERROR(INDEX(ReferenceCard, MATCH(1, (INDEX(ReferenceCard,,1)=Table1[[#This Row],[SAP No]]) * (INDEX(ReferenceCard,,2)=Table1[[#This Row],[Mould No]]), 0), 3),)</f>
        <v>BC28-0265-A-Q-CL</v>
      </c>
      <c r="H625">
        <v>0</v>
      </c>
      <c r="I625" cm="1">
        <f t="array" ref="I625">IFERROR(INDEX(ReferenceCard, MATCH(1, (INDEX(ReferenceCard,,1)=Table1[[#This Row],[SAP No]]) * (INDEX(ReferenceCard,,2)=Table1[[#This Row],[Mould No]]), 0), 4),)</f>
        <v>4</v>
      </c>
      <c r="J625" s="4" cm="1">
        <f t="array" ref="J625">IFERROR(INDEX(ReferenceCard, MATCH(1, (INDEX(ReferenceCard,,1)=Table1[[#This Row],[SAP No]]) * (INDEX(ReferenceCard,,2)=Table1[[#This Row],[Mould No]]), 0), 9),)</f>
        <v>24</v>
      </c>
      <c r="K625" s="4" cm="1">
        <f t="array" ref="K625">IFERROR(INDEX(ReferenceCard, MATCH(1, (INDEX(ReferenceCard,,1)=Table1[[#This Row],[SAP No]]) * (INDEX(ReferenceCard,,2)=Table1[[#This Row],[Mould No]]), 0), 7),)</f>
        <v>23.5</v>
      </c>
      <c r="L625">
        <v>0</v>
      </c>
      <c r="M625">
        <v>0</v>
      </c>
      <c r="N625">
        <v>0</v>
      </c>
      <c r="O625">
        <v>0</v>
      </c>
      <c r="P625">
        <f>Table1[[#This Row],[Shot]]*Table1[[#This Row],[Cav]]</f>
        <v>0</v>
      </c>
      <c r="Q625">
        <v>0</v>
      </c>
      <c r="R625">
        <f>(Table1[[#This Row],[Part Weight (gm)]]*Table1[[#This Row],[Finish Good]])/1000</f>
        <v>0</v>
      </c>
      <c r="S625">
        <v>0</v>
      </c>
      <c r="T625">
        <f>IF(Table1[[#This Row],[Qty Order]]="Sample","-",IF(Table1[[#This Row],[Qty Order]]="RTFN","-",Table1[[#This Row],[Qty Order]]-Table1[[#This Row],[Qty Accumulate]]))</f>
        <v>0</v>
      </c>
      <c r="U625">
        <f>((Table1[[#This Row],[Shift Output]]*Table1[[#This Row],[Part Weight (gm)]])/1000)+Table1[[#This Row],[Reject Startup (kg)]]+Table1[[#This Row],[Reject Purging (kg)]]+Table1[[#This Row],[Reject Preform (kg)]]</f>
        <v>0</v>
      </c>
      <c r="V625" s="37">
        <f>(Table1[[#This Row],[Gross Weight (gm)]]-Table1[[#This Row],[Part Weight (gm)]])*Table1[[#This Row],[Shift Output]]/1000</f>
        <v>0</v>
      </c>
      <c r="W625" s="3">
        <v>0</v>
      </c>
      <c r="X625" s="36" t="e">
        <f>Table1[[#This Row],[Reject Startup (kg)]]/Table1[[#This Row],[Material Used]]</f>
        <v>#DIV/0!</v>
      </c>
      <c r="Y625" s="3">
        <v>1</v>
      </c>
      <c r="Z625" s="36" t="e">
        <f>Table1[[#This Row],[Reject Prod (kg)]]/Table1[[#This Row],[Material Used]]</f>
        <v>#DIV/0!</v>
      </c>
      <c r="AA625" s="4">
        <v>0</v>
      </c>
      <c r="AB625" s="5">
        <v>12</v>
      </c>
      <c r="AC625" s="4" cm="1">
        <f t="array" ref="AC625">IFERROR(INDEX(ReferenceCard, MATCH(1, (INDEX(ReferenceCard,,1)=Table1[[#This Row],[SAP No]]) * (INDEX(ReferenceCard,,2)=Table1[[#This Row],[Mould No]]), 0), 9),)</f>
        <v>24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L625" s="2"/>
      <c r="AM625" s="2"/>
      <c r="AN625" s="3">
        <v>0</v>
      </c>
      <c r="AO625" s="3">
        <v>0</v>
      </c>
      <c r="AP625" s="6">
        <f>((Table1[[#This Row],[Reject Startup (kg)]]+Table1[[#This Row],[Reject Prod (kg)]]+Table1[[#This Row],[Reject Purging (kg)]]+Table1[[#This Row],[Reject Preform (kg)]])/Table1[[#This Row],[Part Weight (gm)]])*1000</f>
        <v>42.553191489361701</v>
      </c>
    </row>
    <row r="626" spans="1:42" x14ac:dyDescent="0.35">
      <c r="A626" s="1">
        <v>46003</v>
      </c>
      <c r="B626">
        <v>1</v>
      </c>
      <c r="C626" t="s">
        <v>5</v>
      </c>
      <c r="D626" t="str" cm="1">
        <f t="array" ref="D626">IFERROR(INDEX(ReferenceCard, MATCH(1, (INDEX(ReferenceCard,,1)=Table1[[#This Row],[SAP No]]) * (INDEX(ReferenceCard,,2)=Table1[[#This Row],[Mould No]]), 0), 6),)</f>
        <v>PET</v>
      </c>
      <c r="E626">
        <v>543590</v>
      </c>
      <c r="F626">
        <v>0</v>
      </c>
      <c r="G626" t="str" cm="1">
        <f t="array" ref="G626">IFERROR(INDEX(ReferenceCard, MATCH(1, (INDEX(ReferenceCard,,1)=Table1[[#This Row],[SAP No]]) * (INDEX(ReferenceCard,,2)=Table1[[#This Row],[Mould No]]), 0), 3),)</f>
        <v>BC28-0130-R-R-AM</v>
      </c>
      <c r="H626">
        <v>0</v>
      </c>
      <c r="I626" cm="1">
        <f t="array" ref="I626">IFERROR(INDEX(ReferenceCard, MATCH(1, (INDEX(ReferenceCard,,1)=Table1[[#This Row],[SAP No]]) * (INDEX(ReferenceCard,,2)=Table1[[#This Row],[Mould No]]), 0), 4),)</f>
        <v>4</v>
      </c>
      <c r="J626" s="4" cm="1">
        <f t="array" ref="J626">IFERROR(INDEX(ReferenceCard, MATCH(1, (INDEX(ReferenceCard,,1)=Table1[[#This Row],[SAP No]]) * (INDEX(ReferenceCard,,2)=Table1[[#This Row],[Mould No]]), 0), 9),)</f>
        <v>19</v>
      </c>
      <c r="K626" s="4" cm="1">
        <f t="array" ref="K626">IFERROR(INDEX(ReferenceCard, MATCH(1, (INDEX(ReferenceCard,,1)=Table1[[#This Row],[SAP No]]) * (INDEX(ReferenceCard,,2)=Table1[[#This Row],[Mould No]]), 0), 7),)</f>
        <v>19</v>
      </c>
      <c r="L626">
        <v>2188</v>
      </c>
      <c r="M626">
        <v>0</v>
      </c>
      <c r="N626">
        <v>0</v>
      </c>
      <c r="O626">
        <v>0</v>
      </c>
      <c r="P626">
        <f>Table1[[#This Row],[Shot]]*Table1[[#This Row],[Cav]]</f>
        <v>8752</v>
      </c>
      <c r="Q626">
        <v>0</v>
      </c>
      <c r="R626">
        <f>(Table1[[#This Row],[Part Weight (gm)]]*Table1[[#This Row],[Finish Good]])/1000</f>
        <v>0</v>
      </c>
      <c r="S626">
        <v>0</v>
      </c>
      <c r="T626">
        <f>IF(Table1[[#This Row],[Qty Order]]="Sample","-",IF(Table1[[#This Row],[Qty Order]]="RTFN","-",Table1[[#This Row],[Qty Order]]-Table1[[#This Row],[Qty Accumulate]]))</f>
        <v>0</v>
      </c>
      <c r="U626">
        <f>((Table1[[#This Row],[Shift Output]]*Table1[[#This Row],[Part Weight (gm)]])/1000)+Table1[[#This Row],[Reject Startup (kg)]]+Table1[[#This Row],[Reject Purging (kg)]]+Table1[[#This Row],[Reject Preform (kg)]]</f>
        <v>166.28800000000001</v>
      </c>
      <c r="V626" s="37">
        <f>(Table1[[#This Row],[Gross Weight (gm)]]-Table1[[#This Row],[Part Weight (gm)]])*Table1[[#This Row],[Shift Output]]/1000</f>
        <v>0</v>
      </c>
      <c r="W626" s="3">
        <v>0</v>
      </c>
      <c r="X626" s="36">
        <f>Table1[[#This Row],[Reject Startup (kg)]]/Table1[[#This Row],[Material Used]]</f>
        <v>0</v>
      </c>
      <c r="Y626" s="3">
        <v>6</v>
      </c>
      <c r="Z626" s="36">
        <f>Table1[[#This Row],[Reject Prod (kg)]]/Table1[[#This Row],[Material Used]]</f>
        <v>3.6081978254594436E-2</v>
      </c>
      <c r="AA626" s="4">
        <v>0</v>
      </c>
      <c r="AB626" s="5">
        <v>5.50999999999999</v>
      </c>
      <c r="AC626" s="4" cm="1">
        <f t="array" ref="AC626">IFERROR(INDEX(ReferenceCard, MATCH(1, (INDEX(ReferenceCard,,1)=Table1[[#This Row],[SAP No]]) * (INDEX(ReferenceCard,,2)=Table1[[#This Row],[Mould No]]), 0), 9),)</f>
        <v>19</v>
      </c>
      <c r="AD626" s="5">
        <v>0</v>
      </c>
      <c r="AE626" s="5">
        <v>0</v>
      </c>
      <c r="AF626" s="5">
        <v>0</v>
      </c>
      <c r="AG626" s="5">
        <v>0</v>
      </c>
      <c r="AH626" s="5">
        <v>6.49</v>
      </c>
      <c r="AI626" s="5">
        <v>0</v>
      </c>
      <c r="AJ626" s="5">
        <v>0</v>
      </c>
      <c r="AL626" s="2"/>
      <c r="AM626" s="2"/>
      <c r="AN626" s="3">
        <v>0</v>
      </c>
      <c r="AO626" s="3">
        <v>0</v>
      </c>
      <c r="AP626" s="6">
        <f>((Table1[[#This Row],[Reject Startup (kg)]]+Table1[[#This Row],[Reject Prod (kg)]]+Table1[[#This Row],[Reject Purging (kg)]]+Table1[[#This Row],[Reject Preform (kg)]])/Table1[[#This Row],[Part Weight (gm)]])*1000</f>
        <v>315.78947368421052</v>
      </c>
    </row>
    <row r="627" spans="1:42" x14ac:dyDescent="0.35">
      <c r="A627" s="1">
        <v>46003</v>
      </c>
      <c r="B627">
        <v>1</v>
      </c>
      <c r="C627" t="s">
        <v>7</v>
      </c>
      <c r="D627" t="str" cm="1">
        <f t="array" ref="D627">IFERROR(INDEX(ReferenceCard, MATCH(1, (INDEX(ReferenceCard,,1)=Table1[[#This Row],[SAP No]]) * (INDEX(ReferenceCard,,2)=Table1[[#This Row],[Mould No]]), 0), 6),)</f>
        <v>PET</v>
      </c>
      <c r="E627">
        <v>426555</v>
      </c>
      <c r="F627">
        <v>0</v>
      </c>
      <c r="G627" t="str" cm="1">
        <f t="array" ref="G627">IFERROR(INDEX(ReferenceCard, MATCH(1, (INDEX(ReferenceCard,,1)=Table1[[#This Row],[SAP No]]) * (INDEX(ReferenceCard,,2)=Table1[[#This Row],[Mould No]]), 0), 3),)</f>
        <v>BX38-0330-Z-S-CL-HW</v>
      </c>
      <c r="H627">
        <v>0</v>
      </c>
      <c r="I627" cm="1">
        <f t="array" ref="I627">IFERROR(INDEX(ReferenceCard, MATCH(1, (INDEX(ReferenceCard,,1)=Table1[[#This Row],[SAP No]]) * (INDEX(ReferenceCard,,2)=Table1[[#This Row],[Mould No]]), 0), 4),)</f>
        <v>4</v>
      </c>
      <c r="J627" s="4" cm="1">
        <f t="array" ref="J627">IFERROR(INDEX(ReferenceCard, MATCH(1, (INDEX(ReferenceCard,,1)=Table1[[#This Row],[SAP No]]) * (INDEX(ReferenceCard,,2)=Table1[[#This Row],[Mould No]]), 0), 9),)</f>
        <v>29</v>
      </c>
      <c r="K627" s="4" cm="1">
        <f t="array" ref="K627">IFERROR(INDEX(ReferenceCard, MATCH(1, (INDEX(ReferenceCard,,1)=Table1[[#This Row],[SAP No]]) * (INDEX(ReferenceCard,,2)=Table1[[#This Row],[Mould No]]), 0), 7),)</f>
        <v>29</v>
      </c>
      <c r="L627">
        <v>0</v>
      </c>
      <c r="M627">
        <v>0</v>
      </c>
      <c r="N627">
        <v>0</v>
      </c>
      <c r="O627">
        <v>0</v>
      </c>
      <c r="P627">
        <f>Table1[[#This Row],[Shot]]*Table1[[#This Row],[Cav]]</f>
        <v>0</v>
      </c>
      <c r="Q627">
        <v>0</v>
      </c>
      <c r="R627">
        <f>(Table1[[#This Row],[Part Weight (gm)]]*Table1[[#This Row],[Finish Good]])/1000</f>
        <v>0</v>
      </c>
      <c r="S627">
        <v>0</v>
      </c>
      <c r="T627">
        <f>IF(Table1[[#This Row],[Qty Order]]="Sample","-",IF(Table1[[#This Row],[Qty Order]]="RTFN","-",Table1[[#This Row],[Qty Order]]-Table1[[#This Row],[Qty Accumulate]]))</f>
        <v>0</v>
      </c>
      <c r="U627">
        <f>((Table1[[#This Row],[Shift Output]]*Table1[[#This Row],[Part Weight (gm)]])/1000)+Table1[[#This Row],[Reject Startup (kg)]]+Table1[[#This Row],[Reject Purging (kg)]]+Table1[[#This Row],[Reject Preform (kg)]]</f>
        <v>0</v>
      </c>
      <c r="V627" s="37">
        <f>(Table1[[#This Row],[Gross Weight (gm)]]-Table1[[#This Row],[Part Weight (gm)]])*Table1[[#This Row],[Shift Output]]/1000</f>
        <v>0</v>
      </c>
      <c r="W627" s="3">
        <v>0</v>
      </c>
      <c r="X627" s="36" t="e">
        <f>Table1[[#This Row],[Reject Startup (kg)]]/Table1[[#This Row],[Material Used]]</f>
        <v>#DIV/0!</v>
      </c>
      <c r="Y627" s="3">
        <v>1</v>
      </c>
      <c r="Z627" s="36" t="e">
        <f>Table1[[#This Row],[Reject Prod (kg)]]/Table1[[#This Row],[Material Used]]</f>
        <v>#DIV/0!</v>
      </c>
      <c r="AA627" s="4">
        <v>0</v>
      </c>
      <c r="AB627" s="5">
        <v>12</v>
      </c>
      <c r="AC627" s="4" cm="1">
        <f t="array" ref="AC627">IFERROR(INDEX(ReferenceCard, MATCH(1, (INDEX(ReferenceCard,,1)=Table1[[#This Row],[SAP No]]) * (INDEX(ReferenceCard,,2)=Table1[[#This Row],[Mould No]]), 0), 9),)</f>
        <v>29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L627" s="2"/>
      <c r="AM627" s="2"/>
      <c r="AN627" s="3">
        <v>0</v>
      </c>
      <c r="AO627" s="3">
        <v>0</v>
      </c>
      <c r="AP627" s="6">
        <f>((Table1[[#This Row],[Reject Startup (kg)]]+Table1[[#This Row],[Reject Prod (kg)]]+Table1[[#This Row],[Reject Purging (kg)]]+Table1[[#This Row],[Reject Preform (kg)]])/Table1[[#This Row],[Part Weight (gm)]])*1000</f>
        <v>34.482758620689651</v>
      </c>
    </row>
    <row r="628" spans="1:42" x14ac:dyDescent="0.35">
      <c r="A628" s="1">
        <v>46003</v>
      </c>
      <c r="B628">
        <v>1</v>
      </c>
      <c r="C628" t="s">
        <v>9</v>
      </c>
      <c r="D628" t="str" cm="1">
        <f t="array" ref="D628">IFERROR(INDEX(ReferenceCard, MATCH(1, (INDEX(ReferenceCard,,1)=Table1[[#This Row],[SAP No]]) * (INDEX(ReferenceCard,,2)=Table1[[#This Row],[Mould No]]), 0), 6),)</f>
        <v>rPET</v>
      </c>
      <c r="E628">
        <v>593537</v>
      </c>
      <c r="F628">
        <v>0</v>
      </c>
      <c r="G628" t="str" cm="1">
        <f t="array" ref="G628">IFERROR(INDEX(ReferenceCard, MATCH(1, (INDEX(ReferenceCard,,1)=Table1[[#This Row],[SAP No]]) * (INDEX(ReferenceCard,,2)=Table1[[#This Row],[Mould No]]), 0), 3),)</f>
        <v>BX38-1000-RN-R-CL-rPET</v>
      </c>
      <c r="H628">
        <v>0</v>
      </c>
      <c r="I628" cm="1">
        <f t="array" ref="I628">IFERROR(INDEX(ReferenceCard, MATCH(1, (INDEX(ReferenceCard,,1)=Table1[[#This Row],[SAP No]]) * (INDEX(ReferenceCard,,2)=Table1[[#This Row],[Mould No]]), 0), 4),)</f>
        <v>4</v>
      </c>
      <c r="J628" s="4" cm="1">
        <f t="array" ref="J628">IFERROR(INDEX(ReferenceCard, MATCH(1, (INDEX(ReferenceCard,,1)=Table1[[#This Row],[SAP No]]) * (INDEX(ReferenceCard,,2)=Table1[[#This Row],[Mould No]]), 0), 9),)</f>
        <v>56.5</v>
      </c>
      <c r="K628" s="4" cm="1">
        <f t="array" ref="K628">IFERROR(INDEX(ReferenceCard, MATCH(1, (INDEX(ReferenceCard,,1)=Table1[[#This Row],[SAP No]]) * (INDEX(ReferenceCard,,2)=Table1[[#This Row],[Mould No]]), 0), 7),)</f>
        <v>56.8</v>
      </c>
      <c r="L628">
        <v>0</v>
      </c>
      <c r="M628">
        <v>0</v>
      </c>
      <c r="N628">
        <v>0</v>
      </c>
      <c r="O628">
        <v>0</v>
      </c>
      <c r="P628">
        <f>Table1[[#This Row],[Shot]]*Table1[[#This Row],[Cav]]</f>
        <v>0</v>
      </c>
      <c r="Q628">
        <v>0</v>
      </c>
      <c r="R628">
        <f>(Table1[[#This Row],[Part Weight (gm)]]*Table1[[#This Row],[Finish Good]])/1000</f>
        <v>0</v>
      </c>
      <c r="S628">
        <v>0</v>
      </c>
      <c r="T628">
        <f>IF(Table1[[#This Row],[Qty Order]]="Sample","-",IF(Table1[[#This Row],[Qty Order]]="RTFN","-",Table1[[#This Row],[Qty Order]]-Table1[[#This Row],[Qty Accumulate]]))</f>
        <v>0</v>
      </c>
      <c r="U628">
        <f>((Table1[[#This Row],[Shift Output]]*Table1[[#This Row],[Part Weight (gm)]])/1000)+Table1[[#This Row],[Reject Startup (kg)]]+Table1[[#This Row],[Reject Purging (kg)]]+Table1[[#This Row],[Reject Preform (kg)]]</f>
        <v>0</v>
      </c>
      <c r="V628" s="37">
        <f>(Table1[[#This Row],[Gross Weight (gm)]]-Table1[[#This Row],[Part Weight (gm)]])*Table1[[#This Row],[Shift Output]]/1000</f>
        <v>0</v>
      </c>
      <c r="W628" s="3">
        <v>0</v>
      </c>
      <c r="X628" s="36" t="e">
        <f>Table1[[#This Row],[Reject Startup (kg)]]/Table1[[#This Row],[Material Used]]</f>
        <v>#DIV/0!</v>
      </c>
      <c r="Y628" s="3">
        <v>3</v>
      </c>
      <c r="Z628" s="36" t="e">
        <f>Table1[[#This Row],[Reject Prod (kg)]]/Table1[[#This Row],[Material Used]]</f>
        <v>#DIV/0!</v>
      </c>
      <c r="AA628" s="4">
        <v>0</v>
      </c>
      <c r="AB628" s="5">
        <v>12</v>
      </c>
      <c r="AC628" s="4" cm="1">
        <f t="array" ref="AC628">IFERROR(INDEX(ReferenceCard, MATCH(1, (INDEX(ReferenceCard,,1)=Table1[[#This Row],[SAP No]]) * (INDEX(ReferenceCard,,2)=Table1[[#This Row],[Mould No]]), 0), 9),)</f>
        <v>56.5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L628" s="2"/>
      <c r="AM628" s="2"/>
      <c r="AN628" s="3">
        <v>0</v>
      </c>
      <c r="AO628" s="3">
        <v>0</v>
      </c>
      <c r="AP628" s="6">
        <f>((Table1[[#This Row],[Reject Startup (kg)]]+Table1[[#This Row],[Reject Prod (kg)]]+Table1[[#This Row],[Reject Purging (kg)]]+Table1[[#This Row],[Reject Preform (kg)]])/Table1[[#This Row],[Part Weight (gm)]])*1000</f>
        <v>52.816901408450711</v>
      </c>
    </row>
    <row r="629" spans="1:42" x14ac:dyDescent="0.35">
      <c r="A629" s="1">
        <v>46003</v>
      </c>
      <c r="B629">
        <v>1</v>
      </c>
      <c r="C629" t="s">
        <v>11</v>
      </c>
      <c r="D629" t="str" cm="1">
        <f t="array" ref="D629">IFERROR(INDEX(ReferenceCard, MATCH(1, (INDEX(ReferenceCard,,1)=Table1[[#This Row],[SAP No]]) * (INDEX(ReferenceCard,,2)=Table1[[#This Row],[Mould No]]), 0), 6),)</f>
        <v>rPET</v>
      </c>
      <c r="E629">
        <v>620994</v>
      </c>
      <c r="F629">
        <v>0</v>
      </c>
      <c r="G629" t="str" cm="1">
        <f t="array" ref="G629">IFERROR(INDEX(ReferenceCard, MATCH(1, (INDEX(ReferenceCard,,1)=Table1[[#This Row],[SAP No]]) * (INDEX(ReferenceCard,,2)=Table1[[#This Row],[Mould No]]), 0), 3),)</f>
        <v>JJ63-0400-SH-S-CL-rPET</v>
      </c>
      <c r="H629">
        <v>0</v>
      </c>
      <c r="I629" cm="1">
        <f t="array" ref="I629">IFERROR(INDEX(ReferenceCard, MATCH(1, (INDEX(ReferenceCard,,1)=Table1[[#This Row],[SAP No]]) * (INDEX(ReferenceCard,,2)=Table1[[#This Row],[Mould No]]), 0), 4),)</f>
        <v>4</v>
      </c>
      <c r="J629" s="4" cm="1">
        <f t="array" ref="J629">IFERROR(INDEX(ReferenceCard, MATCH(1, (INDEX(ReferenceCard,,1)=Table1[[#This Row],[SAP No]]) * (INDEX(ReferenceCard,,2)=Table1[[#This Row],[Mould No]]), 0), 9),)</f>
        <v>32.74</v>
      </c>
      <c r="K629" s="4" cm="1">
        <f t="array" ref="K629">IFERROR(INDEX(ReferenceCard, MATCH(1, (INDEX(ReferenceCard,,1)=Table1[[#This Row],[SAP No]]) * (INDEX(ReferenceCard,,2)=Table1[[#This Row],[Mould No]]), 0), 7),)</f>
        <v>33</v>
      </c>
      <c r="L629">
        <v>586</v>
      </c>
      <c r="M629">
        <v>0</v>
      </c>
      <c r="N629">
        <v>0</v>
      </c>
      <c r="O629">
        <v>0</v>
      </c>
      <c r="P629">
        <f>Table1[[#This Row],[Shot]]*Table1[[#This Row],[Cav]]</f>
        <v>2344</v>
      </c>
      <c r="Q629">
        <v>0</v>
      </c>
      <c r="R629">
        <f>(Table1[[#This Row],[Part Weight (gm)]]*Table1[[#This Row],[Finish Good]])/1000</f>
        <v>0</v>
      </c>
      <c r="S629">
        <v>0</v>
      </c>
      <c r="T629">
        <f>IF(Table1[[#This Row],[Qty Order]]="Sample","-",IF(Table1[[#This Row],[Qty Order]]="RTFN","-",Table1[[#This Row],[Qty Order]]-Table1[[#This Row],[Qty Accumulate]]))</f>
        <v>0</v>
      </c>
      <c r="U629">
        <f>((Table1[[#This Row],[Shift Output]]*Table1[[#This Row],[Part Weight (gm)]])/1000)+Table1[[#This Row],[Reject Startup (kg)]]+Table1[[#This Row],[Reject Purging (kg)]]+Table1[[#This Row],[Reject Preform (kg)]]</f>
        <v>112.352</v>
      </c>
      <c r="V629" s="37">
        <f>(Table1[[#This Row],[Gross Weight (gm)]]-Table1[[#This Row],[Part Weight (gm)]])*Table1[[#This Row],[Shift Output]]/1000</f>
        <v>-0.60943999999999532</v>
      </c>
      <c r="W629" s="3">
        <v>19</v>
      </c>
      <c r="X629" s="36">
        <f>Table1[[#This Row],[Reject Startup (kg)]]/Table1[[#This Row],[Material Used]]</f>
        <v>0.16911136428367984</v>
      </c>
      <c r="Y629" s="3">
        <v>0</v>
      </c>
      <c r="Z629" s="36">
        <f>Table1[[#This Row],[Reject Prod (kg)]]/Table1[[#This Row],[Material Used]]</f>
        <v>0</v>
      </c>
      <c r="AA629" s="4">
        <v>0</v>
      </c>
      <c r="AB629" s="5">
        <v>8.8699999999999903</v>
      </c>
      <c r="AC629" s="4" cm="1">
        <f t="array" ref="AC629">IFERROR(INDEX(ReferenceCard, MATCH(1, (INDEX(ReferenceCard,,1)=Table1[[#This Row],[SAP No]]) * (INDEX(ReferenceCard,,2)=Table1[[#This Row],[Mould No]]), 0), 9),)</f>
        <v>32.74</v>
      </c>
      <c r="AD629" s="5">
        <v>0</v>
      </c>
      <c r="AE629" s="5">
        <v>0</v>
      </c>
      <c r="AF629" s="5">
        <v>0</v>
      </c>
      <c r="AG629" s="5">
        <v>0</v>
      </c>
      <c r="AH629" s="5">
        <v>3.1299999999999901</v>
      </c>
      <c r="AI629" s="5">
        <v>0</v>
      </c>
      <c r="AJ629" s="5">
        <v>0</v>
      </c>
      <c r="AL629" s="2"/>
      <c r="AM629" s="2"/>
      <c r="AN629" s="3">
        <v>7</v>
      </c>
      <c r="AO629" s="3">
        <v>9</v>
      </c>
      <c r="AP629" s="6">
        <f>((Table1[[#This Row],[Reject Startup (kg)]]+Table1[[#This Row],[Reject Prod (kg)]]+Table1[[#This Row],[Reject Purging (kg)]]+Table1[[#This Row],[Reject Preform (kg)]])/Table1[[#This Row],[Part Weight (gm)]])*1000</f>
        <v>1060.6060606060605</v>
      </c>
    </row>
    <row r="630" spans="1:42" x14ac:dyDescent="0.35">
      <c r="A630" s="1">
        <v>46003</v>
      </c>
      <c r="B630">
        <v>1</v>
      </c>
      <c r="C630" t="s">
        <v>14</v>
      </c>
      <c r="D630" t="str" cm="1">
        <f t="array" ref="D630">IFERROR(INDEX(ReferenceCard, MATCH(1, (INDEX(ReferenceCard,,1)=Table1[[#This Row],[SAP No]]) * (INDEX(ReferenceCard,,2)=Table1[[#This Row],[Mould No]]), 0), 6),)</f>
        <v>PET</v>
      </c>
      <c r="E630">
        <v>324165</v>
      </c>
      <c r="F630">
        <v>0</v>
      </c>
      <c r="G630" t="str" cm="1">
        <f t="array" ref="G630">IFERROR(INDEX(ReferenceCard, MATCH(1, (INDEX(ReferenceCard,,1)=Table1[[#This Row],[SAP No]]) * (INDEX(ReferenceCard,,2)=Table1[[#This Row],[Mould No]]), 0), 3),)</f>
        <v>JJ63-0400-SH-S-WH</v>
      </c>
      <c r="H630">
        <v>0</v>
      </c>
      <c r="I630" cm="1">
        <f t="array" ref="I630">IFERROR(INDEX(ReferenceCard, MATCH(1, (INDEX(ReferenceCard,,1)=Table1[[#This Row],[SAP No]]) * (INDEX(ReferenceCard,,2)=Table1[[#This Row],[Mould No]]), 0), 4),)</f>
        <v>4</v>
      </c>
      <c r="J630" s="4" cm="1">
        <f t="array" ref="J630">IFERROR(INDEX(ReferenceCard, MATCH(1, (INDEX(ReferenceCard,,1)=Table1[[#This Row],[SAP No]]) * (INDEX(ReferenceCard,,2)=Table1[[#This Row],[Mould No]]), 0), 9),)</f>
        <v>32.56</v>
      </c>
      <c r="K630" s="4" cm="1">
        <f t="array" ref="K630">IFERROR(INDEX(ReferenceCard, MATCH(1, (INDEX(ReferenceCard,,1)=Table1[[#This Row],[SAP No]]) * (INDEX(ReferenceCard,,2)=Table1[[#This Row],[Mould No]]), 0), 7),)</f>
        <v>33</v>
      </c>
      <c r="L630">
        <v>2206</v>
      </c>
      <c r="M630">
        <v>0</v>
      </c>
      <c r="N630">
        <v>0</v>
      </c>
      <c r="O630">
        <v>0</v>
      </c>
      <c r="P630">
        <f>Table1[[#This Row],[Shot]]*Table1[[#This Row],[Cav]]</f>
        <v>8824</v>
      </c>
      <c r="Q630">
        <v>0</v>
      </c>
      <c r="R630">
        <f>(Table1[[#This Row],[Part Weight (gm)]]*Table1[[#This Row],[Finish Good]])/1000</f>
        <v>0</v>
      </c>
      <c r="S630">
        <v>0</v>
      </c>
      <c r="T630">
        <f>IF(Table1[[#This Row],[Qty Order]]="Sample","-",IF(Table1[[#This Row],[Qty Order]]="RTFN","-",Table1[[#This Row],[Qty Order]]-Table1[[#This Row],[Qty Accumulate]]))</f>
        <v>0</v>
      </c>
      <c r="U630">
        <f>((Table1[[#This Row],[Shift Output]]*Table1[[#This Row],[Part Weight (gm)]])/1000)+Table1[[#This Row],[Reject Startup (kg)]]+Table1[[#This Row],[Reject Purging (kg)]]+Table1[[#This Row],[Reject Preform (kg)]]</f>
        <v>326.19200000000001</v>
      </c>
      <c r="V630" s="37">
        <f>(Table1[[#This Row],[Gross Weight (gm)]]-Table1[[#This Row],[Part Weight (gm)]])*Table1[[#This Row],[Shift Output]]/1000</f>
        <v>-3.8825599999999798</v>
      </c>
      <c r="W630" s="3">
        <v>25</v>
      </c>
      <c r="X630" s="36">
        <f>Table1[[#This Row],[Reject Startup (kg)]]/Table1[[#This Row],[Material Used]]</f>
        <v>7.6641977730906946E-2</v>
      </c>
      <c r="Y630" s="3">
        <v>4</v>
      </c>
      <c r="Z630" s="36">
        <f>Table1[[#This Row],[Reject Prod (kg)]]/Table1[[#This Row],[Material Used]]</f>
        <v>1.2262716436945112E-2</v>
      </c>
      <c r="AA630" s="4">
        <v>0</v>
      </c>
      <c r="AB630" s="5">
        <v>7.23</v>
      </c>
      <c r="AC630" s="4" cm="1">
        <f t="array" ref="AC630">IFERROR(INDEX(ReferenceCard, MATCH(1, (INDEX(ReferenceCard,,1)=Table1[[#This Row],[SAP No]]) * (INDEX(ReferenceCard,,2)=Table1[[#This Row],[Mould No]]), 0), 9),)</f>
        <v>32.56</v>
      </c>
      <c r="AD630" s="5">
        <v>0</v>
      </c>
      <c r="AE630" s="5">
        <v>0</v>
      </c>
      <c r="AF630" s="5">
        <v>0</v>
      </c>
      <c r="AG630" s="5">
        <v>0</v>
      </c>
      <c r="AH630" s="5">
        <v>4.78</v>
      </c>
      <c r="AI630" s="5">
        <v>0</v>
      </c>
      <c r="AJ630" s="5">
        <v>0</v>
      </c>
      <c r="AL630" s="2"/>
      <c r="AM630" s="2"/>
      <c r="AN630" s="3">
        <v>3</v>
      </c>
      <c r="AO630" s="3">
        <v>7</v>
      </c>
      <c r="AP630" s="6">
        <f>((Table1[[#This Row],[Reject Startup (kg)]]+Table1[[#This Row],[Reject Prod (kg)]]+Table1[[#This Row],[Reject Purging (kg)]]+Table1[[#This Row],[Reject Preform (kg)]])/Table1[[#This Row],[Part Weight (gm)]])*1000</f>
        <v>1181.818181818182</v>
      </c>
    </row>
    <row r="631" spans="1:42" x14ac:dyDescent="0.35">
      <c r="A631" s="1">
        <v>46003</v>
      </c>
      <c r="B631">
        <v>1</v>
      </c>
      <c r="C631" t="s">
        <v>16</v>
      </c>
      <c r="D631" t="str" cm="1">
        <f t="array" ref="D631">IFERROR(INDEX(ReferenceCard, MATCH(1, (INDEX(ReferenceCard,,1)=Table1[[#This Row],[SAP No]]) * (INDEX(ReferenceCard,,2)=Table1[[#This Row],[Mould No]]), 0), 6),)</f>
        <v>PET</v>
      </c>
      <c r="E631">
        <v>323092</v>
      </c>
      <c r="F631">
        <v>0</v>
      </c>
      <c r="G631" t="str" cm="1">
        <f t="array" ref="G631">IFERROR(INDEX(ReferenceCard, MATCH(1, (INDEX(ReferenceCard,,1)=Table1[[#This Row],[SAP No]]) * (INDEX(ReferenceCard,,2)=Table1[[#This Row],[Mould No]]), 0), 3),)</f>
        <v>BX38-1000-GH-R-CL(GREEN) (ASEM)</v>
      </c>
      <c r="H631">
        <v>0</v>
      </c>
      <c r="I631" cm="1">
        <f t="array" ref="I631">IFERROR(INDEX(ReferenceCard, MATCH(1, (INDEX(ReferenceCard,,1)=Table1[[#This Row],[SAP No]]) * (INDEX(ReferenceCard,,2)=Table1[[#This Row],[Mould No]]), 0), 4),)</f>
        <v>4</v>
      </c>
      <c r="J631" s="4" cm="1">
        <f t="array" ref="J631">IFERROR(INDEX(ReferenceCard, MATCH(1, (INDEX(ReferenceCard,,1)=Table1[[#This Row],[SAP No]]) * (INDEX(ReferenceCard,,2)=Table1[[#This Row],[Mould No]]), 0), 9),)</f>
        <v>48.9</v>
      </c>
      <c r="K631" s="4" cm="1">
        <f t="array" ref="K631">IFERROR(INDEX(ReferenceCard, MATCH(1, (INDEX(ReferenceCard,,1)=Table1[[#This Row],[SAP No]]) * (INDEX(ReferenceCard,,2)=Table1[[#This Row],[Mould No]]), 0), 7),)</f>
        <v>48.9</v>
      </c>
      <c r="L631">
        <v>201</v>
      </c>
      <c r="M631">
        <v>0</v>
      </c>
      <c r="N631">
        <v>0</v>
      </c>
      <c r="O631">
        <v>0</v>
      </c>
      <c r="P631">
        <f>Table1[[#This Row],[Shot]]*Table1[[#This Row],[Cav]]</f>
        <v>804</v>
      </c>
      <c r="Q631">
        <v>0</v>
      </c>
      <c r="R631">
        <f>(Table1[[#This Row],[Part Weight (gm)]]*Table1[[#This Row],[Finish Good]])/1000</f>
        <v>0</v>
      </c>
      <c r="S631">
        <v>0</v>
      </c>
      <c r="T631">
        <f>IF(Table1[[#This Row],[Qty Order]]="Sample","-",IF(Table1[[#This Row],[Qty Order]]="RTFN","-",Table1[[#This Row],[Qty Order]]-Table1[[#This Row],[Qty Accumulate]]))</f>
        <v>0</v>
      </c>
      <c r="U631">
        <f>((Table1[[#This Row],[Shift Output]]*Table1[[#This Row],[Part Weight (gm)]])/1000)+Table1[[#This Row],[Reject Startup (kg)]]+Table1[[#This Row],[Reject Purging (kg)]]+Table1[[#This Row],[Reject Preform (kg)]]</f>
        <v>45.315599999999996</v>
      </c>
      <c r="V631" s="37">
        <f>(Table1[[#This Row],[Gross Weight (gm)]]-Table1[[#This Row],[Part Weight (gm)]])*Table1[[#This Row],[Shift Output]]/1000</f>
        <v>0</v>
      </c>
      <c r="W631" s="3">
        <v>0</v>
      </c>
      <c r="X631" s="36">
        <f>Table1[[#This Row],[Reject Startup (kg)]]/Table1[[#This Row],[Material Used]]</f>
        <v>0</v>
      </c>
      <c r="Y631" s="3">
        <v>3</v>
      </c>
      <c r="Z631" s="36">
        <f>Table1[[#This Row],[Reject Prod (kg)]]/Table1[[#This Row],[Material Used]]</f>
        <v>6.6202367396658107E-2</v>
      </c>
      <c r="AA631" s="4">
        <v>0</v>
      </c>
      <c r="AB631" s="5">
        <v>8.1799999999999908</v>
      </c>
      <c r="AC631" s="4" cm="1">
        <f t="array" ref="AC631">IFERROR(INDEX(ReferenceCard, MATCH(1, (INDEX(ReferenceCard,,1)=Table1[[#This Row],[SAP No]]) * (INDEX(ReferenceCard,,2)=Table1[[#This Row],[Mould No]]), 0), 9),)</f>
        <v>48.9</v>
      </c>
      <c r="AD631" s="5">
        <v>0</v>
      </c>
      <c r="AE631" s="5">
        <v>0</v>
      </c>
      <c r="AF631" s="5">
        <v>0</v>
      </c>
      <c r="AG631" s="5">
        <v>0</v>
      </c>
      <c r="AH631" s="5">
        <v>3.8199999999999901</v>
      </c>
      <c r="AI631" s="5">
        <v>0</v>
      </c>
      <c r="AJ631" s="5">
        <v>0</v>
      </c>
      <c r="AL631" s="2"/>
      <c r="AM631" s="2"/>
      <c r="AN631" s="3">
        <v>2</v>
      </c>
      <c r="AO631" s="3">
        <v>4</v>
      </c>
      <c r="AP631" s="6">
        <f>((Table1[[#This Row],[Reject Startup (kg)]]+Table1[[#This Row],[Reject Prod (kg)]]+Table1[[#This Row],[Reject Purging (kg)]]+Table1[[#This Row],[Reject Preform (kg)]])/Table1[[#This Row],[Part Weight (gm)]])*1000</f>
        <v>184.04907975460122</v>
      </c>
    </row>
    <row r="632" spans="1:42" x14ac:dyDescent="0.35">
      <c r="A632" s="1">
        <v>46003</v>
      </c>
      <c r="B632">
        <v>1</v>
      </c>
      <c r="C632" t="s">
        <v>23</v>
      </c>
      <c r="D632" t="str" cm="1">
        <f t="array" ref="D632">IFERROR(INDEX(ReferenceCard, MATCH(1, (INDEX(ReferenceCard,,1)=Table1[[#This Row],[SAP No]]) * (INDEX(ReferenceCard,,2)=Table1[[#This Row],[Mould No]]), 0), 6),)</f>
        <v>PPSB520Y</v>
      </c>
      <c r="E632">
        <v>586276</v>
      </c>
      <c r="F632">
        <v>2</v>
      </c>
      <c r="G632" t="str" cm="1">
        <f t="array" ref="G632">IFERROR(INDEX(ReferenceCard, MATCH(1, (INDEX(ReferenceCard,,1)=Table1[[#This Row],[SAP No]]) * (INDEX(ReferenceCard,,2)=Table1[[#This Row],[Mould No]]), 0), 3),)</f>
        <v>BC28-0056-D-APH-LEB-604001-MOLD2</v>
      </c>
      <c r="H632">
        <v>0</v>
      </c>
      <c r="I632" cm="1">
        <f t="array" ref="I632">IFERROR(INDEX(ReferenceCard, MATCH(1, (INDEX(ReferenceCard,,1)=Table1[[#This Row],[SAP No]]) * (INDEX(ReferenceCard,,2)=Table1[[#This Row],[Mould No]]), 0), 4),)</f>
        <v>6</v>
      </c>
      <c r="J632" s="4" cm="1">
        <f t="array" ref="J632">IFERROR(INDEX(ReferenceCard, MATCH(1, (INDEX(ReferenceCard,,1)=Table1[[#This Row],[SAP No]]) * (INDEX(ReferenceCard,,2)=Table1[[#This Row],[Mould No]]), 0), 9),)</f>
        <v>12.3</v>
      </c>
      <c r="K632" s="4" cm="1">
        <f t="array" ref="K632">IFERROR(INDEX(ReferenceCard, MATCH(1, (INDEX(ReferenceCard,,1)=Table1[[#This Row],[SAP No]]) * (INDEX(ReferenceCard,,2)=Table1[[#This Row],[Mould No]]), 0), 7),)</f>
        <v>12.3</v>
      </c>
      <c r="L632">
        <v>0</v>
      </c>
      <c r="M632">
        <v>0</v>
      </c>
      <c r="N632">
        <v>0</v>
      </c>
      <c r="O632">
        <v>0</v>
      </c>
      <c r="P632">
        <f>Table1[[#This Row],[Shot]]*Table1[[#This Row],[Cav]]</f>
        <v>0</v>
      </c>
      <c r="Q632">
        <v>0</v>
      </c>
      <c r="R632">
        <f>(Table1[[#This Row],[Part Weight (gm)]]*Table1[[#This Row],[Finish Good]])/1000</f>
        <v>0</v>
      </c>
      <c r="S632">
        <v>0</v>
      </c>
      <c r="T632">
        <f>IF(Table1[[#This Row],[Qty Order]]="Sample","-",IF(Table1[[#This Row],[Qty Order]]="RTFN","-",Table1[[#This Row],[Qty Order]]-Table1[[#This Row],[Qty Accumulate]]))</f>
        <v>0</v>
      </c>
      <c r="U632">
        <f>((Table1[[#This Row],[Shift Output]]*Table1[[#This Row],[Part Weight (gm)]])/1000)+Table1[[#This Row],[Reject Startup (kg)]]+Table1[[#This Row],[Reject Purging (kg)]]+Table1[[#This Row],[Reject Preform (kg)]]</f>
        <v>0</v>
      </c>
      <c r="V632" s="37">
        <f>(Table1[[#This Row],[Gross Weight (gm)]]-Table1[[#This Row],[Part Weight (gm)]])*Table1[[#This Row],[Shift Output]]/1000</f>
        <v>0</v>
      </c>
      <c r="W632" s="3">
        <v>0</v>
      </c>
      <c r="X632" s="36" t="e">
        <f>Table1[[#This Row],[Reject Startup (kg)]]/Table1[[#This Row],[Material Used]]</f>
        <v>#DIV/0!</v>
      </c>
      <c r="Y632" s="3">
        <v>2</v>
      </c>
      <c r="Z632" s="36" t="e">
        <f>Table1[[#This Row],[Reject Prod (kg)]]/Table1[[#This Row],[Material Used]]</f>
        <v>#DIV/0!</v>
      </c>
      <c r="AA632" s="4">
        <v>0</v>
      </c>
      <c r="AB632" s="5">
        <v>8.24</v>
      </c>
      <c r="AC632" s="4" cm="1">
        <f t="array" ref="AC632">IFERROR(INDEX(ReferenceCard, MATCH(1, (INDEX(ReferenceCard,,1)=Table1[[#This Row],[SAP No]]) * (INDEX(ReferenceCard,,2)=Table1[[#This Row],[Mould No]]), 0), 9),)</f>
        <v>12.3</v>
      </c>
      <c r="AD632" s="5">
        <v>0</v>
      </c>
      <c r="AE632" s="5">
        <v>0</v>
      </c>
      <c r="AF632" s="5">
        <v>0</v>
      </c>
      <c r="AG632" s="5">
        <v>0</v>
      </c>
      <c r="AH632" s="5">
        <v>3.75999999999999</v>
      </c>
      <c r="AI632" s="5">
        <v>0</v>
      </c>
      <c r="AJ632" s="5">
        <v>0</v>
      </c>
      <c r="AL632" s="2"/>
      <c r="AM632" s="2"/>
      <c r="AN632" s="3">
        <v>0</v>
      </c>
      <c r="AO632" s="3">
        <v>0</v>
      </c>
      <c r="AP632" s="6">
        <f>((Table1[[#This Row],[Reject Startup (kg)]]+Table1[[#This Row],[Reject Prod (kg)]]+Table1[[#This Row],[Reject Purging (kg)]]+Table1[[#This Row],[Reject Preform (kg)]])/Table1[[#This Row],[Part Weight (gm)]])*1000</f>
        <v>162.60162601626016</v>
      </c>
    </row>
    <row r="633" spans="1:42" x14ac:dyDescent="0.35">
      <c r="A633" s="1">
        <v>46003</v>
      </c>
      <c r="B633">
        <v>1</v>
      </c>
      <c r="C633" t="s">
        <v>25</v>
      </c>
      <c r="D633" t="str" cm="1">
        <f t="array" ref="D633">IFERROR(INDEX(ReferenceCard, MATCH(1, (INDEX(ReferenceCard,,1)=Table1[[#This Row],[SAP No]]) * (INDEX(ReferenceCard,,2)=Table1[[#This Row],[Mould No]]), 0), 6),)</f>
        <v>PET</v>
      </c>
      <c r="E633">
        <v>323133</v>
      </c>
      <c r="F633">
        <v>0</v>
      </c>
      <c r="G633" t="str" cm="1">
        <f t="array" ref="G633">IFERROR(INDEX(ReferenceCard, MATCH(1, (INDEX(ReferenceCard,,1)=Table1[[#This Row],[SAP No]]) * (INDEX(ReferenceCard,,2)=Table1[[#This Row],[Mould No]]), 0), 3),)</f>
        <v>BX38-2000-RH-R-CL(GREEN) (ASEM)</v>
      </c>
      <c r="H633">
        <v>0</v>
      </c>
      <c r="I633" cm="1">
        <f t="array" ref="I633">IFERROR(INDEX(ReferenceCard, MATCH(1, (INDEX(ReferenceCard,,1)=Table1[[#This Row],[SAP No]]) * (INDEX(ReferenceCard,,2)=Table1[[#This Row],[Mould No]]), 0), 4),)</f>
        <v>4</v>
      </c>
      <c r="J633" s="4" cm="1">
        <f t="array" ref="J633">IFERROR(INDEX(ReferenceCard, MATCH(1, (INDEX(ReferenceCard,,1)=Table1[[#This Row],[SAP No]]) * (INDEX(ReferenceCard,,2)=Table1[[#This Row],[Mould No]]), 0), 9),)</f>
        <v>77</v>
      </c>
      <c r="K633" s="4" cm="1">
        <f t="array" ref="K633">IFERROR(INDEX(ReferenceCard, MATCH(1, (INDEX(ReferenceCard,,1)=Table1[[#This Row],[SAP No]]) * (INDEX(ReferenceCard,,2)=Table1[[#This Row],[Mould No]]), 0), 7),)</f>
        <v>77</v>
      </c>
      <c r="L633">
        <v>61</v>
      </c>
      <c r="M633">
        <v>0</v>
      </c>
      <c r="N633">
        <v>0</v>
      </c>
      <c r="O633">
        <v>0</v>
      </c>
      <c r="P633">
        <f>Table1[[#This Row],[Shot]]*Table1[[#This Row],[Cav]]</f>
        <v>244</v>
      </c>
      <c r="Q633">
        <v>0</v>
      </c>
      <c r="R633">
        <f>(Table1[[#This Row],[Part Weight (gm)]]*Table1[[#This Row],[Finish Good]])/1000</f>
        <v>0</v>
      </c>
      <c r="S633">
        <v>0</v>
      </c>
      <c r="T633">
        <f>IF(Table1[[#This Row],[Qty Order]]="Sample","-",IF(Table1[[#This Row],[Qty Order]]="RTFN","-",Table1[[#This Row],[Qty Order]]-Table1[[#This Row],[Qty Accumulate]]))</f>
        <v>0</v>
      </c>
      <c r="U633">
        <f>((Table1[[#This Row],[Shift Output]]*Table1[[#This Row],[Part Weight (gm)]])/1000)+Table1[[#This Row],[Reject Startup (kg)]]+Table1[[#This Row],[Reject Purging (kg)]]+Table1[[#This Row],[Reject Preform (kg)]]</f>
        <v>26.788</v>
      </c>
      <c r="V633" s="37">
        <f>(Table1[[#This Row],[Gross Weight (gm)]]-Table1[[#This Row],[Part Weight (gm)]])*Table1[[#This Row],[Shift Output]]/1000</f>
        <v>0</v>
      </c>
      <c r="W633" s="3">
        <v>0</v>
      </c>
      <c r="X633" s="36">
        <f>Table1[[#This Row],[Reject Startup (kg)]]/Table1[[#This Row],[Material Used]]</f>
        <v>0</v>
      </c>
      <c r="Y633" s="3">
        <v>7</v>
      </c>
      <c r="Z633" s="36">
        <f>Table1[[#This Row],[Reject Prod (kg)]]/Table1[[#This Row],[Material Used]]</f>
        <v>0.26131103479169776</v>
      </c>
      <c r="AA633" s="4">
        <v>0</v>
      </c>
      <c r="AB633" s="5">
        <v>7.99</v>
      </c>
      <c r="AC633" s="4" cm="1">
        <f t="array" ref="AC633">IFERROR(INDEX(ReferenceCard, MATCH(1, (INDEX(ReferenceCard,,1)=Table1[[#This Row],[SAP No]]) * (INDEX(ReferenceCard,,2)=Table1[[#This Row],[Mould No]]), 0), 9),)</f>
        <v>77</v>
      </c>
      <c r="AD633" s="5">
        <v>0</v>
      </c>
      <c r="AE633" s="5">
        <v>0</v>
      </c>
      <c r="AF633" s="5">
        <v>0</v>
      </c>
      <c r="AG633" s="5">
        <v>0</v>
      </c>
      <c r="AH633" s="5">
        <v>4.00999999999999</v>
      </c>
      <c r="AI633" s="5">
        <v>0</v>
      </c>
      <c r="AJ633" s="5">
        <v>0</v>
      </c>
      <c r="AL633" s="2"/>
      <c r="AM633" s="2"/>
      <c r="AN633" s="3">
        <v>4</v>
      </c>
      <c r="AO633" s="3">
        <v>4</v>
      </c>
      <c r="AP633" s="6">
        <f>((Table1[[#This Row],[Reject Startup (kg)]]+Table1[[#This Row],[Reject Prod (kg)]]+Table1[[#This Row],[Reject Purging (kg)]]+Table1[[#This Row],[Reject Preform (kg)]])/Table1[[#This Row],[Part Weight (gm)]])*1000</f>
        <v>194.80519480519482</v>
      </c>
    </row>
    <row r="634" spans="1:42" x14ac:dyDescent="0.35">
      <c r="A634" s="1">
        <v>46003</v>
      </c>
      <c r="B634">
        <v>1</v>
      </c>
      <c r="C634" t="s">
        <v>27</v>
      </c>
      <c r="D634" t="str" cm="1">
        <f t="array" ref="D634">IFERROR(INDEX(ReferenceCard, MATCH(1, (INDEX(ReferenceCard,,1)=Table1[[#This Row],[SAP No]]) * (INDEX(ReferenceCard,,2)=Table1[[#This Row],[Mould No]]), 0), 6),)</f>
        <v>PPSB520Y</v>
      </c>
      <c r="E634">
        <v>552181</v>
      </c>
      <c r="F634">
        <v>4</v>
      </c>
      <c r="G634" t="str" cm="1">
        <f t="array" ref="G634">IFERROR(INDEX(ReferenceCard, MATCH(1, (INDEX(ReferenceCard,,1)=Table1[[#This Row],[SAP No]]) * (INDEX(ReferenceCard,,2)=Table1[[#This Row],[Mould No]]), 0), 3),)</f>
        <v>BC28-0090-D-APH-5180-3538-PP-6 NOTCHES-MOLD4</v>
      </c>
      <c r="H634">
        <v>0</v>
      </c>
      <c r="I634" cm="1">
        <f t="array" ref="I634">IFERROR(INDEX(ReferenceCard, MATCH(1, (INDEX(ReferenceCard,,1)=Table1[[#This Row],[SAP No]]) * (INDEX(ReferenceCard,,2)=Table1[[#This Row],[Mould No]]), 0), 4),)</f>
        <v>6</v>
      </c>
      <c r="J634" s="4" cm="1">
        <f t="array" ref="J634">IFERROR(INDEX(ReferenceCard, MATCH(1, (INDEX(ReferenceCard,,1)=Table1[[#This Row],[SAP No]]) * (INDEX(ReferenceCard,,2)=Table1[[#This Row],[Mould No]]), 0), 9),)</f>
        <v>18.8</v>
      </c>
      <c r="K634" s="4" cm="1">
        <f t="array" ref="K634">IFERROR(INDEX(ReferenceCard, MATCH(1, (INDEX(ReferenceCard,,1)=Table1[[#This Row],[SAP No]]) * (INDEX(ReferenceCard,,2)=Table1[[#This Row],[Mould No]]), 0), 7),)</f>
        <v>18.8</v>
      </c>
      <c r="L634">
        <v>0</v>
      </c>
      <c r="M634">
        <v>0</v>
      </c>
      <c r="N634">
        <v>0</v>
      </c>
      <c r="O634">
        <v>0</v>
      </c>
      <c r="P634">
        <f>Table1[[#This Row],[Shot]]*Table1[[#This Row],[Cav]]</f>
        <v>0</v>
      </c>
      <c r="Q634">
        <v>0</v>
      </c>
      <c r="R634">
        <f>(Table1[[#This Row],[Part Weight (gm)]]*Table1[[#This Row],[Finish Good]])/1000</f>
        <v>0</v>
      </c>
      <c r="S634">
        <v>0</v>
      </c>
      <c r="T634">
        <f>IF(Table1[[#This Row],[Qty Order]]="Sample","-",IF(Table1[[#This Row],[Qty Order]]="RTFN","-",Table1[[#This Row],[Qty Order]]-Table1[[#This Row],[Qty Accumulate]]))</f>
        <v>0</v>
      </c>
      <c r="U634">
        <f>((Table1[[#This Row],[Shift Output]]*Table1[[#This Row],[Part Weight (gm)]])/1000)+Table1[[#This Row],[Reject Startup (kg)]]+Table1[[#This Row],[Reject Purging (kg)]]+Table1[[#This Row],[Reject Preform (kg)]]</f>
        <v>11</v>
      </c>
      <c r="V634" s="37">
        <f>(Table1[[#This Row],[Gross Weight (gm)]]-Table1[[#This Row],[Part Weight (gm)]])*Table1[[#This Row],[Shift Output]]/1000</f>
        <v>0</v>
      </c>
      <c r="W634" s="3">
        <v>11</v>
      </c>
      <c r="X634" s="36">
        <f>Table1[[#This Row],[Reject Startup (kg)]]/Table1[[#This Row],[Material Used]]</f>
        <v>1</v>
      </c>
      <c r="Y634" s="3">
        <v>0</v>
      </c>
      <c r="Z634" s="36">
        <f>Table1[[#This Row],[Reject Prod (kg)]]/Table1[[#This Row],[Material Used]]</f>
        <v>0</v>
      </c>
      <c r="AA634" s="4">
        <v>0</v>
      </c>
      <c r="AB634" s="5">
        <v>12</v>
      </c>
      <c r="AC634" s="4" cm="1">
        <f t="array" ref="AC634">IFERROR(INDEX(ReferenceCard, MATCH(1, (INDEX(ReferenceCard,,1)=Table1[[#This Row],[SAP No]]) * (INDEX(ReferenceCard,,2)=Table1[[#This Row],[Mould No]]), 0), 9),)</f>
        <v>18.8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L634" s="2"/>
      <c r="AM634" s="2"/>
      <c r="AN634" s="3">
        <v>0</v>
      </c>
      <c r="AO634" s="3">
        <v>0</v>
      </c>
      <c r="AP634" s="6">
        <f>((Table1[[#This Row],[Reject Startup (kg)]]+Table1[[#This Row],[Reject Prod (kg)]]+Table1[[#This Row],[Reject Purging (kg)]]+Table1[[#This Row],[Reject Preform (kg)]])/Table1[[#This Row],[Part Weight (gm)]])*1000</f>
        <v>585.10638297872345</v>
      </c>
    </row>
    <row r="635" spans="1:42" x14ac:dyDescent="0.35">
      <c r="A635" s="1">
        <v>46003</v>
      </c>
      <c r="B635">
        <v>1</v>
      </c>
      <c r="C635" t="s">
        <v>29</v>
      </c>
      <c r="D635" t="str" cm="1">
        <f t="array" ref="D635">IFERROR(INDEX(ReferenceCard, MATCH(1, (INDEX(ReferenceCard,,1)=Table1[[#This Row],[SAP No]]) * (INDEX(ReferenceCard,,2)=Table1[[#This Row],[Mould No]]), 0), 6),)</f>
        <v>PET</v>
      </c>
      <c r="E635">
        <v>620599</v>
      </c>
      <c r="F635">
        <v>0</v>
      </c>
      <c r="G635" t="str" cm="1">
        <f t="array" ref="G635">IFERROR(INDEX(ReferenceCard, MATCH(1, (INDEX(ReferenceCard,,1)=Table1[[#This Row],[SAP No]]) * (INDEX(ReferenceCard,,2)=Table1[[#This Row],[Mould No]]), 0), 3),)</f>
        <v>BC28-0750-K4-R-CL (55g)</v>
      </c>
      <c r="H635">
        <v>0</v>
      </c>
      <c r="I635" cm="1">
        <f t="array" ref="I635">IFERROR(INDEX(ReferenceCard, MATCH(1, (INDEX(ReferenceCard,,1)=Table1[[#This Row],[SAP No]]) * (INDEX(ReferenceCard,,2)=Table1[[#This Row],[Mould No]]), 0), 4),)</f>
        <v>4</v>
      </c>
      <c r="J635" s="4" cm="1">
        <f t="array" ref="J635">IFERROR(INDEX(ReferenceCard, MATCH(1, (INDEX(ReferenceCard,,1)=Table1[[#This Row],[SAP No]]) * (INDEX(ReferenceCard,,2)=Table1[[#This Row],[Mould No]]), 0), 9),)</f>
        <v>55</v>
      </c>
      <c r="K635" s="4" cm="1">
        <f t="array" ref="K635">IFERROR(INDEX(ReferenceCard, MATCH(1, (INDEX(ReferenceCard,,1)=Table1[[#This Row],[SAP No]]) * (INDEX(ReferenceCard,,2)=Table1[[#This Row],[Mould No]]), 0), 7),)</f>
        <v>55</v>
      </c>
      <c r="L635">
        <v>0</v>
      </c>
      <c r="M635">
        <v>0</v>
      </c>
      <c r="N635">
        <v>0</v>
      </c>
      <c r="O635">
        <v>0</v>
      </c>
      <c r="P635">
        <f>Table1[[#This Row],[Shot]]*Table1[[#This Row],[Cav]]</f>
        <v>0</v>
      </c>
      <c r="Q635">
        <v>0</v>
      </c>
      <c r="R635">
        <f>(Table1[[#This Row],[Part Weight (gm)]]*Table1[[#This Row],[Finish Good]])/1000</f>
        <v>0</v>
      </c>
      <c r="S635">
        <v>0</v>
      </c>
      <c r="T635">
        <f>IF(Table1[[#This Row],[Qty Order]]="Sample","-",IF(Table1[[#This Row],[Qty Order]]="RTFN","-",Table1[[#This Row],[Qty Order]]-Table1[[#This Row],[Qty Accumulate]]))</f>
        <v>0</v>
      </c>
      <c r="U635">
        <f>((Table1[[#This Row],[Shift Output]]*Table1[[#This Row],[Part Weight (gm)]])/1000)+Table1[[#This Row],[Reject Startup (kg)]]+Table1[[#This Row],[Reject Purging (kg)]]+Table1[[#This Row],[Reject Preform (kg)]]</f>
        <v>12</v>
      </c>
      <c r="V635" s="37">
        <f>(Table1[[#This Row],[Gross Weight (gm)]]-Table1[[#This Row],[Part Weight (gm)]])*Table1[[#This Row],[Shift Output]]/1000</f>
        <v>0</v>
      </c>
      <c r="W635" s="3">
        <v>0</v>
      </c>
      <c r="X635" s="36">
        <f>Table1[[#This Row],[Reject Startup (kg)]]/Table1[[#This Row],[Material Used]]</f>
        <v>0</v>
      </c>
      <c r="Y635" s="3">
        <v>0</v>
      </c>
      <c r="Z635" s="36">
        <f>Table1[[#This Row],[Reject Prod (kg)]]/Table1[[#This Row],[Material Used]]</f>
        <v>0</v>
      </c>
      <c r="AA635" s="4">
        <v>0</v>
      </c>
      <c r="AB635" s="5">
        <v>12</v>
      </c>
      <c r="AC635" s="4" cm="1">
        <f t="array" ref="AC635">IFERROR(INDEX(ReferenceCard, MATCH(1, (INDEX(ReferenceCard,,1)=Table1[[#This Row],[SAP No]]) * (INDEX(ReferenceCard,,2)=Table1[[#This Row],[Mould No]]), 0), 9),)</f>
        <v>55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t="s">
        <v>152</v>
      </c>
      <c r="AL635" s="2"/>
      <c r="AM635" s="2"/>
      <c r="AN635" s="3">
        <v>6</v>
      </c>
      <c r="AO635" s="3">
        <v>6</v>
      </c>
      <c r="AP635" s="6">
        <f>((Table1[[#This Row],[Reject Startup (kg)]]+Table1[[#This Row],[Reject Prod (kg)]]+Table1[[#This Row],[Reject Purging (kg)]]+Table1[[#This Row],[Reject Preform (kg)]])/Table1[[#This Row],[Part Weight (gm)]])*1000</f>
        <v>218.18181818181816</v>
      </c>
    </row>
    <row r="636" spans="1:42" x14ac:dyDescent="0.35">
      <c r="A636" s="1">
        <v>46003</v>
      </c>
      <c r="B636">
        <v>1</v>
      </c>
      <c r="C636" t="s">
        <v>31</v>
      </c>
      <c r="D636" t="str" cm="1">
        <f t="array" ref="D636">IFERROR(INDEX(ReferenceCard, MATCH(1, (INDEX(ReferenceCard,,1)=Table1[[#This Row],[SAP No]]) * (INDEX(ReferenceCard,,2)=Table1[[#This Row],[Mould No]]), 0), 6),)</f>
        <v>PPSB520Y</v>
      </c>
      <c r="E636">
        <v>586276</v>
      </c>
      <c r="F636">
        <v>4</v>
      </c>
      <c r="G636" t="str" cm="1">
        <f t="array" ref="G636">IFERROR(INDEX(ReferenceCard, MATCH(1, (INDEX(ReferenceCard,,1)=Table1[[#This Row],[SAP No]]) * (INDEX(ReferenceCard,,2)=Table1[[#This Row],[Mould No]]), 0), 3),)</f>
        <v>BC28-0056-D-APH-LEB-604001-MOLD4</v>
      </c>
      <c r="H636">
        <v>0</v>
      </c>
      <c r="I636" cm="1">
        <f t="array" ref="I636">IFERROR(INDEX(ReferenceCard, MATCH(1, (INDEX(ReferenceCard,,1)=Table1[[#This Row],[SAP No]]) * (INDEX(ReferenceCard,,2)=Table1[[#This Row],[Mould No]]), 0), 4),)</f>
        <v>6</v>
      </c>
      <c r="J636" s="4" cm="1">
        <f t="array" ref="J636">IFERROR(INDEX(ReferenceCard, MATCH(1, (INDEX(ReferenceCard,,1)=Table1[[#This Row],[SAP No]]) * (INDEX(ReferenceCard,,2)=Table1[[#This Row],[Mould No]]), 0), 9),)</f>
        <v>12.3</v>
      </c>
      <c r="K636" s="4" cm="1">
        <f t="array" ref="K636">IFERROR(INDEX(ReferenceCard, MATCH(1, (INDEX(ReferenceCard,,1)=Table1[[#This Row],[SAP No]]) * (INDEX(ReferenceCard,,2)=Table1[[#This Row],[Mould No]]), 0), 7),)</f>
        <v>12.3</v>
      </c>
      <c r="L636">
        <v>0</v>
      </c>
      <c r="M636">
        <v>0</v>
      </c>
      <c r="N636">
        <v>0</v>
      </c>
      <c r="O636">
        <v>0</v>
      </c>
      <c r="P636">
        <f>Table1[[#This Row],[Shot]]*Table1[[#This Row],[Cav]]</f>
        <v>0</v>
      </c>
      <c r="Q636">
        <v>0</v>
      </c>
      <c r="R636">
        <f>(Table1[[#This Row],[Part Weight (gm)]]*Table1[[#This Row],[Finish Good]])/1000</f>
        <v>0</v>
      </c>
      <c r="S636">
        <v>0</v>
      </c>
      <c r="T636">
        <f>IF(Table1[[#This Row],[Qty Order]]="Sample","-",IF(Table1[[#This Row],[Qty Order]]="RTFN","-",Table1[[#This Row],[Qty Order]]-Table1[[#This Row],[Qty Accumulate]]))</f>
        <v>0</v>
      </c>
      <c r="U636">
        <f>((Table1[[#This Row],[Shift Output]]*Table1[[#This Row],[Part Weight (gm)]])/1000)+Table1[[#This Row],[Reject Startup (kg)]]+Table1[[#This Row],[Reject Purging (kg)]]+Table1[[#This Row],[Reject Preform (kg)]]</f>
        <v>0</v>
      </c>
      <c r="V636" s="37">
        <f>(Table1[[#This Row],[Gross Weight (gm)]]-Table1[[#This Row],[Part Weight (gm)]])*Table1[[#This Row],[Shift Output]]/1000</f>
        <v>0</v>
      </c>
      <c r="W636" s="3">
        <v>0</v>
      </c>
      <c r="X636" s="36" t="e">
        <f>Table1[[#This Row],[Reject Startup (kg)]]/Table1[[#This Row],[Material Used]]</f>
        <v>#DIV/0!</v>
      </c>
      <c r="Y636" s="3">
        <v>1</v>
      </c>
      <c r="Z636" s="36" t="e">
        <f>Table1[[#This Row],[Reject Prod (kg)]]/Table1[[#This Row],[Material Used]]</f>
        <v>#DIV/0!</v>
      </c>
      <c r="AA636" s="4">
        <v>0</v>
      </c>
      <c r="AB636" s="5">
        <v>8.24</v>
      </c>
      <c r="AC636" s="4" cm="1">
        <f t="array" ref="AC636">IFERROR(INDEX(ReferenceCard, MATCH(1, (INDEX(ReferenceCard,,1)=Table1[[#This Row],[SAP No]]) * (INDEX(ReferenceCard,,2)=Table1[[#This Row],[Mould No]]), 0), 9),)</f>
        <v>12.3</v>
      </c>
      <c r="AD636" s="5">
        <v>0</v>
      </c>
      <c r="AE636" s="5">
        <v>0</v>
      </c>
      <c r="AF636" s="5">
        <v>0</v>
      </c>
      <c r="AG636" s="5">
        <v>0</v>
      </c>
      <c r="AH636" s="5">
        <v>3.75999999999999</v>
      </c>
      <c r="AI636" s="5">
        <v>0</v>
      </c>
      <c r="AJ636" s="5">
        <v>0</v>
      </c>
      <c r="AL636" s="2"/>
      <c r="AM636" s="2"/>
      <c r="AN636" s="3">
        <v>0</v>
      </c>
      <c r="AO636" s="3">
        <v>0</v>
      </c>
      <c r="AP636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637" spans="1:42" x14ac:dyDescent="0.35">
      <c r="A637" s="1">
        <v>46003</v>
      </c>
      <c r="B637">
        <v>1</v>
      </c>
      <c r="C637" t="s">
        <v>33</v>
      </c>
      <c r="D637" t="str" cm="1">
        <f t="array" ref="D637">IFERROR(INDEX(ReferenceCard, MATCH(1, (INDEX(ReferenceCard,,1)=Table1[[#This Row],[SAP No]]) * (INDEX(ReferenceCard,,2)=Table1[[#This Row],[Mould No]]), 0), 6),)</f>
        <v>PET</v>
      </c>
      <c r="E637">
        <v>541381</v>
      </c>
      <c r="F637">
        <v>0</v>
      </c>
      <c r="G637" t="str" cm="1">
        <f t="array" ref="G637">IFERROR(INDEX(ReferenceCard, MATCH(1, (INDEX(ReferenceCard,,1)=Table1[[#This Row],[SAP No]]) * (INDEX(ReferenceCard,,2)=Table1[[#This Row],[Mould No]]), 0), 3),)</f>
        <v>BC28-1200-K-R-CL</v>
      </c>
      <c r="H637">
        <v>0</v>
      </c>
      <c r="I637" cm="1">
        <f t="array" ref="I637">IFERROR(INDEX(ReferenceCard, MATCH(1, (INDEX(ReferenceCard,,1)=Table1[[#This Row],[SAP No]]) * (INDEX(ReferenceCard,,2)=Table1[[#This Row],[Mould No]]), 0), 4),)</f>
        <v>4</v>
      </c>
      <c r="J637" s="4" cm="1">
        <f t="array" ref="J637">IFERROR(INDEX(ReferenceCard, MATCH(1, (INDEX(ReferenceCard,,1)=Table1[[#This Row],[SAP No]]) * (INDEX(ReferenceCard,,2)=Table1[[#This Row],[Mould No]]), 0), 9),)</f>
        <v>55</v>
      </c>
      <c r="K637" s="4" cm="1">
        <f t="array" ref="K637">IFERROR(INDEX(ReferenceCard, MATCH(1, (INDEX(ReferenceCard,,1)=Table1[[#This Row],[SAP No]]) * (INDEX(ReferenceCard,,2)=Table1[[#This Row],[Mould No]]), 0), 7),)</f>
        <v>55</v>
      </c>
      <c r="L637">
        <v>0</v>
      </c>
      <c r="M637">
        <v>0</v>
      </c>
      <c r="N637">
        <v>0</v>
      </c>
      <c r="O637">
        <v>0</v>
      </c>
      <c r="P637">
        <f>Table1[[#This Row],[Shot]]*Table1[[#This Row],[Cav]]</f>
        <v>0</v>
      </c>
      <c r="Q637">
        <v>0</v>
      </c>
      <c r="R637">
        <f>(Table1[[#This Row],[Part Weight (gm)]]*Table1[[#This Row],[Finish Good]])/1000</f>
        <v>0</v>
      </c>
      <c r="S637">
        <v>0</v>
      </c>
      <c r="T637">
        <f>IF(Table1[[#This Row],[Qty Order]]="Sample","-",IF(Table1[[#This Row],[Qty Order]]="RTFN","-",Table1[[#This Row],[Qty Order]]-Table1[[#This Row],[Qty Accumulate]]))</f>
        <v>0</v>
      </c>
      <c r="U637">
        <f>((Table1[[#This Row],[Shift Output]]*Table1[[#This Row],[Part Weight (gm)]])/1000)+Table1[[#This Row],[Reject Startup (kg)]]+Table1[[#This Row],[Reject Purging (kg)]]+Table1[[#This Row],[Reject Preform (kg)]]</f>
        <v>0</v>
      </c>
      <c r="V637" s="37">
        <f>(Table1[[#This Row],[Gross Weight (gm)]]-Table1[[#This Row],[Part Weight (gm)]])*Table1[[#This Row],[Shift Output]]/1000</f>
        <v>0</v>
      </c>
      <c r="W637" s="3">
        <v>0</v>
      </c>
      <c r="X637" s="36" t="e">
        <f>Table1[[#This Row],[Reject Startup (kg)]]/Table1[[#This Row],[Material Used]]</f>
        <v>#DIV/0!</v>
      </c>
      <c r="Y637" s="3">
        <v>0</v>
      </c>
      <c r="Z637" s="36" t="e">
        <f>Table1[[#This Row],[Reject Prod (kg)]]/Table1[[#This Row],[Material Used]]</f>
        <v>#DIV/0!</v>
      </c>
      <c r="AA637" s="4">
        <v>0</v>
      </c>
      <c r="AB637" s="5">
        <v>0</v>
      </c>
      <c r="AC637" s="4" cm="1">
        <f t="array" ref="AC637">IFERROR(INDEX(ReferenceCard, MATCH(1, (INDEX(ReferenceCard,,1)=Table1[[#This Row],[SAP No]]) * (INDEX(ReferenceCard,,2)=Table1[[#This Row],[Mould No]]), 0), 9),)</f>
        <v>55</v>
      </c>
      <c r="AD637" s="5">
        <v>0</v>
      </c>
      <c r="AE637" s="5">
        <v>0</v>
      </c>
      <c r="AF637" s="5">
        <v>0</v>
      </c>
      <c r="AG637" s="5">
        <v>0</v>
      </c>
      <c r="AH637" s="5">
        <v>12</v>
      </c>
      <c r="AI637" s="5">
        <v>0</v>
      </c>
      <c r="AJ637" s="5">
        <v>0</v>
      </c>
      <c r="AK637" t="s">
        <v>145</v>
      </c>
      <c r="AL637" s="2"/>
      <c r="AM637" s="2"/>
      <c r="AN637" s="3">
        <v>0</v>
      </c>
      <c r="AO637" s="3">
        <v>0</v>
      </c>
      <c r="AP63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38" spans="1:42" x14ac:dyDescent="0.35">
      <c r="A638" s="1">
        <v>46003</v>
      </c>
      <c r="B638">
        <v>1</v>
      </c>
      <c r="C638" t="s">
        <v>35</v>
      </c>
      <c r="D638" t="str" cm="1">
        <f t="array" ref="D638">IFERROR(INDEX(ReferenceCard, MATCH(1, (INDEX(ReferenceCard,,1)=Table1[[#This Row],[SAP No]]) * (INDEX(ReferenceCard,,2)=Table1[[#This Row],[Mould No]]), 0), 6),)</f>
        <v>PPSB520Y</v>
      </c>
      <c r="E638">
        <v>552181</v>
      </c>
      <c r="F638">
        <v>1</v>
      </c>
      <c r="G638" t="str" cm="1">
        <f t="array" ref="G638">IFERROR(INDEX(ReferenceCard, MATCH(1, (INDEX(ReferenceCard,,1)=Table1[[#This Row],[SAP No]]) * (INDEX(ReferenceCard,,2)=Table1[[#This Row],[Mould No]]), 0), 3),)</f>
        <v>BC28-0090-D-APH-5180-3538-PP-6 NOTCHES-MOLD1</v>
      </c>
      <c r="H638">
        <v>0</v>
      </c>
      <c r="I638" cm="1">
        <f t="array" ref="I638">IFERROR(INDEX(ReferenceCard, MATCH(1, (INDEX(ReferenceCard,,1)=Table1[[#This Row],[SAP No]]) * (INDEX(ReferenceCard,,2)=Table1[[#This Row],[Mould No]]), 0), 4),)</f>
        <v>6</v>
      </c>
      <c r="J638" s="4" cm="1">
        <f t="array" ref="J638">IFERROR(INDEX(ReferenceCard, MATCH(1, (INDEX(ReferenceCard,,1)=Table1[[#This Row],[SAP No]]) * (INDEX(ReferenceCard,,2)=Table1[[#This Row],[Mould No]]), 0), 9),)</f>
        <v>18.8</v>
      </c>
      <c r="K638" s="4" cm="1">
        <f t="array" ref="K638">IFERROR(INDEX(ReferenceCard, MATCH(1, (INDEX(ReferenceCard,,1)=Table1[[#This Row],[SAP No]]) * (INDEX(ReferenceCard,,2)=Table1[[#This Row],[Mould No]]), 0), 7),)</f>
        <v>18.8</v>
      </c>
      <c r="L638">
        <v>44</v>
      </c>
      <c r="M638">
        <v>0</v>
      </c>
      <c r="N638">
        <v>0</v>
      </c>
      <c r="O638">
        <v>0</v>
      </c>
      <c r="P638">
        <f>Table1[[#This Row],[Shot]]*Table1[[#This Row],[Cav]]</f>
        <v>264</v>
      </c>
      <c r="Q638">
        <v>0</v>
      </c>
      <c r="R638">
        <f>(Table1[[#This Row],[Part Weight (gm)]]*Table1[[#This Row],[Finish Good]])/1000</f>
        <v>0</v>
      </c>
      <c r="S638">
        <v>0</v>
      </c>
      <c r="T638">
        <f>IF(Table1[[#This Row],[Qty Order]]="Sample","-",IF(Table1[[#This Row],[Qty Order]]="RTFN","-",Table1[[#This Row],[Qty Order]]-Table1[[#This Row],[Qty Accumulate]]))</f>
        <v>0</v>
      </c>
      <c r="U638">
        <f>((Table1[[#This Row],[Shift Output]]*Table1[[#This Row],[Part Weight (gm)]])/1000)+Table1[[#This Row],[Reject Startup (kg)]]+Table1[[#This Row],[Reject Purging (kg)]]+Table1[[#This Row],[Reject Preform (kg)]]</f>
        <v>4.9631999999999996</v>
      </c>
      <c r="V638" s="37">
        <f>(Table1[[#This Row],[Gross Weight (gm)]]-Table1[[#This Row],[Part Weight (gm)]])*Table1[[#This Row],[Shift Output]]/1000</f>
        <v>0</v>
      </c>
      <c r="W638" s="3">
        <v>0</v>
      </c>
      <c r="X638" s="36">
        <f>Table1[[#This Row],[Reject Startup (kg)]]/Table1[[#This Row],[Material Used]]</f>
        <v>0</v>
      </c>
      <c r="Y638" s="3">
        <v>1</v>
      </c>
      <c r="Z638" s="36">
        <f>Table1[[#This Row],[Reject Prod (kg)]]/Table1[[#This Row],[Material Used]]</f>
        <v>0.20148291424887171</v>
      </c>
      <c r="AA638" s="4">
        <v>0</v>
      </c>
      <c r="AB638" s="5">
        <v>10.85</v>
      </c>
      <c r="AC638" s="4" cm="1">
        <f t="array" ref="AC638">IFERROR(INDEX(ReferenceCard, MATCH(1, (INDEX(ReferenceCard,,1)=Table1[[#This Row],[SAP No]]) * (INDEX(ReferenceCard,,2)=Table1[[#This Row],[Mould No]]), 0), 9),)</f>
        <v>18.8</v>
      </c>
      <c r="AD638" s="5">
        <v>0</v>
      </c>
      <c r="AE638" s="5">
        <v>0</v>
      </c>
      <c r="AF638" s="5">
        <v>0</v>
      </c>
      <c r="AG638" s="5">
        <v>0</v>
      </c>
      <c r="AH638" s="5">
        <v>1.1499999999999899</v>
      </c>
      <c r="AI638" s="5">
        <v>0</v>
      </c>
      <c r="AJ638" s="5">
        <v>0</v>
      </c>
      <c r="AL638" s="2"/>
      <c r="AM638" s="2"/>
      <c r="AN638" s="3">
        <v>0</v>
      </c>
      <c r="AO638" s="3">
        <v>0</v>
      </c>
      <c r="AP638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639" spans="1:42" x14ac:dyDescent="0.35">
      <c r="A639" s="1">
        <v>46003</v>
      </c>
      <c r="B639">
        <v>1</v>
      </c>
      <c r="C639" t="s">
        <v>18</v>
      </c>
      <c r="D639" t="str" cm="1">
        <f t="array" ref="D639">IFERROR(INDEX(ReferenceCard, MATCH(1, (INDEX(ReferenceCard,,1)=Table1[[#This Row],[SAP No]]) * (INDEX(ReferenceCard,,2)=Table1[[#This Row],[Mould No]]), 0), 6),)</f>
        <v>PPSB520Y</v>
      </c>
      <c r="E639">
        <v>555979</v>
      </c>
      <c r="F639">
        <v>4</v>
      </c>
      <c r="G639" t="str" cm="1">
        <f t="array" ref="G639">IFERROR(INDEX(ReferenceCard, MATCH(1, (INDEX(ReferenceCard,,1)=Table1[[#This Row],[SAP No]]) * (INDEX(ReferenceCard,,2)=Table1[[#This Row],[Mould No]]), 0), 3),)</f>
        <v>BC28-0170-D-APH-5180-3539-PP-6 NOTCHES-MOLD4</v>
      </c>
      <c r="H639">
        <v>0</v>
      </c>
      <c r="I639" cm="1">
        <f t="array" ref="I639">IFERROR(INDEX(ReferenceCard, MATCH(1, (INDEX(ReferenceCard,,1)=Table1[[#This Row],[SAP No]]) * (INDEX(ReferenceCard,,2)=Table1[[#This Row],[Mould No]]), 0), 4),)</f>
        <v>6</v>
      </c>
      <c r="J639" s="4" cm="1">
        <f t="array" ref="J639">IFERROR(INDEX(ReferenceCard, MATCH(1, (INDEX(ReferenceCard,,1)=Table1[[#This Row],[SAP No]]) * (INDEX(ReferenceCard,,2)=Table1[[#This Row],[Mould No]]), 0), 9),)</f>
        <v>28</v>
      </c>
      <c r="K639" s="4" cm="1">
        <f t="array" ref="K639">IFERROR(INDEX(ReferenceCard, MATCH(1, (INDEX(ReferenceCard,,1)=Table1[[#This Row],[SAP No]]) * (INDEX(ReferenceCard,,2)=Table1[[#This Row],[Mould No]]), 0), 7),)</f>
        <v>28</v>
      </c>
      <c r="L639">
        <v>974</v>
      </c>
      <c r="M639">
        <v>0</v>
      </c>
      <c r="N639">
        <v>0</v>
      </c>
      <c r="O639">
        <v>0</v>
      </c>
      <c r="P639">
        <f>Table1[[#This Row],[Shot]]*Table1[[#This Row],[Cav]]</f>
        <v>5844</v>
      </c>
      <c r="Q639">
        <v>0</v>
      </c>
      <c r="R639">
        <f>(Table1[[#This Row],[Part Weight (gm)]]*Table1[[#This Row],[Finish Good]])/1000</f>
        <v>0</v>
      </c>
      <c r="S639">
        <v>0</v>
      </c>
      <c r="T639">
        <f>IF(Table1[[#This Row],[Qty Order]]="Sample","-",IF(Table1[[#This Row],[Qty Order]]="RTFN","-",Table1[[#This Row],[Qty Order]]-Table1[[#This Row],[Qty Accumulate]]))</f>
        <v>0</v>
      </c>
      <c r="U639">
        <f>((Table1[[#This Row],[Shift Output]]*Table1[[#This Row],[Part Weight (gm)]])/1000)+Table1[[#This Row],[Reject Startup (kg)]]+Table1[[#This Row],[Reject Purging (kg)]]+Table1[[#This Row],[Reject Preform (kg)]]</f>
        <v>163.63200000000001</v>
      </c>
      <c r="V639" s="37">
        <f>(Table1[[#This Row],[Gross Weight (gm)]]-Table1[[#This Row],[Part Weight (gm)]])*Table1[[#This Row],[Shift Output]]/1000</f>
        <v>0</v>
      </c>
      <c r="W639" s="3">
        <v>0</v>
      </c>
      <c r="X639" s="36">
        <f>Table1[[#This Row],[Reject Startup (kg)]]/Table1[[#This Row],[Material Used]]</f>
        <v>0</v>
      </c>
      <c r="Y639" s="3">
        <v>1</v>
      </c>
      <c r="Z639" s="36">
        <f>Table1[[#This Row],[Reject Prod (kg)]]/Table1[[#This Row],[Material Used]]</f>
        <v>6.1112740784198686E-3</v>
      </c>
      <c r="AA639" s="4">
        <v>43.5</v>
      </c>
      <c r="AB639" s="5">
        <v>12</v>
      </c>
      <c r="AC639" s="4" cm="1">
        <f t="array" ref="AC639">IFERROR(INDEX(ReferenceCard, MATCH(1, (INDEX(ReferenceCard,,1)=Table1[[#This Row],[SAP No]]) * (INDEX(ReferenceCard,,2)=Table1[[#This Row],[Mould No]]), 0), 9),)</f>
        <v>28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L639" s="2"/>
      <c r="AM639" s="2"/>
      <c r="AN639" s="3">
        <v>0</v>
      </c>
      <c r="AO639" s="3">
        <v>0</v>
      </c>
      <c r="AP639" s="6">
        <f>((Table1[[#This Row],[Reject Startup (kg)]]+Table1[[#This Row],[Reject Prod (kg)]]+Table1[[#This Row],[Reject Purging (kg)]]+Table1[[#This Row],[Reject Preform (kg)]])/Table1[[#This Row],[Part Weight (gm)]])*1000</f>
        <v>35.714285714285715</v>
      </c>
    </row>
    <row r="640" spans="1:42" x14ac:dyDescent="0.35">
      <c r="A640" s="1">
        <v>46002</v>
      </c>
      <c r="B640">
        <v>2</v>
      </c>
      <c r="C640" t="s">
        <v>0</v>
      </c>
      <c r="D640" t="str" cm="1">
        <f t="array" ref="D640">IFERROR(INDEX(ReferenceCard, MATCH(1, (INDEX(ReferenceCard,,1)=Table1[[#This Row],[SAP No]]) * (INDEX(ReferenceCard,,2)=Table1[[#This Row],[Mould No]]), 0), 6),)</f>
        <v>PET</v>
      </c>
      <c r="E640">
        <v>369308</v>
      </c>
      <c r="F640">
        <v>0</v>
      </c>
      <c r="G640" t="str" cm="1">
        <f t="array" ref="G640">IFERROR(INDEX(ReferenceCard, MATCH(1, (INDEX(ReferenceCard,,1)=Table1[[#This Row],[SAP No]]) * (INDEX(ReferenceCard,,2)=Table1[[#This Row],[Mould No]]), 0), 3),)</f>
        <v>BW38-0280-LS-R-RED</v>
      </c>
      <c r="H640">
        <v>0</v>
      </c>
      <c r="I640" cm="1">
        <f t="array" ref="I640">IFERROR(INDEX(ReferenceCard, MATCH(1, (INDEX(ReferenceCard,,1)=Table1[[#This Row],[SAP No]]) * (INDEX(ReferenceCard,,2)=Table1[[#This Row],[Mould No]]), 0), 4),)</f>
        <v>4</v>
      </c>
      <c r="J640" s="4" cm="1">
        <f t="array" ref="J640">IFERROR(INDEX(ReferenceCard, MATCH(1, (INDEX(ReferenceCard,,1)=Table1[[#This Row],[SAP No]]) * (INDEX(ReferenceCard,,2)=Table1[[#This Row],[Mould No]]), 0), 9),)</f>
        <v>31</v>
      </c>
      <c r="K640" s="4" cm="1">
        <f t="array" ref="K640">IFERROR(INDEX(ReferenceCard, MATCH(1, (INDEX(ReferenceCard,,1)=Table1[[#This Row],[SAP No]]) * (INDEX(ReferenceCard,,2)=Table1[[#This Row],[Mould No]]), 0), 7),)</f>
        <v>31</v>
      </c>
      <c r="L640">
        <v>96</v>
      </c>
      <c r="M640">
        <v>0</v>
      </c>
      <c r="N640">
        <v>0</v>
      </c>
      <c r="O640">
        <v>0</v>
      </c>
      <c r="P640">
        <f>Table1[[#This Row],[Shot]]*Table1[[#This Row],[Cav]]</f>
        <v>384</v>
      </c>
      <c r="Q640">
        <v>0</v>
      </c>
      <c r="R640">
        <f>(Table1[[#This Row],[Part Weight (gm)]]*Table1[[#This Row],[Finish Good]])/1000</f>
        <v>0</v>
      </c>
      <c r="S640">
        <v>0</v>
      </c>
      <c r="T640">
        <f>IF(Table1[[#This Row],[Qty Order]]="Sample","-",IF(Table1[[#This Row],[Qty Order]]="RTFN","-",Table1[[#This Row],[Qty Order]]-Table1[[#This Row],[Qty Accumulate]]))</f>
        <v>0</v>
      </c>
      <c r="U640">
        <f>((Table1[[#This Row],[Shift Output]]*Table1[[#This Row],[Part Weight (gm)]])/1000)+Table1[[#This Row],[Reject Startup (kg)]]+Table1[[#This Row],[Reject Purging (kg)]]+Table1[[#This Row],[Reject Preform (kg)]]</f>
        <v>11.904</v>
      </c>
      <c r="V640" s="37">
        <f>(Table1[[#This Row],[Gross Weight (gm)]]-Table1[[#This Row],[Part Weight (gm)]])*Table1[[#This Row],[Shift Output]]/1000</f>
        <v>0</v>
      </c>
      <c r="W640" s="3">
        <v>0</v>
      </c>
      <c r="X640" s="36">
        <f>Table1[[#This Row],[Reject Startup (kg)]]/Table1[[#This Row],[Material Used]]</f>
        <v>0</v>
      </c>
      <c r="Y640" s="3">
        <v>0</v>
      </c>
      <c r="Z640" s="36">
        <f>Table1[[#This Row],[Reject Prod (kg)]]/Table1[[#This Row],[Material Used]]</f>
        <v>0</v>
      </c>
      <c r="AA640" s="4">
        <v>26.356035232543899</v>
      </c>
      <c r="AB640" s="5">
        <v>0.23999999999999899</v>
      </c>
      <c r="AC640" s="4" cm="1">
        <f t="array" ref="AC640">IFERROR(INDEX(ReferenceCard, MATCH(1, (INDEX(ReferenceCard,,1)=Table1[[#This Row],[SAP No]]) * (INDEX(ReferenceCard,,2)=Table1[[#This Row],[Mould No]]), 0), 9),)</f>
        <v>31</v>
      </c>
      <c r="AD640" s="5">
        <v>0</v>
      </c>
      <c r="AE640" s="5">
        <v>0</v>
      </c>
      <c r="AF640" s="5">
        <v>0</v>
      </c>
      <c r="AG640" s="5">
        <v>0</v>
      </c>
      <c r="AH640" s="5">
        <v>11.76</v>
      </c>
      <c r="AI640" s="5">
        <v>0</v>
      </c>
      <c r="AJ640" s="5">
        <v>0</v>
      </c>
      <c r="AL640" s="2"/>
      <c r="AM640" s="2"/>
      <c r="AN640" s="3">
        <v>0</v>
      </c>
      <c r="AO640" s="3">
        <v>0</v>
      </c>
      <c r="AP64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41" spans="1:42" x14ac:dyDescent="0.35">
      <c r="A641" s="1">
        <v>46002</v>
      </c>
      <c r="B641">
        <v>2</v>
      </c>
      <c r="C641" t="s">
        <v>3</v>
      </c>
      <c r="D641" t="str" cm="1">
        <f t="array" ref="D641">IFERROR(INDEX(ReferenceCard, MATCH(1, (INDEX(ReferenceCard,,1)=Table1[[#This Row],[SAP No]]) * (INDEX(ReferenceCard,,2)=Table1[[#This Row],[Mould No]]), 0), 6),)</f>
        <v>PET</v>
      </c>
      <c r="E641">
        <v>324163</v>
      </c>
      <c r="F641">
        <v>0</v>
      </c>
      <c r="G641" t="str" cm="1">
        <f t="array" ref="G641">IFERROR(INDEX(ReferenceCard, MATCH(1, (INDEX(ReferenceCard,,1)=Table1[[#This Row],[SAP No]]) * (INDEX(ReferenceCard,,2)=Table1[[#This Row],[Mould No]]), 0), 3),)</f>
        <v>BC28-0265-A-Q-CL</v>
      </c>
      <c r="H641">
        <v>0</v>
      </c>
      <c r="I641" cm="1">
        <f t="array" ref="I641">IFERROR(INDEX(ReferenceCard, MATCH(1, (INDEX(ReferenceCard,,1)=Table1[[#This Row],[SAP No]]) * (INDEX(ReferenceCard,,2)=Table1[[#This Row],[Mould No]]), 0), 4),)</f>
        <v>4</v>
      </c>
      <c r="J641" s="4" cm="1">
        <f t="array" ref="J641">IFERROR(INDEX(ReferenceCard, MATCH(1, (INDEX(ReferenceCard,,1)=Table1[[#This Row],[SAP No]]) * (INDEX(ReferenceCard,,2)=Table1[[#This Row],[Mould No]]), 0), 9),)</f>
        <v>24</v>
      </c>
      <c r="K641" s="4" cm="1">
        <f t="array" ref="K641">IFERROR(INDEX(ReferenceCard, MATCH(1, (INDEX(ReferenceCard,,1)=Table1[[#This Row],[SAP No]]) * (INDEX(ReferenceCard,,2)=Table1[[#This Row],[Mould No]]), 0), 7),)</f>
        <v>23.5</v>
      </c>
      <c r="L641">
        <v>8344</v>
      </c>
      <c r="M641">
        <v>0</v>
      </c>
      <c r="N641">
        <v>0</v>
      </c>
      <c r="O641">
        <v>0</v>
      </c>
      <c r="P641">
        <f>Table1[[#This Row],[Shot]]*Table1[[#This Row],[Cav]]</f>
        <v>33376</v>
      </c>
      <c r="Q641">
        <v>0</v>
      </c>
      <c r="R641">
        <f>(Table1[[#This Row],[Part Weight (gm)]]*Table1[[#This Row],[Finish Good]])/1000</f>
        <v>0</v>
      </c>
      <c r="S641">
        <v>0</v>
      </c>
      <c r="T641">
        <f>IF(Table1[[#This Row],[Qty Order]]="Sample","-",IF(Table1[[#This Row],[Qty Order]]="RTFN","-",Table1[[#This Row],[Qty Order]]-Table1[[#This Row],[Qty Accumulate]]))</f>
        <v>0</v>
      </c>
      <c r="U641">
        <f>((Table1[[#This Row],[Shift Output]]*Table1[[#This Row],[Part Weight (gm)]])/1000)+Table1[[#This Row],[Reject Startup (kg)]]+Table1[[#This Row],[Reject Purging (kg)]]+Table1[[#This Row],[Reject Preform (kg)]]</f>
        <v>784.33600000000001</v>
      </c>
      <c r="V641" s="37">
        <f>(Table1[[#This Row],[Gross Weight (gm)]]-Table1[[#This Row],[Part Weight (gm)]])*Table1[[#This Row],[Shift Output]]/1000</f>
        <v>16.687999999999999</v>
      </c>
      <c r="W641" s="3">
        <v>0</v>
      </c>
      <c r="X641" s="36">
        <f>Table1[[#This Row],[Reject Startup (kg)]]/Table1[[#This Row],[Material Used]]</f>
        <v>0</v>
      </c>
      <c r="Y641" s="3">
        <v>3</v>
      </c>
      <c r="Z641" s="36">
        <f>Table1[[#This Row],[Reject Prod (kg)]]/Table1[[#This Row],[Material Used]]</f>
        <v>3.8248913730850043E-3</v>
      </c>
      <c r="AA641" s="4">
        <v>22.2434997558593</v>
      </c>
      <c r="AB641" s="5">
        <v>11.88</v>
      </c>
      <c r="AC641" s="4" cm="1">
        <f t="array" ref="AC641">IFERROR(INDEX(ReferenceCard, MATCH(1, (INDEX(ReferenceCard,,1)=Table1[[#This Row],[SAP No]]) * (INDEX(ReferenceCard,,2)=Table1[[#This Row],[Mould No]]), 0), 9),)</f>
        <v>24</v>
      </c>
      <c r="AD641" s="5">
        <v>0</v>
      </c>
      <c r="AE641" s="5">
        <v>0</v>
      </c>
      <c r="AF641" s="5">
        <v>0</v>
      </c>
      <c r="AG641" s="5">
        <v>0</v>
      </c>
      <c r="AH641" s="5">
        <v>0.12</v>
      </c>
      <c r="AI641" s="5">
        <v>0</v>
      </c>
      <c r="AJ641" s="5">
        <v>0</v>
      </c>
      <c r="AL641" s="2"/>
      <c r="AM641" s="2"/>
      <c r="AN641" s="3">
        <v>0</v>
      </c>
      <c r="AO641" s="3">
        <v>0</v>
      </c>
      <c r="AP641" s="6">
        <f>((Table1[[#This Row],[Reject Startup (kg)]]+Table1[[#This Row],[Reject Prod (kg)]]+Table1[[#This Row],[Reject Purging (kg)]]+Table1[[#This Row],[Reject Preform (kg)]])/Table1[[#This Row],[Part Weight (gm)]])*1000</f>
        <v>127.6595744680851</v>
      </c>
    </row>
    <row r="642" spans="1:42" x14ac:dyDescent="0.35">
      <c r="A642" s="1">
        <v>46002</v>
      </c>
      <c r="B642">
        <v>2</v>
      </c>
      <c r="C642" t="s">
        <v>5</v>
      </c>
      <c r="D642" t="str" cm="1">
        <f t="array" ref="D642">IFERROR(INDEX(ReferenceCard, MATCH(1, (INDEX(ReferenceCard,,1)=Table1[[#This Row],[SAP No]]) * (INDEX(ReferenceCard,,2)=Table1[[#This Row],[Mould No]]), 0), 6),)</f>
        <v>PET</v>
      </c>
      <c r="E642">
        <v>543590</v>
      </c>
      <c r="F642">
        <v>0</v>
      </c>
      <c r="G642" t="str" cm="1">
        <f t="array" ref="G642">IFERROR(INDEX(ReferenceCard, MATCH(1, (INDEX(ReferenceCard,,1)=Table1[[#This Row],[SAP No]]) * (INDEX(ReferenceCard,,2)=Table1[[#This Row],[Mould No]]), 0), 3),)</f>
        <v>BC28-0130-R-R-AM</v>
      </c>
      <c r="H642">
        <v>0</v>
      </c>
      <c r="I642" cm="1">
        <f t="array" ref="I642">IFERROR(INDEX(ReferenceCard, MATCH(1, (INDEX(ReferenceCard,,1)=Table1[[#This Row],[SAP No]]) * (INDEX(ReferenceCard,,2)=Table1[[#This Row],[Mould No]]), 0), 4),)</f>
        <v>4</v>
      </c>
      <c r="J642" s="4" cm="1">
        <f t="array" ref="J642">IFERROR(INDEX(ReferenceCard, MATCH(1, (INDEX(ReferenceCard,,1)=Table1[[#This Row],[SAP No]]) * (INDEX(ReferenceCard,,2)=Table1[[#This Row],[Mould No]]), 0), 9),)</f>
        <v>19</v>
      </c>
      <c r="K642" s="4" cm="1">
        <f t="array" ref="K642">IFERROR(INDEX(ReferenceCard, MATCH(1, (INDEX(ReferenceCard,,1)=Table1[[#This Row],[SAP No]]) * (INDEX(ReferenceCard,,2)=Table1[[#This Row],[Mould No]]), 0), 7),)</f>
        <v>19</v>
      </c>
      <c r="L642">
        <v>4597</v>
      </c>
      <c r="M642">
        <v>0</v>
      </c>
      <c r="N642">
        <v>0</v>
      </c>
      <c r="O642">
        <v>0</v>
      </c>
      <c r="P642">
        <f>Table1[[#This Row],[Shot]]*Table1[[#This Row],[Cav]]</f>
        <v>18388</v>
      </c>
      <c r="Q642">
        <v>0</v>
      </c>
      <c r="R642">
        <f>(Table1[[#This Row],[Part Weight (gm)]]*Table1[[#This Row],[Finish Good]])/1000</f>
        <v>0</v>
      </c>
      <c r="S642">
        <v>0</v>
      </c>
      <c r="T642">
        <f>IF(Table1[[#This Row],[Qty Order]]="Sample","-",IF(Table1[[#This Row],[Qty Order]]="RTFN","-",Table1[[#This Row],[Qty Order]]-Table1[[#This Row],[Qty Accumulate]]))</f>
        <v>0</v>
      </c>
      <c r="U642">
        <f>((Table1[[#This Row],[Shift Output]]*Table1[[#This Row],[Part Weight (gm)]])/1000)+Table1[[#This Row],[Reject Startup (kg)]]+Table1[[#This Row],[Reject Purging (kg)]]+Table1[[#This Row],[Reject Preform (kg)]]</f>
        <v>349.37200000000001</v>
      </c>
      <c r="V642" s="37">
        <f>(Table1[[#This Row],[Gross Weight (gm)]]-Table1[[#This Row],[Part Weight (gm)]])*Table1[[#This Row],[Shift Output]]/1000</f>
        <v>0</v>
      </c>
      <c r="W642" s="3">
        <v>0</v>
      </c>
      <c r="X642" s="36">
        <f>Table1[[#This Row],[Reject Startup (kg)]]/Table1[[#This Row],[Material Used]]</f>
        <v>0</v>
      </c>
      <c r="Y642" s="3">
        <v>3</v>
      </c>
      <c r="Z642" s="36">
        <f>Table1[[#This Row],[Reject Prod (kg)]]/Table1[[#This Row],[Material Used]]</f>
        <v>8.5868358082502316E-3</v>
      </c>
      <c r="AA642" s="4">
        <v>23.106340408325099</v>
      </c>
      <c r="AB642" s="5">
        <v>11.7799999999999</v>
      </c>
      <c r="AC642" s="4" cm="1">
        <f t="array" ref="AC642">IFERROR(INDEX(ReferenceCard, MATCH(1, (INDEX(ReferenceCard,,1)=Table1[[#This Row],[SAP No]]) * (INDEX(ReferenceCard,,2)=Table1[[#This Row],[Mould No]]), 0), 9),)</f>
        <v>19</v>
      </c>
      <c r="AD642" s="5">
        <v>0</v>
      </c>
      <c r="AE642" s="5">
        <v>0</v>
      </c>
      <c r="AF642" s="5">
        <v>0</v>
      </c>
      <c r="AG642" s="5">
        <v>0</v>
      </c>
      <c r="AH642" s="5">
        <v>0.22</v>
      </c>
      <c r="AI642" s="5">
        <v>0</v>
      </c>
      <c r="AJ642" s="5">
        <v>0</v>
      </c>
      <c r="AL642" s="2"/>
      <c r="AM642" s="2"/>
      <c r="AN642" s="3">
        <v>0</v>
      </c>
      <c r="AO642" s="3">
        <v>0</v>
      </c>
      <c r="AP642" s="6">
        <f>((Table1[[#This Row],[Reject Startup (kg)]]+Table1[[#This Row],[Reject Prod (kg)]]+Table1[[#This Row],[Reject Purging (kg)]]+Table1[[#This Row],[Reject Preform (kg)]])/Table1[[#This Row],[Part Weight (gm)]])*1000</f>
        <v>157.89473684210526</v>
      </c>
    </row>
    <row r="643" spans="1:42" x14ac:dyDescent="0.35">
      <c r="A643" s="1">
        <v>46002</v>
      </c>
      <c r="B643">
        <v>2</v>
      </c>
      <c r="C643" t="s">
        <v>7</v>
      </c>
      <c r="D643" t="str" cm="1">
        <f t="array" ref="D643">IFERROR(INDEX(ReferenceCard, MATCH(1, (INDEX(ReferenceCard,,1)=Table1[[#This Row],[SAP No]]) * (INDEX(ReferenceCard,,2)=Table1[[#This Row],[Mould No]]), 0), 6),)</f>
        <v>PET</v>
      </c>
      <c r="E643">
        <v>426555</v>
      </c>
      <c r="F643">
        <v>0</v>
      </c>
      <c r="G643" t="str" cm="1">
        <f t="array" ref="G643">IFERROR(INDEX(ReferenceCard, MATCH(1, (INDEX(ReferenceCard,,1)=Table1[[#This Row],[SAP No]]) * (INDEX(ReferenceCard,,2)=Table1[[#This Row],[Mould No]]), 0), 3),)</f>
        <v>BX38-0330-Z-S-CL-HW</v>
      </c>
      <c r="H643">
        <v>0</v>
      </c>
      <c r="I643" cm="1">
        <f t="array" ref="I643">IFERROR(INDEX(ReferenceCard, MATCH(1, (INDEX(ReferenceCard,,1)=Table1[[#This Row],[SAP No]]) * (INDEX(ReferenceCard,,2)=Table1[[#This Row],[Mould No]]), 0), 4),)</f>
        <v>4</v>
      </c>
      <c r="J643" s="4" cm="1">
        <f t="array" ref="J643">IFERROR(INDEX(ReferenceCard, MATCH(1, (INDEX(ReferenceCard,,1)=Table1[[#This Row],[SAP No]]) * (INDEX(ReferenceCard,,2)=Table1[[#This Row],[Mould No]]), 0), 9),)</f>
        <v>29</v>
      </c>
      <c r="K643" s="4" cm="1">
        <f t="array" ref="K643">IFERROR(INDEX(ReferenceCard, MATCH(1, (INDEX(ReferenceCard,,1)=Table1[[#This Row],[SAP No]]) * (INDEX(ReferenceCard,,2)=Table1[[#This Row],[Mould No]]), 0), 7),)</f>
        <v>29</v>
      </c>
      <c r="L643">
        <v>4006</v>
      </c>
      <c r="M643">
        <v>0</v>
      </c>
      <c r="N643">
        <v>0</v>
      </c>
      <c r="O643">
        <v>0</v>
      </c>
      <c r="P643">
        <f>Table1[[#This Row],[Shot]]*Table1[[#This Row],[Cav]]</f>
        <v>16024</v>
      </c>
      <c r="Q643">
        <v>0</v>
      </c>
      <c r="R643">
        <f>(Table1[[#This Row],[Part Weight (gm)]]*Table1[[#This Row],[Finish Good]])/1000</f>
        <v>0</v>
      </c>
      <c r="S643">
        <v>0</v>
      </c>
      <c r="T643">
        <f>IF(Table1[[#This Row],[Qty Order]]="Sample","-",IF(Table1[[#This Row],[Qty Order]]="RTFN","-",Table1[[#This Row],[Qty Order]]-Table1[[#This Row],[Qty Accumulate]]))</f>
        <v>0</v>
      </c>
      <c r="U643">
        <f>((Table1[[#This Row],[Shift Output]]*Table1[[#This Row],[Part Weight (gm)]])/1000)+Table1[[#This Row],[Reject Startup (kg)]]+Table1[[#This Row],[Reject Purging (kg)]]+Table1[[#This Row],[Reject Preform (kg)]]</f>
        <v>464.69600000000003</v>
      </c>
      <c r="V643" s="37">
        <f>(Table1[[#This Row],[Gross Weight (gm)]]-Table1[[#This Row],[Part Weight (gm)]])*Table1[[#This Row],[Shift Output]]/1000</f>
        <v>0</v>
      </c>
      <c r="W643" s="3">
        <v>0</v>
      </c>
      <c r="X643" s="36">
        <f>Table1[[#This Row],[Reject Startup (kg)]]/Table1[[#This Row],[Material Used]]</f>
        <v>0</v>
      </c>
      <c r="Y643" s="3">
        <v>2</v>
      </c>
      <c r="Z643" s="36">
        <f>Table1[[#This Row],[Reject Prod (kg)]]/Table1[[#This Row],[Material Used]]</f>
        <v>4.3038889940950637E-3</v>
      </c>
      <c r="AA643" s="4">
        <v>26.424413681030199</v>
      </c>
      <c r="AB643" s="5">
        <v>11.85</v>
      </c>
      <c r="AC643" s="4" cm="1">
        <f t="array" ref="AC643">IFERROR(INDEX(ReferenceCard, MATCH(1, (INDEX(ReferenceCard,,1)=Table1[[#This Row],[SAP No]]) * (INDEX(ReferenceCard,,2)=Table1[[#This Row],[Mould No]]), 0), 9),)</f>
        <v>29</v>
      </c>
      <c r="AD643" s="5">
        <v>0</v>
      </c>
      <c r="AE643" s="5">
        <v>0</v>
      </c>
      <c r="AF643" s="5">
        <v>0</v>
      </c>
      <c r="AG643" s="5">
        <v>0</v>
      </c>
      <c r="AH643" s="5">
        <v>0.149999999999999</v>
      </c>
      <c r="AI643" s="5">
        <v>0</v>
      </c>
      <c r="AJ643" s="5">
        <v>0</v>
      </c>
      <c r="AL643" s="2"/>
      <c r="AM643" s="2"/>
      <c r="AN643" s="3">
        <v>0</v>
      </c>
      <c r="AO643" s="3">
        <v>0</v>
      </c>
      <c r="AP643" s="6">
        <f>((Table1[[#This Row],[Reject Startup (kg)]]+Table1[[#This Row],[Reject Prod (kg)]]+Table1[[#This Row],[Reject Purging (kg)]]+Table1[[#This Row],[Reject Preform (kg)]])/Table1[[#This Row],[Part Weight (gm)]])*1000</f>
        <v>68.965517241379303</v>
      </c>
    </row>
    <row r="644" spans="1:42" x14ac:dyDescent="0.35">
      <c r="A644" s="1">
        <v>46002</v>
      </c>
      <c r="B644">
        <v>2</v>
      </c>
      <c r="C644" t="s">
        <v>9</v>
      </c>
      <c r="D644" t="str" cm="1">
        <f t="array" ref="D644">IFERROR(INDEX(ReferenceCard, MATCH(1, (INDEX(ReferenceCard,,1)=Table1[[#This Row],[SAP No]]) * (INDEX(ReferenceCard,,2)=Table1[[#This Row],[Mould No]]), 0), 6),)</f>
        <v>rPET</v>
      </c>
      <c r="E644">
        <v>593537</v>
      </c>
      <c r="F644">
        <v>0</v>
      </c>
      <c r="G644" t="str" cm="1">
        <f t="array" ref="G644">IFERROR(INDEX(ReferenceCard, MATCH(1, (INDEX(ReferenceCard,,1)=Table1[[#This Row],[SAP No]]) * (INDEX(ReferenceCard,,2)=Table1[[#This Row],[Mould No]]), 0), 3),)</f>
        <v>BX38-1000-RN-R-CL-rPET</v>
      </c>
      <c r="H644">
        <v>0</v>
      </c>
      <c r="I644" cm="1">
        <f t="array" ref="I644">IFERROR(INDEX(ReferenceCard, MATCH(1, (INDEX(ReferenceCard,,1)=Table1[[#This Row],[SAP No]]) * (INDEX(ReferenceCard,,2)=Table1[[#This Row],[Mould No]]), 0), 4),)</f>
        <v>4</v>
      </c>
      <c r="J644" s="4" cm="1">
        <f t="array" ref="J644">IFERROR(INDEX(ReferenceCard, MATCH(1, (INDEX(ReferenceCard,,1)=Table1[[#This Row],[SAP No]]) * (INDEX(ReferenceCard,,2)=Table1[[#This Row],[Mould No]]), 0), 9),)</f>
        <v>56.5</v>
      </c>
      <c r="K644" s="4" cm="1">
        <f t="array" ref="K644">IFERROR(INDEX(ReferenceCard, MATCH(1, (INDEX(ReferenceCard,,1)=Table1[[#This Row],[SAP No]]) * (INDEX(ReferenceCard,,2)=Table1[[#This Row],[Mould No]]), 0), 7),)</f>
        <v>56.8</v>
      </c>
      <c r="L644">
        <v>3204</v>
      </c>
      <c r="M644">
        <v>0</v>
      </c>
      <c r="N644">
        <v>0</v>
      </c>
      <c r="O644">
        <v>0</v>
      </c>
      <c r="P644">
        <f>Table1[[#This Row],[Shot]]*Table1[[#This Row],[Cav]]</f>
        <v>12816</v>
      </c>
      <c r="Q644">
        <v>0</v>
      </c>
      <c r="R644">
        <f>(Table1[[#This Row],[Part Weight (gm)]]*Table1[[#This Row],[Finish Good]])/1000</f>
        <v>0</v>
      </c>
      <c r="S644">
        <v>0</v>
      </c>
      <c r="T644">
        <f>IF(Table1[[#This Row],[Qty Order]]="Sample","-",IF(Table1[[#This Row],[Qty Order]]="RTFN","-",Table1[[#This Row],[Qty Order]]-Table1[[#This Row],[Qty Accumulate]]))</f>
        <v>0</v>
      </c>
      <c r="U644">
        <f>((Table1[[#This Row],[Shift Output]]*Table1[[#This Row],[Part Weight (gm)]])/1000)+Table1[[#This Row],[Reject Startup (kg)]]+Table1[[#This Row],[Reject Purging (kg)]]+Table1[[#This Row],[Reject Preform (kg)]]</f>
        <v>727.94879999999989</v>
      </c>
      <c r="V644" s="37">
        <f>(Table1[[#This Row],[Gross Weight (gm)]]-Table1[[#This Row],[Part Weight (gm)]])*Table1[[#This Row],[Shift Output]]/1000</f>
        <v>-3.8447999999999638</v>
      </c>
      <c r="W644" s="3">
        <v>0</v>
      </c>
      <c r="X644" s="36">
        <f>Table1[[#This Row],[Reject Startup (kg)]]/Table1[[#This Row],[Material Used]]</f>
        <v>0</v>
      </c>
      <c r="Y644" s="3">
        <v>4</v>
      </c>
      <c r="Z644" s="36">
        <f>Table1[[#This Row],[Reject Prod (kg)]]/Table1[[#This Row],[Material Used]]</f>
        <v>5.4948919484447264E-3</v>
      </c>
      <c r="AA644" s="4">
        <v>31.905321121215799</v>
      </c>
      <c r="AB644" s="5">
        <v>11.6199999999999</v>
      </c>
      <c r="AC644" s="4" cm="1">
        <f t="array" ref="AC644">IFERROR(INDEX(ReferenceCard, MATCH(1, (INDEX(ReferenceCard,,1)=Table1[[#This Row],[SAP No]]) * (INDEX(ReferenceCard,,2)=Table1[[#This Row],[Mould No]]), 0), 9),)</f>
        <v>56.5</v>
      </c>
      <c r="AD644" s="5">
        <v>0</v>
      </c>
      <c r="AE644" s="5">
        <v>0</v>
      </c>
      <c r="AF644" s="5">
        <v>0</v>
      </c>
      <c r="AG644" s="5">
        <v>0</v>
      </c>
      <c r="AH644" s="5">
        <v>0.38</v>
      </c>
      <c r="AI644" s="5">
        <v>0</v>
      </c>
      <c r="AJ644" s="5">
        <v>0</v>
      </c>
      <c r="AL644" s="2"/>
      <c r="AM644" s="2"/>
      <c r="AN644" s="3">
        <v>0</v>
      </c>
      <c r="AO644" s="3">
        <v>0</v>
      </c>
      <c r="AP644" s="6">
        <f>((Table1[[#This Row],[Reject Startup (kg)]]+Table1[[#This Row],[Reject Prod (kg)]]+Table1[[#This Row],[Reject Purging (kg)]]+Table1[[#This Row],[Reject Preform (kg)]])/Table1[[#This Row],[Part Weight (gm)]])*1000</f>
        <v>70.422535211267615</v>
      </c>
    </row>
    <row r="645" spans="1:42" x14ac:dyDescent="0.35">
      <c r="A645" s="1">
        <v>46002</v>
      </c>
      <c r="B645">
        <v>2</v>
      </c>
      <c r="C645" t="s">
        <v>11</v>
      </c>
      <c r="D645" t="str" cm="1">
        <f t="array" ref="D645">IFERROR(INDEX(ReferenceCard, MATCH(1, (INDEX(ReferenceCard,,1)=Table1[[#This Row],[SAP No]]) * (INDEX(ReferenceCard,,2)=Table1[[#This Row],[Mould No]]), 0), 6),)</f>
        <v>rPET</v>
      </c>
      <c r="E645">
        <v>620994</v>
      </c>
      <c r="F645">
        <v>0</v>
      </c>
      <c r="G645" t="str" cm="1">
        <f t="array" ref="G645">IFERROR(INDEX(ReferenceCard, MATCH(1, (INDEX(ReferenceCard,,1)=Table1[[#This Row],[SAP No]]) * (INDEX(ReferenceCard,,2)=Table1[[#This Row],[Mould No]]), 0), 3),)</f>
        <v>JJ63-0400-SH-S-CL-rPET</v>
      </c>
      <c r="H645">
        <v>0</v>
      </c>
      <c r="I645" cm="1">
        <f t="array" ref="I645">IFERROR(INDEX(ReferenceCard, MATCH(1, (INDEX(ReferenceCard,,1)=Table1[[#This Row],[SAP No]]) * (INDEX(ReferenceCard,,2)=Table1[[#This Row],[Mould No]]), 0), 4),)</f>
        <v>4</v>
      </c>
      <c r="J645" s="4" cm="1">
        <f t="array" ref="J645">IFERROR(INDEX(ReferenceCard, MATCH(1, (INDEX(ReferenceCard,,1)=Table1[[#This Row],[SAP No]]) * (INDEX(ReferenceCard,,2)=Table1[[#This Row],[Mould No]]), 0), 9),)</f>
        <v>32.74</v>
      </c>
      <c r="K645" s="4" cm="1">
        <f t="array" ref="K645">IFERROR(INDEX(ReferenceCard, MATCH(1, (INDEX(ReferenceCard,,1)=Table1[[#This Row],[SAP No]]) * (INDEX(ReferenceCard,,2)=Table1[[#This Row],[Mould No]]), 0), 7),)</f>
        <v>33</v>
      </c>
      <c r="L645">
        <v>140</v>
      </c>
      <c r="M645">
        <v>0</v>
      </c>
      <c r="N645">
        <v>0</v>
      </c>
      <c r="O645">
        <v>0</v>
      </c>
      <c r="P645">
        <f>Table1[[#This Row],[Shot]]*Table1[[#This Row],[Cav]]</f>
        <v>560</v>
      </c>
      <c r="Q645">
        <v>0</v>
      </c>
      <c r="R645">
        <f>(Table1[[#This Row],[Part Weight (gm)]]*Table1[[#This Row],[Finish Good]])/1000</f>
        <v>0</v>
      </c>
      <c r="S645">
        <v>0</v>
      </c>
      <c r="T645">
        <f>IF(Table1[[#This Row],[Qty Order]]="Sample","-",IF(Table1[[#This Row],[Qty Order]]="RTFN","-",Table1[[#This Row],[Qty Order]]-Table1[[#This Row],[Qty Accumulate]]))</f>
        <v>0</v>
      </c>
      <c r="U645">
        <f>((Table1[[#This Row],[Shift Output]]*Table1[[#This Row],[Part Weight (gm)]])/1000)+Table1[[#This Row],[Reject Startup (kg)]]+Table1[[#This Row],[Reject Purging (kg)]]+Table1[[#This Row],[Reject Preform (kg)]]</f>
        <v>18.48</v>
      </c>
      <c r="V645" s="37">
        <f>(Table1[[#This Row],[Gross Weight (gm)]]-Table1[[#This Row],[Part Weight (gm)]])*Table1[[#This Row],[Shift Output]]/1000</f>
        <v>-0.1455999999999989</v>
      </c>
      <c r="W645" s="3">
        <v>0</v>
      </c>
      <c r="X645" s="36">
        <f>Table1[[#This Row],[Reject Startup (kg)]]/Table1[[#This Row],[Material Used]]</f>
        <v>0</v>
      </c>
      <c r="Y645" s="3">
        <v>0</v>
      </c>
      <c r="Z645" s="36">
        <f>Table1[[#This Row],[Reject Prod (kg)]]/Table1[[#This Row],[Material Used]]</f>
        <v>0</v>
      </c>
      <c r="AA645" s="4">
        <v>19.8154602050781</v>
      </c>
      <c r="AB645" s="5">
        <v>0.59999999999999898</v>
      </c>
      <c r="AC645" s="4" cm="1">
        <f t="array" ref="AC645">IFERROR(INDEX(ReferenceCard, MATCH(1, (INDEX(ReferenceCard,,1)=Table1[[#This Row],[SAP No]]) * (INDEX(ReferenceCard,,2)=Table1[[#This Row],[Mould No]]), 0), 9),)</f>
        <v>32.74</v>
      </c>
      <c r="AD645" s="5">
        <v>0</v>
      </c>
      <c r="AE645" s="5">
        <v>0</v>
      </c>
      <c r="AF645" s="5">
        <v>0</v>
      </c>
      <c r="AG645" s="5">
        <v>0</v>
      </c>
      <c r="AH645" s="5">
        <v>10.8</v>
      </c>
      <c r="AI645" s="5">
        <v>0.59999999999999898</v>
      </c>
      <c r="AJ645" s="5">
        <v>0</v>
      </c>
      <c r="AL645" s="2"/>
      <c r="AM645" s="2"/>
      <c r="AN645" s="3">
        <v>0</v>
      </c>
      <c r="AO645" s="3">
        <v>0</v>
      </c>
      <c r="AP64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46" spans="1:42" x14ac:dyDescent="0.35">
      <c r="A646" s="1">
        <v>46002</v>
      </c>
      <c r="B646">
        <v>2</v>
      </c>
      <c r="C646" t="s">
        <v>14</v>
      </c>
      <c r="D646" t="str" cm="1">
        <f t="array" ref="D646">IFERROR(INDEX(ReferenceCard, MATCH(1, (INDEX(ReferenceCard,,1)=Table1[[#This Row],[SAP No]]) * (INDEX(ReferenceCard,,2)=Table1[[#This Row],[Mould No]]), 0), 6),)</f>
        <v>PET</v>
      </c>
      <c r="E646">
        <v>324165</v>
      </c>
      <c r="F646">
        <v>0</v>
      </c>
      <c r="G646" t="str" cm="1">
        <f t="array" ref="G646">IFERROR(INDEX(ReferenceCard, MATCH(1, (INDEX(ReferenceCard,,1)=Table1[[#This Row],[SAP No]]) * (INDEX(ReferenceCard,,2)=Table1[[#This Row],[Mould No]]), 0), 3),)</f>
        <v>JJ63-0400-SH-S-WH</v>
      </c>
      <c r="H646">
        <v>0</v>
      </c>
      <c r="I646" cm="1">
        <f t="array" ref="I646">IFERROR(INDEX(ReferenceCard, MATCH(1, (INDEX(ReferenceCard,,1)=Table1[[#This Row],[SAP No]]) * (INDEX(ReferenceCard,,2)=Table1[[#This Row],[Mould No]]), 0), 4),)</f>
        <v>4</v>
      </c>
      <c r="J646" s="4" cm="1">
        <f t="array" ref="J646">IFERROR(INDEX(ReferenceCard, MATCH(1, (INDEX(ReferenceCard,,1)=Table1[[#This Row],[SAP No]]) * (INDEX(ReferenceCard,,2)=Table1[[#This Row],[Mould No]]), 0), 9),)</f>
        <v>32.56</v>
      </c>
      <c r="K646" s="4" cm="1">
        <f t="array" ref="K646">IFERROR(INDEX(ReferenceCard, MATCH(1, (INDEX(ReferenceCard,,1)=Table1[[#This Row],[SAP No]]) * (INDEX(ReferenceCard,,2)=Table1[[#This Row],[Mould No]]), 0), 7),)</f>
        <v>33</v>
      </c>
      <c r="L646">
        <v>909</v>
      </c>
      <c r="M646">
        <v>0</v>
      </c>
      <c r="N646">
        <v>0</v>
      </c>
      <c r="O646">
        <v>0</v>
      </c>
      <c r="P646">
        <f>Table1[[#This Row],[Shot]]*Table1[[#This Row],[Cav]]</f>
        <v>3636</v>
      </c>
      <c r="Q646">
        <v>0</v>
      </c>
      <c r="R646">
        <f>(Table1[[#This Row],[Part Weight (gm)]]*Table1[[#This Row],[Finish Good]])/1000</f>
        <v>0</v>
      </c>
      <c r="S646">
        <v>0</v>
      </c>
      <c r="T646">
        <f>IF(Table1[[#This Row],[Qty Order]]="Sample","-",IF(Table1[[#This Row],[Qty Order]]="RTFN","-",Table1[[#This Row],[Qty Order]]-Table1[[#This Row],[Qty Accumulate]]))</f>
        <v>0</v>
      </c>
      <c r="U646">
        <f>((Table1[[#This Row],[Shift Output]]*Table1[[#This Row],[Part Weight (gm)]])/1000)+Table1[[#This Row],[Reject Startup (kg)]]+Table1[[#This Row],[Reject Purging (kg)]]+Table1[[#This Row],[Reject Preform (kg)]]</f>
        <v>119.988</v>
      </c>
      <c r="V646" s="37">
        <f>(Table1[[#This Row],[Gross Weight (gm)]]-Table1[[#This Row],[Part Weight (gm)]])*Table1[[#This Row],[Shift Output]]/1000</f>
        <v>-1.5998399999999917</v>
      </c>
      <c r="W646" s="3">
        <v>0</v>
      </c>
      <c r="X646" s="36">
        <f>Table1[[#This Row],[Reject Startup (kg)]]/Table1[[#This Row],[Material Used]]</f>
        <v>0</v>
      </c>
      <c r="Y646" s="3">
        <v>6</v>
      </c>
      <c r="Z646" s="36">
        <f>Table1[[#This Row],[Reject Prod (kg)]]/Table1[[#This Row],[Material Used]]</f>
        <v>5.0005000500050002E-2</v>
      </c>
      <c r="AA646" s="4">
        <v>59.457740783691399</v>
      </c>
      <c r="AB646" s="5">
        <v>2.5699999999999901</v>
      </c>
      <c r="AC646" s="4" cm="1">
        <f t="array" ref="AC646">IFERROR(INDEX(ReferenceCard, MATCH(1, (INDEX(ReferenceCard,,1)=Table1[[#This Row],[SAP No]]) * (INDEX(ReferenceCard,,2)=Table1[[#This Row],[Mould No]]), 0), 9),)</f>
        <v>32.56</v>
      </c>
      <c r="AD646" s="5">
        <v>0</v>
      </c>
      <c r="AE646" s="5">
        <v>0</v>
      </c>
      <c r="AF646" s="5">
        <v>0</v>
      </c>
      <c r="AG646" s="5">
        <v>0</v>
      </c>
      <c r="AH646" s="5">
        <v>9.4399999999999906</v>
      </c>
      <c r="AI646" s="5">
        <v>0</v>
      </c>
      <c r="AJ646" s="5">
        <v>0</v>
      </c>
      <c r="AL646" s="2"/>
      <c r="AM646" s="2"/>
      <c r="AN646" s="3">
        <v>0</v>
      </c>
      <c r="AO646" s="3">
        <v>0</v>
      </c>
      <c r="AP646" s="6">
        <f>((Table1[[#This Row],[Reject Startup (kg)]]+Table1[[#This Row],[Reject Prod (kg)]]+Table1[[#This Row],[Reject Purging (kg)]]+Table1[[#This Row],[Reject Preform (kg)]])/Table1[[#This Row],[Part Weight (gm)]])*1000</f>
        <v>181.81818181818181</v>
      </c>
    </row>
    <row r="647" spans="1:42" x14ac:dyDescent="0.35">
      <c r="A647" s="1">
        <v>46002</v>
      </c>
      <c r="B647">
        <v>2</v>
      </c>
      <c r="C647" t="s">
        <v>16</v>
      </c>
      <c r="D647" t="str" cm="1">
        <f t="array" ref="D647">IFERROR(INDEX(ReferenceCard, MATCH(1, (INDEX(ReferenceCard,,1)=Table1[[#This Row],[SAP No]]) * (INDEX(ReferenceCard,,2)=Table1[[#This Row],[Mould No]]), 0), 6),)</f>
        <v>PET</v>
      </c>
      <c r="E647">
        <v>323092</v>
      </c>
      <c r="F647">
        <v>0</v>
      </c>
      <c r="G647" t="str" cm="1">
        <f t="array" ref="G647">IFERROR(INDEX(ReferenceCard, MATCH(1, (INDEX(ReferenceCard,,1)=Table1[[#This Row],[SAP No]]) * (INDEX(ReferenceCard,,2)=Table1[[#This Row],[Mould No]]), 0), 3),)</f>
        <v>BX38-1000-GH-R-CL(GREEN) (ASEM)</v>
      </c>
      <c r="H647">
        <v>0</v>
      </c>
      <c r="I647" cm="1">
        <f t="array" ref="I647">IFERROR(INDEX(ReferenceCard, MATCH(1, (INDEX(ReferenceCard,,1)=Table1[[#This Row],[SAP No]]) * (INDEX(ReferenceCard,,2)=Table1[[#This Row],[Mould No]]), 0), 4),)</f>
        <v>4</v>
      </c>
      <c r="J647" s="4" cm="1">
        <f t="array" ref="J647">IFERROR(INDEX(ReferenceCard, MATCH(1, (INDEX(ReferenceCard,,1)=Table1[[#This Row],[SAP No]]) * (INDEX(ReferenceCard,,2)=Table1[[#This Row],[Mould No]]), 0), 9),)</f>
        <v>48.9</v>
      </c>
      <c r="K647" s="4" cm="1">
        <f t="array" ref="K647">IFERROR(INDEX(ReferenceCard, MATCH(1, (INDEX(ReferenceCard,,1)=Table1[[#This Row],[SAP No]]) * (INDEX(ReferenceCard,,2)=Table1[[#This Row],[Mould No]]), 0), 7),)</f>
        <v>48.9</v>
      </c>
      <c r="L647">
        <v>3435</v>
      </c>
      <c r="M647">
        <v>0</v>
      </c>
      <c r="N647">
        <v>0</v>
      </c>
      <c r="O647">
        <v>0</v>
      </c>
      <c r="P647">
        <f>Table1[[#This Row],[Shot]]*Table1[[#This Row],[Cav]]</f>
        <v>13740</v>
      </c>
      <c r="Q647">
        <v>0</v>
      </c>
      <c r="R647">
        <f>(Table1[[#This Row],[Part Weight (gm)]]*Table1[[#This Row],[Finish Good]])/1000</f>
        <v>0</v>
      </c>
      <c r="S647">
        <v>0</v>
      </c>
      <c r="T647">
        <f>IF(Table1[[#This Row],[Qty Order]]="Sample","-",IF(Table1[[#This Row],[Qty Order]]="RTFN","-",Table1[[#This Row],[Qty Order]]-Table1[[#This Row],[Qty Accumulate]]))</f>
        <v>0</v>
      </c>
      <c r="U647">
        <f>((Table1[[#This Row],[Shift Output]]*Table1[[#This Row],[Part Weight (gm)]])/1000)+Table1[[#This Row],[Reject Startup (kg)]]+Table1[[#This Row],[Reject Purging (kg)]]+Table1[[#This Row],[Reject Preform (kg)]]</f>
        <v>671.88599999999997</v>
      </c>
      <c r="V647" s="37">
        <f>(Table1[[#This Row],[Gross Weight (gm)]]-Table1[[#This Row],[Part Weight (gm)]])*Table1[[#This Row],[Shift Output]]/1000</f>
        <v>0</v>
      </c>
      <c r="W647" s="3">
        <v>0</v>
      </c>
      <c r="X647" s="36">
        <f>Table1[[#This Row],[Reject Startup (kg)]]/Table1[[#This Row],[Material Used]]</f>
        <v>0</v>
      </c>
      <c r="Y647" s="3">
        <v>4</v>
      </c>
      <c r="Z647" s="36">
        <f>Table1[[#This Row],[Reject Prod (kg)]]/Table1[[#This Row],[Material Used]]</f>
        <v>5.9533909026233617E-3</v>
      </c>
      <c r="AA647" s="4">
        <v>29.564296722412099</v>
      </c>
      <c r="AB647" s="5">
        <v>11.72</v>
      </c>
      <c r="AC647" s="4" cm="1">
        <f t="array" ref="AC647">IFERROR(INDEX(ReferenceCard, MATCH(1, (INDEX(ReferenceCard,,1)=Table1[[#This Row],[SAP No]]) * (INDEX(ReferenceCard,,2)=Table1[[#This Row],[Mould No]]), 0), 9),)</f>
        <v>48.9</v>
      </c>
      <c r="AD647" s="5">
        <v>0</v>
      </c>
      <c r="AE647" s="5">
        <v>0</v>
      </c>
      <c r="AF647" s="5">
        <v>0</v>
      </c>
      <c r="AG647" s="5">
        <v>0</v>
      </c>
      <c r="AH647" s="5">
        <v>0.28000000000000003</v>
      </c>
      <c r="AI647" s="5">
        <v>0</v>
      </c>
      <c r="AJ647" s="5">
        <v>0</v>
      </c>
      <c r="AL647" s="2"/>
      <c r="AM647" s="2"/>
      <c r="AN647" s="3">
        <v>0</v>
      </c>
      <c r="AO647" s="3">
        <v>0</v>
      </c>
      <c r="AP647" s="6">
        <f>((Table1[[#This Row],[Reject Startup (kg)]]+Table1[[#This Row],[Reject Prod (kg)]]+Table1[[#This Row],[Reject Purging (kg)]]+Table1[[#This Row],[Reject Preform (kg)]])/Table1[[#This Row],[Part Weight (gm)]])*1000</f>
        <v>81.799591002044991</v>
      </c>
    </row>
    <row r="648" spans="1:42" x14ac:dyDescent="0.35">
      <c r="A648" s="1">
        <v>46002</v>
      </c>
      <c r="B648">
        <v>2</v>
      </c>
      <c r="C648" t="s">
        <v>23</v>
      </c>
      <c r="D648" t="str" cm="1">
        <f t="array" ref="D648">IFERROR(INDEX(ReferenceCard, MATCH(1, (INDEX(ReferenceCard,,1)=Table1[[#This Row],[SAP No]]) * (INDEX(ReferenceCard,,2)=Table1[[#This Row],[Mould No]]), 0), 6),)</f>
        <v>PPSB520Y</v>
      </c>
      <c r="E648">
        <v>586276</v>
      </c>
      <c r="F648">
        <v>2</v>
      </c>
      <c r="G648" t="str" cm="1">
        <f t="array" ref="G648">IFERROR(INDEX(ReferenceCard, MATCH(1, (INDEX(ReferenceCard,,1)=Table1[[#This Row],[SAP No]]) * (INDEX(ReferenceCard,,2)=Table1[[#This Row],[Mould No]]), 0), 3),)</f>
        <v>BC28-0056-D-APH-LEB-604001-MOLD2</v>
      </c>
      <c r="H648">
        <v>0</v>
      </c>
      <c r="I648" cm="1">
        <f t="array" ref="I648">IFERROR(INDEX(ReferenceCard, MATCH(1, (INDEX(ReferenceCard,,1)=Table1[[#This Row],[SAP No]]) * (INDEX(ReferenceCard,,2)=Table1[[#This Row],[Mould No]]), 0), 4),)</f>
        <v>6</v>
      </c>
      <c r="J648" s="4" cm="1">
        <f t="array" ref="J648">IFERROR(INDEX(ReferenceCard, MATCH(1, (INDEX(ReferenceCard,,1)=Table1[[#This Row],[SAP No]]) * (INDEX(ReferenceCard,,2)=Table1[[#This Row],[Mould No]]), 0), 9),)</f>
        <v>12.3</v>
      </c>
      <c r="K648" s="4" cm="1">
        <f t="array" ref="K648">IFERROR(INDEX(ReferenceCard, MATCH(1, (INDEX(ReferenceCard,,1)=Table1[[#This Row],[SAP No]]) * (INDEX(ReferenceCard,,2)=Table1[[#This Row],[Mould No]]), 0), 7),)</f>
        <v>12.3</v>
      </c>
      <c r="L648">
        <v>4058</v>
      </c>
      <c r="M648">
        <v>0</v>
      </c>
      <c r="N648">
        <v>0</v>
      </c>
      <c r="O648">
        <v>0</v>
      </c>
      <c r="P648">
        <f>Table1[[#This Row],[Shot]]*Table1[[#This Row],[Cav]]</f>
        <v>24348</v>
      </c>
      <c r="Q648">
        <v>0</v>
      </c>
      <c r="R648">
        <f>(Table1[[#This Row],[Part Weight (gm)]]*Table1[[#This Row],[Finish Good]])/1000</f>
        <v>0</v>
      </c>
      <c r="S648">
        <v>0</v>
      </c>
      <c r="T648">
        <f>IF(Table1[[#This Row],[Qty Order]]="Sample","-",IF(Table1[[#This Row],[Qty Order]]="RTFN","-",Table1[[#This Row],[Qty Order]]-Table1[[#This Row],[Qty Accumulate]]))</f>
        <v>0</v>
      </c>
      <c r="U648">
        <f>((Table1[[#This Row],[Shift Output]]*Table1[[#This Row],[Part Weight (gm)]])/1000)+Table1[[#This Row],[Reject Startup (kg)]]+Table1[[#This Row],[Reject Purging (kg)]]+Table1[[#This Row],[Reject Preform (kg)]]</f>
        <v>299.48040000000003</v>
      </c>
      <c r="V648" s="37">
        <f>(Table1[[#This Row],[Gross Weight (gm)]]-Table1[[#This Row],[Part Weight (gm)]])*Table1[[#This Row],[Shift Output]]/1000</f>
        <v>0</v>
      </c>
      <c r="W648" s="3">
        <v>0</v>
      </c>
      <c r="X648" s="36">
        <f>Table1[[#This Row],[Reject Startup (kg)]]/Table1[[#This Row],[Material Used]]</f>
        <v>0</v>
      </c>
      <c r="Y648" s="3">
        <v>3</v>
      </c>
      <c r="Z648" s="36">
        <f>Table1[[#This Row],[Reject Prod (kg)]]/Table1[[#This Row],[Material Used]]</f>
        <v>1.0017350050287097E-2</v>
      </c>
      <c r="AA648" s="4">
        <v>25.500392913818299</v>
      </c>
      <c r="AB648" s="5">
        <v>11.84</v>
      </c>
      <c r="AC648" s="4" cm="1">
        <f t="array" ref="AC648">IFERROR(INDEX(ReferenceCard, MATCH(1, (INDEX(ReferenceCard,,1)=Table1[[#This Row],[SAP No]]) * (INDEX(ReferenceCard,,2)=Table1[[#This Row],[Mould No]]), 0), 9),)</f>
        <v>12.3</v>
      </c>
      <c r="AD648" s="5">
        <v>0</v>
      </c>
      <c r="AE648" s="5">
        <v>0</v>
      </c>
      <c r="AF648" s="5">
        <v>0</v>
      </c>
      <c r="AG648" s="5">
        <v>0</v>
      </c>
      <c r="AH648" s="5">
        <v>0.16</v>
      </c>
      <c r="AI648" s="5">
        <v>0</v>
      </c>
      <c r="AJ648" s="5">
        <v>0</v>
      </c>
      <c r="AL648" s="2"/>
      <c r="AM648" s="2"/>
      <c r="AN648" s="3">
        <v>0</v>
      </c>
      <c r="AO648" s="3">
        <v>0</v>
      </c>
      <c r="AP648" s="6">
        <f>((Table1[[#This Row],[Reject Startup (kg)]]+Table1[[#This Row],[Reject Prod (kg)]]+Table1[[#This Row],[Reject Purging (kg)]]+Table1[[#This Row],[Reject Preform (kg)]])/Table1[[#This Row],[Part Weight (gm)]])*1000</f>
        <v>243.90243902439025</v>
      </c>
    </row>
    <row r="649" spans="1:42" x14ac:dyDescent="0.35">
      <c r="A649" s="1">
        <v>46002</v>
      </c>
      <c r="B649">
        <v>2</v>
      </c>
      <c r="C649" t="s">
        <v>25</v>
      </c>
      <c r="D649" t="str" cm="1">
        <f t="array" ref="D649">IFERROR(INDEX(ReferenceCard, MATCH(1, (INDEX(ReferenceCard,,1)=Table1[[#This Row],[SAP No]]) * (INDEX(ReferenceCard,,2)=Table1[[#This Row],[Mould No]]), 0), 6),)</f>
        <v>PET</v>
      </c>
      <c r="E649">
        <v>323133</v>
      </c>
      <c r="F649">
        <v>0</v>
      </c>
      <c r="G649" t="str" cm="1">
        <f t="array" ref="G649">IFERROR(INDEX(ReferenceCard, MATCH(1, (INDEX(ReferenceCard,,1)=Table1[[#This Row],[SAP No]]) * (INDEX(ReferenceCard,,2)=Table1[[#This Row],[Mould No]]), 0), 3),)</f>
        <v>BX38-2000-RH-R-CL(GREEN) (ASEM)</v>
      </c>
      <c r="H649">
        <v>0</v>
      </c>
      <c r="I649" cm="1">
        <f t="array" ref="I649">IFERROR(INDEX(ReferenceCard, MATCH(1, (INDEX(ReferenceCard,,1)=Table1[[#This Row],[SAP No]]) * (INDEX(ReferenceCard,,2)=Table1[[#This Row],[Mould No]]), 0), 4),)</f>
        <v>4</v>
      </c>
      <c r="J649" s="4" cm="1">
        <f t="array" ref="J649">IFERROR(INDEX(ReferenceCard, MATCH(1, (INDEX(ReferenceCard,,1)=Table1[[#This Row],[SAP No]]) * (INDEX(ReferenceCard,,2)=Table1[[#This Row],[Mould No]]), 0), 9),)</f>
        <v>77</v>
      </c>
      <c r="K649" s="4" cm="1">
        <f t="array" ref="K649">IFERROR(INDEX(ReferenceCard, MATCH(1, (INDEX(ReferenceCard,,1)=Table1[[#This Row],[SAP No]]) * (INDEX(ReferenceCard,,2)=Table1[[#This Row],[Mould No]]), 0), 7),)</f>
        <v>77</v>
      </c>
      <c r="L649">
        <v>0</v>
      </c>
      <c r="M649">
        <v>0</v>
      </c>
      <c r="N649">
        <v>0</v>
      </c>
      <c r="O649">
        <v>0</v>
      </c>
      <c r="P649">
        <f>Table1[[#This Row],[Shot]]*Table1[[#This Row],[Cav]]</f>
        <v>0</v>
      </c>
      <c r="Q649">
        <v>0</v>
      </c>
      <c r="R649">
        <f>(Table1[[#This Row],[Part Weight (gm)]]*Table1[[#This Row],[Finish Good]])/1000</f>
        <v>0</v>
      </c>
      <c r="S649">
        <v>0</v>
      </c>
      <c r="T649">
        <f>IF(Table1[[#This Row],[Qty Order]]="Sample","-",IF(Table1[[#This Row],[Qty Order]]="RTFN","-",Table1[[#This Row],[Qty Order]]-Table1[[#This Row],[Qty Accumulate]]))</f>
        <v>0</v>
      </c>
      <c r="U649">
        <f>((Table1[[#This Row],[Shift Output]]*Table1[[#This Row],[Part Weight (gm)]])/1000)+Table1[[#This Row],[Reject Startup (kg)]]+Table1[[#This Row],[Reject Purging (kg)]]+Table1[[#This Row],[Reject Preform (kg)]]</f>
        <v>0</v>
      </c>
      <c r="V649" s="37">
        <f>(Table1[[#This Row],[Gross Weight (gm)]]-Table1[[#This Row],[Part Weight (gm)]])*Table1[[#This Row],[Shift Output]]/1000</f>
        <v>0</v>
      </c>
      <c r="W649" s="3">
        <v>0</v>
      </c>
      <c r="X649" s="36" t="e">
        <f>Table1[[#This Row],[Reject Startup (kg)]]/Table1[[#This Row],[Material Used]]</f>
        <v>#DIV/0!</v>
      </c>
      <c r="Y649" s="3">
        <v>0</v>
      </c>
      <c r="Z649" s="36" t="e">
        <f>Table1[[#This Row],[Reject Prod (kg)]]/Table1[[#This Row],[Material Used]]</f>
        <v>#DIV/0!</v>
      </c>
      <c r="AA649" s="4">
        <v>0</v>
      </c>
      <c r="AB649" s="5">
        <v>0</v>
      </c>
      <c r="AC649" s="4" cm="1">
        <f t="array" ref="AC649">IFERROR(INDEX(ReferenceCard, MATCH(1, (INDEX(ReferenceCard,,1)=Table1[[#This Row],[SAP No]]) * (INDEX(ReferenceCard,,2)=Table1[[#This Row],[Mould No]]), 0), 9),)</f>
        <v>77</v>
      </c>
      <c r="AD649" s="5">
        <v>0</v>
      </c>
      <c r="AE649" s="5">
        <v>0</v>
      </c>
      <c r="AF649" s="5">
        <v>0</v>
      </c>
      <c r="AG649" s="5">
        <v>0</v>
      </c>
      <c r="AH649" s="5">
        <v>12</v>
      </c>
      <c r="AI649" s="5">
        <v>0</v>
      </c>
      <c r="AJ649" s="5">
        <v>0</v>
      </c>
      <c r="AL649" s="2"/>
      <c r="AM649" s="2"/>
      <c r="AN649" s="3">
        <v>0</v>
      </c>
      <c r="AO649" s="3">
        <v>0</v>
      </c>
      <c r="AP64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50" spans="1:42" x14ac:dyDescent="0.35">
      <c r="A650" s="1">
        <v>46002</v>
      </c>
      <c r="B650">
        <v>2</v>
      </c>
      <c r="C650" t="s">
        <v>27</v>
      </c>
      <c r="D650" t="str" cm="1">
        <f t="array" ref="D650">IFERROR(INDEX(ReferenceCard, MATCH(1, (INDEX(ReferenceCard,,1)=Table1[[#This Row],[SAP No]]) * (INDEX(ReferenceCard,,2)=Table1[[#This Row],[Mould No]]), 0), 6),)</f>
        <v>PPSB520Y</v>
      </c>
      <c r="E650">
        <v>552181</v>
      </c>
      <c r="F650">
        <v>4</v>
      </c>
      <c r="G650" t="str" cm="1">
        <f t="array" ref="G650">IFERROR(INDEX(ReferenceCard, MATCH(1, (INDEX(ReferenceCard,,1)=Table1[[#This Row],[SAP No]]) * (INDEX(ReferenceCard,,2)=Table1[[#This Row],[Mould No]]), 0), 3),)</f>
        <v>BC28-0090-D-APH-5180-3538-PP-6 NOTCHES-MOLD4</v>
      </c>
      <c r="H650">
        <v>0</v>
      </c>
      <c r="I650" cm="1">
        <f t="array" ref="I650">IFERROR(INDEX(ReferenceCard, MATCH(1, (INDEX(ReferenceCard,,1)=Table1[[#This Row],[SAP No]]) * (INDEX(ReferenceCard,,2)=Table1[[#This Row],[Mould No]]), 0), 4),)</f>
        <v>6</v>
      </c>
      <c r="J650" s="4" cm="1">
        <f t="array" ref="J650">IFERROR(INDEX(ReferenceCard, MATCH(1, (INDEX(ReferenceCard,,1)=Table1[[#This Row],[SAP No]]) * (INDEX(ReferenceCard,,2)=Table1[[#This Row],[Mould No]]), 0), 9),)</f>
        <v>18.8</v>
      </c>
      <c r="K650" s="4" cm="1">
        <f t="array" ref="K650">IFERROR(INDEX(ReferenceCard, MATCH(1, (INDEX(ReferenceCard,,1)=Table1[[#This Row],[SAP No]]) * (INDEX(ReferenceCard,,2)=Table1[[#This Row],[Mould No]]), 0), 7),)</f>
        <v>18.8</v>
      </c>
      <c r="L650">
        <v>557</v>
      </c>
      <c r="M650">
        <v>0</v>
      </c>
      <c r="N650">
        <v>0</v>
      </c>
      <c r="O650">
        <v>0</v>
      </c>
      <c r="P650">
        <f>Table1[[#This Row],[Shot]]*Table1[[#This Row],[Cav]]</f>
        <v>3342</v>
      </c>
      <c r="Q650">
        <v>0</v>
      </c>
      <c r="R650">
        <f>(Table1[[#This Row],[Part Weight (gm)]]*Table1[[#This Row],[Finish Good]])/1000</f>
        <v>0</v>
      </c>
      <c r="S650">
        <v>0</v>
      </c>
      <c r="T650">
        <f>IF(Table1[[#This Row],[Qty Order]]="Sample","-",IF(Table1[[#This Row],[Qty Order]]="RTFN","-",Table1[[#This Row],[Qty Order]]-Table1[[#This Row],[Qty Accumulate]]))</f>
        <v>0</v>
      </c>
      <c r="U650">
        <f>((Table1[[#This Row],[Shift Output]]*Table1[[#This Row],[Part Weight (gm)]])/1000)+Table1[[#This Row],[Reject Startup (kg)]]+Table1[[#This Row],[Reject Purging (kg)]]+Table1[[#This Row],[Reject Preform (kg)]]</f>
        <v>75.829599999999999</v>
      </c>
      <c r="V650" s="37">
        <f>(Table1[[#This Row],[Gross Weight (gm)]]-Table1[[#This Row],[Part Weight (gm)]])*Table1[[#This Row],[Shift Output]]/1000</f>
        <v>0</v>
      </c>
      <c r="W650" s="3">
        <v>13</v>
      </c>
      <c r="X650" s="36">
        <f>Table1[[#This Row],[Reject Startup (kg)]]/Table1[[#This Row],[Material Used]]</f>
        <v>0.1714370114045175</v>
      </c>
      <c r="Y650" s="3">
        <v>0</v>
      </c>
      <c r="Z650" s="36">
        <f>Table1[[#This Row],[Reject Prod (kg)]]/Table1[[#This Row],[Material Used]]</f>
        <v>0</v>
      </c>
      <c r="AA650" s="4">
        <v>0</v>
      </c>
      <c r="AB650" s="5">
        <v>0</v>
      </c>
      <c r="AC650" s="4" cm="1">
        <f t="array" ref="AC650">IFERROR(INDEX(ReferenceCard, MATCH(1, (INDEX(ReferenceCard,,1)=Table1[[#This Row],[SAP No]]) * (INDEX(ReferenceCard,,2)=Table1[[#This Row],[Mould No]]), 0), 9),)</f>
        <v>18.8</v>
      </c>
      <c r="AD650" s="5">
        <v>0</v>
      </c>
      <c r="AE650" s="5">
        <v>0</v>
      </c>
      <c r="AF650" s="5">
        <v>0</v>
      </c>
      <c r="AG650" s="5">
        <v>0</v>
      </c>
      <c r="AH650" s="5">
        <v>12</v>
      </c>
      <c r="AI650" s="5">
        <v>0</v>
      </c>
      <c r="AJ650" s="5">
        <v>0</v>
      </c>
      <c r="AL650" s="2"/>
      <c r="AM650" s="2"/>
      <c r="AN650" s="3">
        <v>0</v>
      </c>
      <c r="AO650" s="3">
        <v>0</v>
      </c>
      <c r="AP650" s="6">
        <f>((Table1[[#This Row],[Reject Startup (kg)]]+Table1[[#This Row],[Reject Prod (kg)]]+Table1[[#This Row],[Reject Purging (kg)]]+Table1[[#This Row],[Reject Preform (kg)]])/Table1[[#This Row],[Part Weight (gm)]])*1000</f>
        <v>691.48936170212755</v>
      </c>
    </row>
    <row r="651" spans="1:42" x14ac:dyDescent="0.35">
      <c r="A651" s="1">
        <v>46002</v>
      </c>
      <c r="B651">
        <v>2</v>
      </c>
      <c r="C651" t="s">
        <v>29</v>
      </c>
      <c r="D651" t="str" cm="1">
        <f t="array" ref="D651">IFERROR(INDEX(ReferenceCard, MATCH(1, (INDEX(ReferenceCard,,1)=Table1[[#This Row],[SAP No]]) * (INDEX(ReferenceCard,,2)=Table1[[#This Row],[Mould No]]), 0), 6),)</f>
        <v>PET</v>
      </c>
      <c r="E651">
        <v>620599</v>
      </c>
      <c r="F651">
        <v>0</v>
      </c>
      <c r="G651" t="str" cm="1">
        <f t="array" ref="G651">IFERROR(INDEX(ReferenceCard, MATCH(1, (INDEX(ReferenceCard,,1)=Table1[[#This Row],[SAP No]]) * (INDEX(ReferenceCard,,2)=Table1[[#This Row],[Mould No]]), 0), 3),)</f>
        <v>BC28-0750-K4-R-CL (55g)</v>
      </c>
      <c r="H651">
        <v>0</v>
      </c>
      <c r="I651" cm="1">
        <f t="array" ref="I651">IFERROR(INDEX(ReferenceCard, MATCH(1, (INDEX(ReferenceCard,,1)=Table1[[#This Row],[SAP No]]) * (INDEX(ReferenceCard,,2)=Table1[[#This Row],[Mould No]]), 0), 4),)</f>
        <v>4</v>
      </c>
      <c r="J651" s="4" cm="1">
        <f t="array" ref="J651">IFERROR(INDEX(ReferenceCard, MATCH(1, (INDEX(ReferenceCard,,1)=Table1[[#This Row],[SAP No]]) * (INDEX(ReferenceCard,,2)=Table1[[#This Row],[Mould No]]), 0), 9),)</f>
        <v>55</v>
      </c>
      <c r="K651" s="4" cm="1">
        <f t="array" ref="K651">IFERROR(INDEX(ReferenceCard, MATCH(1, (INDEX(ReferenceCard,,1)=Table1[[#This Row],[SAP No]]) * (INDEX(ReferenceCard,,2)=Table1[[#This Row],[Mould No]]), 0), 7),)</f>
        <v>55</v>
      </c>
      <c r="L651">
        <v>4513</v>
      </c>
      <c r="M651">
        <v>0</v>
      </c>
      <c r="N651">
        <v>0</v>
      </c>
      <c r="O651">
        <v>0</v>
      </c>
      <c r="P651">
        <f>Table1[[#This Row],[Shot]]*Table1[[#This Row],[Cav]]</f>
        <v>18052</v>
      </c>
      <c r="Q651">
        <v>0</v>
      </c>
      <c r="R651">
        <f>(Table1[[#This Row],[Part Weight (gm)]]*Table1[[#This Row],[Finish Good]])/1000</f>
        <v>0</v>
      </c>
      <c r="S651">
        <v>0</v>
      </c>
      <c r="T651">
        <f>IF(Table1[[#This Row],[Qty Order]]="Sample","-",IF(Table1[[#This Row],[Qty Order]]="RTFN","-",Table1[[#This Row],[Qty Order]]-Table1[[#This Row],[Qty Accumulate]]))</f>
        <v>0</v>
      </c>
      <c r="U651">
        <f>((Table1[[#This Row],[Shift Output]]*Table1[[#This Row],[Part Weight (gm)]])/1000)+Table1[[#This Row],[Reject Startup (kg)]]+Table1[[#This Row],[Reject Purging (kg)]]+Table1[[#This Row],[Reject Preform (kg)]]</f>
        <v>992.86</v>
      </c>
      <c r="V651" s="37">
        <f>(Table1[[#This Row],[Gross Weight (gm)]]-Table1[[#This Row],[Part Weight (gm)]])*Table1[[#This Row],[Shift Output]]/1000</f>
        <v>0</v>
      </c>
      <c r="W651" s="3">
        <v>0</v>
      </c>
      <c r="X651" s="36">
        <f>Table1[[#This Row],[Reject Startup (kg)]]/Table1[[#This Row],[Material Used]]</f>
        <v>0</v>
      </c>
      <c r="Y651" s="3">
        <v>10</v>
      </c>
      <c r="Z651" s="36">
        <f>Table1[[#This Row],[Reject Prod (kg)]]/Table1[[#This Row],[Material Used]]</f>
        <v>1.0071913462119534E-2</v>
      </c>
      <c r="AA651" s="4">
        <v>55.938156127929602</v>
      </c>
      <c r="AB651" s="5">
        <v>9.4700000000000006</v>
      </c>
      <c r="AC651" s="4" cm="1">
        <f t="array" ref="AC651">IFERROR(INDEX(ReferenceCard, MATCH(1, (INDEX(ReferenceCard,,1)=Table1[[#This Row],[SAP No]]) * (INDEX(ReferenceCard,,2)=Table1[[#This Row],[Mould No]]), 0), 9),)</f>
        <v>55</v>
      </c>
      <c r="AD651" s="5">
        <v>0</v>
      </c>
      <c r="AE651" s="5">
        <v>0</v>
      </c>
      <c r="AF651" s="5">
        <v>0</v>
      </c>
      <c r="AG651" s="5">
        <v>0</v>
      </c>
      <c r="AH651" s="5">
        <v>2.52999999999999</v>
      </c>
      <c r="AI651" s="5">
        <v>0</v>
      </c>
      <c r="AJ651" s="5">
        <v>0</v>
      </c>
      <c r="AL651" s="2"/>
      <c r="AM651" s="2"/>
      <c r="AN651" s="3">
        <v>0</v>
      </c>
      <c r="AO651" s="3">
        <v>0</v>
      </c>
      <c r="AP651" s="6">
        <f>((Table1[[#This Row],[Reject Startup (kg)]]+Table1[[#This Row],[Reject Prod (kg)]]+Table1[[#This Row],[Reject Purging (kg)]]+Table1[[#This Row],[Reject Preform (kg)]])/Table1[[#This Row],[Part Weight (gm)]])*1000</f>
        <v>181.81818181818181</v>
      </c>
    </row>
    <row r="652" spans="1:42" x14ac:dyDescent="0.35">
      <c r="A652" s="1">
        <v>46002</v>
      </c>
      <c r="B652">
        <v>2</v>
      </c>
      <c r="C652" t="s">
        <v>31</v>
      </c>
      <c r="D652" t="str" cm="1">
        <f t="array" ref="D652">IFERROR(INDEX(ReferenceCard, MATCH(1, (INDEX(ReferenceCard,,1)=Table1[[#This Row],[SAP No]]) * (INDEX(ReferenceCard,,2)=Table1[[#This Row],[Mould No]]), 0), 6),)</f>
        <v>PPSB520Y</v>
      </c>
      <c r="E652">
        <v>586276</v>
      </c>
      <c r="F652">
        <v>4</v>
      </c>
      <c r="G652" t="str" cm="1">
        <f t="array" ref="G652">IFERROR(INDEX(ReferenceCard, MATCH(1, (INDEX(ReferenceCard,,1)=Table1[[#This Row],[SAP No]]) * (INDEX(ReferenceCard,,2)=Table1[[#This Row],[Mould No]]), 0), 3),)</f>
        <v>BC28-0056-D-APH-LEB-604001-MOLD4</v>
      </c>
      <c r="H652">
        <v>0</v>
      </c>
      <c r="I652" cm="1">
        <f t="array" ref="I652">IFERROR(INDEX(ReferenceCard, MATCH(1, (INDEX(ReferenceCard,,1)=Table1[[#This Row],[SAP No]]) * (INDEX(ReferenceCard,,2)=Table1[[#This Row],[Mould No]]), 0), 4),)</f>
        <v>6</v>
      </c>
      <c r="J652" s="4" cm="1">
        <f t="array" ref="J652">IFERROR(INDEX(ReferenceCard, MATCH(1, (INDEX(ReferenceCard,,1)=Table1[[#This Row],[SAP No]]) * (INDEX(ReferenceCard,,2)=Table1[[#This Row],[Mould No]]), 0), 9),)</f>
        <v>12.3</v>
      </c>
      <c r="K652" s="4" cm="1">
        <f t="array" ref="K652">IFERROR(INDEX(ReferenceCard, MATCH(1, (INDEX(ReferenceCard,,1)=Table1[[#This Row],[SAP No]]) * (INDEX(ReferenceCard,,2)=Table1[[#This Row],[Mould No]]), 0), 7),)</f>
        <v>12.3</v>
      </c>
      <c r="L652">
        <v>3943</v>
      </c>
      <c r="M652">
        <v>0</v>
      </c>
      <c r="N652">
        <v>0</v>
      </c>
      <c r="O652">
        <v>0</v>
      </c>
      <c r="P652">
        <f>Table1[[#This Row],[Shot]]*Table1[[#This Row],[Cav]]</f>
        <v>23658</v>
      </c>
      <c r="Q652">
        <v>0</v>
      </c>
      <c r="R652">
        <f>(Table1[[#This Row],[Part Weight (gm)]]*Table1[[#This Row],[Finish Good]])/1000</f>
        <v>0</v>
      </c>
      <c r="S652">
        <v>0</v>
      </c>
      <c r="T652">
        <f>IF(Table1[[#This Row],[Qty Order]]="Sample","-",IF(Table1[[#This Row],[Qty Order]]="RTFN","-",Table1[[#This Row],[Qty Order]]-Table1[[#This Row],[Qty Accumulate]]))</f>
        <v>0</v>
      </c>
      <c r="U652">
        <f>((Table1[[#This Row],[Shift Output]]*Table1[[#This Row],[Part Weight (gm)]])/1000)+Table1[[#This Row],[Reject Startup (kg)]]+Table1[[#This Row],[Reject Purging (kg)]]+Table1[[#This Row],[Reject Preform (kg)]]</f>
        <v>290.99340000000001</v>
      </c>
      <c r="V652" s="37">
        <f>(Table1[[#This Row],[Gross Weight (gm)]]-Table1[[#This Row],[Part Weight (gm)]])*Table1[[#This Row],[Shift Output]]/1000</f>
        <v>0</v>
      </c>
      <c r="W652" s="3">
        <v>0</v>
      </c>
      <c r="X652" s="36">
        <f>Table1[[#This Row],[Reject Startup (kg)]]/Table1[[#This Row],[Material Used]]</f>
        <v>0</v>
      </c>
      <c r="Y652" s="3">
        <v>4</v>
      </c>
      <c r="Z652" s="36">
        <f>Table1[[#This Row],[Reject Prod (kg)]]/Table1[[#This Row],[Material Used]]</f>
        <v>1.3746016232670568E-2</v>
      </c>
      <c r="AA652" s="4">
        <v>27.4895305633544</v>
      </c>
      <c r="AB652" s="5">
        <v>11.75</v>
      </c>
      <c r="AC652" s="4" cm="1">
        <f t="array" ref="AC652">IFERROR(INDEX(ReferenceCard, MATCH(1, (INDEX(ReferenceCard,,1)=Table1[[#This Row],[SAP No]]) * (INDEX(ReferenceCard,,2)=Table1[[#This Row],[Mould No]]), 0), 9),)</f>
        <v>12.3</v>
      </c>
      <c r="AD652" s="5">
        <v>0</v>
      </c>
      <c r="AE652" s="5">
        <v>0</v>
      </c>
      <c r="AF652" s="5">
        <v>0</v>
      </c>
      <c r="AG652" s="5">
        <v>0</v>
      </c>
      <c r="AH652" s="5">
        <v>0.25</v>
      </c>
      <c r="AI652" s="5">
        <v>0</v>
      </c>
      <c r="AJ652" s="5">
        <v>0</v>
      </c>
      <c r="AL652" s="2"/>
      <c r="AM652" s="2"/>
      <c r="AN652" s="3">
        <v>0</v>
      </c>
      <c r="AO652" s="3">
        <v>0</v>
      </c>
      <c r="AP652" s="6">
        <f>((Table1[[#This Row],[Reject Startup (kg)]]+Table1[[#This Row],[Reject Prod (kg)]]+Table1[[#This Row],[Reject Purging (kg)]]+Table1[[#This Row],[Reject Preform (kg)]])/Table1[[#This Row],[Part Weight (gm)]])*1000</f>
        <v>325.20325203252031</v>
      </c>
    </row>
    <row r="653" spans="1:42" x14ac:dyDescent="0.35">
      <c r="A653" s="1">
        <v>46002</v>
      </c>
      <c r="B653">
        <v>2</v>
      </c>
      <c r="C653" t="s">
        <v>33</v>
      </c>
      <c r="D653" t="str" cm="1">
        <f t="array" ref="D653">IFERROR(INDEX(ReferenceCard, MATCH(1, (INDEX(ReferenceCard,,1)=Table1[[#This Row],[SAP No]]) * (INDEX(ReferenceCard,,2)=Table1[[#This Row],[Mould No]]), 0), 6),)</f>
        <v>PET</v>
      </c>
      <c r="E653">
        <v>541381</v>
      </c>
      <c r="F653">
        <v>0</v>
      </c>
      <c r="G653" t="str" cm="1">
        <f t="array" ref="G653">IFERROR(INDEX(ReferenceCard, MATCH(1, (INDEX(ReferenceCard,,1)=Table1[[#This Row],[SAP No]]) * (INDEX(ReferenceCard,,2)=Table1[[#This Row],[Mould No]]), 0), 3),)</f>
        <v>BC28-1200-K-R-CL</v>
      </c>
      <c r="H653">
        <v>0</v>
      </c>
      <c r="I653" cm="1">
        <f t="array" ref="I653">IFERROR(INDEX(ReferenceCard, MATCH(1, (INDEX(ReferenceCard,,1)=Table1[[#This Row],[SAP No]]) * (INDEX(ReferenceCard,,2)=Table1[[#This Row],[Mould No]]), 0), 4),)</f>
        <v>4</v>
      </c>
      <c r="J653" s="4" cm="1">
        <f t="array" ref="J653">IFERROR(INDEX(ReferenceCard, MATCH(1, (INDEX(ReferenceCard,,1)=Table1[[#This Row],[SAP No]]) * (INDEX(ReferenceCard,,2)=Table1[[#This Row],[Mould No]]), 0), 9),)</f>
        <v>55</v>
      </c>
      <c r="K653" s="4" cm="1">
        <f t="array" ref="K653">IFERROR(INDEX(ReferenceCard, MATCH(1, (INDEX(ReferenceCard,,1)=Table1[[#This Row],[SAP No]]) * (INDEX(ReferenceCard,,2)=Table1[[#This Row],[Mould No]]), 0), 7),)</f>
        <v>55</v>
      </c>
      <c r="L653">
        <v>0</v>
      </c>
      <c r="M653">
        <v>0</v>
      </c>
      <c r="N653">
        <v>0</v>
      </c>
      <c r="O653">
        <v>0</v>
      </c>
      <c r="P653">
        <f>Table1[[#This Row],[Shot]]*Table1[[#This Row],[Cav]]</f>
        <v>0</v>
      </c>
      <c r="Q653">
        <v>0</v>
      </c>
      <c r="R653">
        <f>(Table1[[#This Row],[Part Weight (gm)]]*Table1[[#This Row],[Finish Good]])/1000</f>
        <v>0</v>
      </c>
      <c r="S653">
        <v>0</v>
      </c>
      <c r="T653">
        <f>IF(Table1[[#This Row],[Qty Order]]="Sample","-",IF(Table1[[#This Row],[Qty Order]]="RTFN","-",Table1[[#This Row],[Qty Order]]-Table1[[#This Row],[Qty Accumulate]]))</f>
        <v>0</v>
      </c>
      <c r="U653">
        <f>((Table1[[#This Row],[Shift Output]]*Table1[[#This Row],[Part Weight (gm)]])/1000)+Table1[[#This Row],[Reject Startup (kg)]]+Table1[[#This Row],[Reject Purging (kg)]]+Table1[[#This Row],[Reject Preform (kg)]]</f>
        <v>0</v>
      </c>
      <c r="V653" s="37">
        <f>(Table1[[#This Row],[Gross Weight (gm)]]-Table1[[#This Row],[Part Weight (gm)]])*Table1[[#This Row],[Shift Output]]/1000</f>
        <v>0</v>
      </c>
      <c r="W653" s="3">
        <v>0</v>
      </c>
      <c r="X653" s="36" t="e">
        <f>Table1[[#This Row],[Reject Startup (kg)]]/Table1[[#This Row],[Material Used]]</f>
        <v>#DIV/0!</v>
      </c>
      <c r="Y653" s="3">
        <v>0</v>
      </c>
      <c r="Z653" s="36" t="e">
        <f>Table1[[#This Row],[Reject Prod (kg)]]/Table1[[#This Row],[Material Used]]</f>
        <v>#DIV/0!</v>
      </c>
      <c r="AA653" s="4">
        <v>0</v>
      </c>
      <c r="AB653" s="5">
        <v>0</v>
      </c>
      <c r="AC653" s="4" cm="1">
        <f t="array" ref="AC653">IFERROR(INDEX(ReferenceCard, MATCH(1, (INDEX(ReferenceCard,,1)=Table1[[#This Row],[SAP No]]) * (INDEX(ReferenceCard,,2)=Table1[[#This Row],[Mould No]]), 0), 9),)</f>
        <v>55</v>
      </c>
      <c r="AD653" s="5">
        <v>12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t="s">
        <v>153</v>
      </c>
      <c r="AL653" s="2" t="s">
        <v>154</v>
      </c>
      <c r="AM653" s="2"/>
      <c r="AN653" s="3"/>
      <c r="AO653" s="3">
        <v>0</v>
      </c>
      <c r="AP65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54" spans="1:42" x14ac:dyDescent="0.35">
      <c r="A654" s="1">
        <v>46002</v>
      </c>
      <c r="B654">
        <v>2</v>
      </c>
      <c r="C654" t="s">
        <v>35</v>
      </c>
      <c r="D654" t="str" cm="1">
        <f t="array" ref="D654">IFERROR(INDEX(ReferenceCard, MATCH(1, (INDEX(ReferenceCard,,1)=Table1[[#This Row],[SAP No]]) * (INDEX(ReferenceCard,,2)=Table1[[#This Row],[Mould No]]), 0), 6),)</f>
        <v>PPSB520Y</v>
      </c>
      <c r="E654">
        <v>552181</v>
      </c>
      <c r="F654">
        <v>1</v>
      </c>
      <c r="G654" t="str" cm="1">
        <f t="array" ref="G654">IFERROR(INDEX(ReferenceCard, MATCH(1, (INDEX(ReferenceCard,,1)=Table1[[#This Row],[SAP No]]) * (INDEX(ReferenceCard,,2)=Table1[[#This Row],[Mould No]]), 0), 3),)</f>
        <v>BC28-0090-D-APH-5180-3538-PP-6 NOTCHES-MOLD1</v>
      </c>
      <c r="H654">
        <v>0</v>
      </c>
      <c r="I654" cm="1">
        <f t="array" ref="I654">IFERROR(INDEX(ReferenceCard, MATCH(1, (INDEX(ReferenceCard,,1)=Table1[[#This Row],[SAP No]]) * (INDEX(ReferenceCard,,2)=Table1[[#This Row],[Mould No]]), 0), 4),)</f>
        <v>6</v>
      </c>
      <c r="J654" s="4" cm="1">
        <f t="array" ref="J654">IFERROR(INDEX(ReferenceCard, MATCH(1, (INDEX(ReferenceCard,,1)=Table1[[#This Row],[SAP No]]) * (INDEX(ReferenceCard,,2)=Table1[[#This Row],[Mould No]]), 0), 9),)</f>
        <v>18.8</v>
      </c>
      <c r="K654" s="4" cm="1">
        <f t="array" ref="K654">IFERROR(INDEX(ReferenceCard, MATCH(1, (INDEX(ReferenceCard,,1)=Table1[[#This Row],[SAP No]]) * (INDEX(ReferenceCard,,2)=Table1[[#This Row],[Mould No]]), 0), 7),)</f>
        <v>18.8</v>
      </c>
      <c r="L654">
        <v>3918</v>
      </c>
      <c r="M654">
        <v>0</v>
      </c>
      <c r="N654">
        <v>0</v>
      </c>
      <c r="O654">
        <v>0</v>
      </c>
      <c r="P654">
        <f>Table1[[#This Row],[Shot]]*Table1[[#This Row],[Cav]]</f>
        <v>23508</v>
      </c>
      <c r="Q654">
        <v>0</v>
      </c>
      <c r="R654">
        <f>(Table1[[#This Row],[Part Weight (gm)]]*Table1[[#This Row],[Finish Good]])/1000</f>
        <v>0</v>
      </c>
      <c r="S654">
        <v>0</v>
      </c>
      <c r="T654">
        <f>IF(Table1[[#This Row],[Qty Order]]="Sample","-",IF(Table1[[#This Row],[Qty Order]]="RTFN","-",Table1[[#This Row],[Qty Order]]-Table1[[#This Row],[Qty Accumulate]]))</f>
        <v>0</v>
      </c>
      <c r="U654">
        <f>((Table1[[#This Row],[Shift Output]]*Table1[[#This Row],[Part Weight (gm)]])/1000)+Table1[[#This Row],[Reject Startup (kg)]]+Table1[[#This Row],[Reject Purging (kg)]]+Table1[[#This Row],[Reject Preform (kg)]]</f>
        <v>441.9504</v>
      </c>
      <c r="V654" s="37">
        <f>(Table1[[#This Row],[Gross Weight (gm)]]-Table1[[#This Row],[Part Weight (gm)]])*Table1[[#This Row],[Shift Output]]/1000</f>
        <v>0</v>
      </c>
      <c r="W654" s="3">
        <v>0</v>
      </c>
      <c r="X654" s="36">
        <f>Table1[[#This Row],[Reject Startup (kg)]]/Table1[[#This Row],[Material Used]]</f>
        <v>0</v>
      </c>
      <c r="Y654" s="3">
        <v>6</v>
      </c>
      <c r="Z654" s="36">
        <f>Table1[[#This Row],[Reject Prod (kg)]]/Table1[[#This Row],[Material Used]]</f>
        <v>1.357618411477849E-2</v>
      </c>
      <c r="AA654" s="4">
        <v>31.4895305633544</v>
      </c>
      <c r="AB654" s="5">
        <v>8.5500000000000007</v>
      </c>
      <c r="AC654" s="4" cm="1">
        <f t="array" ref="AC654">IFERROR(INDEX(ReferenceCard, MATCH(1, (INDEX(ReferenceCard,,1)=Table1[[#This Row],[SAP No]]) * (INDEX(ReferenceCard,,2)=Table1[[#This Row],[Mould No]]), 0), 9),)</f>
        <v>18.8</v>
      </c>
      <c r="AD654" s="5">
        <v>0</v>
      </c>
      <c r="AE654" s="5">
        <v>0</v>
      </c>
      <c r="AF654" s="5">
        <v>0</v>
      </c>
      <c r="AG654" s="5">
        <v>0</v>
      </c>
      <c r="AH654" s="5">
        <v>3.45</v>
      </c>
      <c r="AI654" s="5">
        <v>0</v>
      </c>
      <c r="AJ654" s="5">
        <v>0</v>
      </c>
      <c r="AL654" s="2"/>
      <c r="AM654" s="2"/>
      <c r="AN654" s="3">
        <v>0</v>
      </c>
      <c r="AO654" s="3">
        <v>0</v>
      </c>
      <c r="AP654" s="6">
        <f>((Table1[[#This Row],[Reject Startup (kg)]]+Table1[[#This Row],[Reject Prod (kg)]]+Table1[[#This Row],[Reject Purging (kg)]]+Table1[[#This Row],[Reject Preform (kg)]])/Table1[[#This Row],[Part Weight (gm)]])*1000</f>
        <v>319.14893617021272</v>
      </c>
    </row>
    <row r="655" spans="1:42" x14ac:dyDescent="0.35">
      <c r="A655" s="1">
        <v>46002</v>
      </c>
      <c r="B655">
        <v>2</v>
      </c>
      <c r="C655" t="s">
        <v>18</v>
      </c>
      <c r="D655" t="str" cm="1">
        <f t="array" ref="D655">IFERROR(INDEX(ReferenceCard, MATCH(1, (INDEX(ReferenceCard,,1)=Table1[[#This Row],[SAP No]]) * (INDEX(ReferenceCard,,2)=Table1[[#This Row],[Mould No]]), 0), 6),)</f>
        <v>PPSB520Y</v>
      </c>
      <c r="E655">
        <v>555979</v>
      </c>
      <c r="F655">
        <v>4</v>
      </c>
      <c r="G655" t="str" cm="1">
        <f t="array" ref="G655">IFERROR(INDEX(ReferenceCard, MATCH(1, (INDEX(ReferenceCard,,1)=Table1[[#This Row],[SAP No]]) * (INDEX(ReferenceCard,,2)=Table1[[#This Row],[Mould No]]), 0), 3),)</f>
        <v>BC28-0170-D-APH-5180-3539-PP-6 NOTCHES-MOLD4</v>
      </c>
      <c r="H655">
        <v>0</v>
      </c>
      <c r="I655" cm="1">
        <f t="array" ref="I655">IFERROR(INDEX(ReferenceCard, MATCH(1, (INDEX(ReferenceCard,,1)=Table1[[#This Row],[SAP No]]) * (INDEX(ReferenceCard,,2)=Table1[[#This Row],[Mould No]]), 0), 4),)</f>
        <v>6</v>
      </c>
      <c r="J655" s="4" cm="1">
        <f t="array" ref="J655">IFERROR(INDEX(ReferenceCard, MATCH(1, (INDEX(ReferenceCard,,1)=Table1[[#This Row],[SAP No]]) * (INDEX(ReferenceCard,,2)=Table1[[#This Row],[Mould No]]), 0), 9),)</f>
        <v>28</v>
      </c>
      <c r="K655" s="4" cm="1">
        <f t="array" ref="K655">IFERROR(INDEX(ReferenceCard, MATCH(1, (INDEX(ReferenceCard,,1)=Table1[[#This Row],[SAP No]]) * (INDEX(ReferenceCard,,2)=Table1[[#This Row],[Mould No]]), 0), 7),)</f>
        <v>28</v>
      </c>
      <c r="L655">
        <v>950</v>
      </c>
      <c r="M655">
        <v>0</v>
      </c>
      <c r="N655">
        <v>0</v>
      </c>
      <c r="O655">
        <v>0</v>
      </c>
      <c r="P655">
        <f>Table1[[#This Row],[Shot]]*Table1[[#This Row],[Cav]]</f>
        <v>5700</v>
      </c>
      <c r="Q655">
        <v>0</v>
      </c>
      <c r="R655">
        <f>(Table1[[#This Row],[Part Weight (gm)]]*Table1[[#This Row],[Finish Good]])/1000</f>
        <v>0</v>
      </c>
      <c r="S655">
        <v>0</v>
      </c>
      <c r="T655">
        <f>IF(Table1[[#This Row],[Qty Order]]="Sample","-",IF(Table1[[#This Row],[Qty Order]]="RTFN","-",Table1[[#This Row],[Qty Order]]-Table1[[#This Row],[Qty Accumulate]]))</f>
        <v>0</v>
      </c>
      <c r="U655">
        <f>((Table1[[#This Row],[Shift Output]]*Table1[[#This Row],[Part Weight (gm)]])/1000)+Table1[[#This Row],[Reject Startup (kg)]]+Table1[[#This Row],[Reject Purging (kg)]]+Table1[[#This Row],[Reject Preform (kg)]]</f>
        <v>159.6</v>
      </c>
      <c r="V655" s="37">
        <f>(Table1[[#This Row],[Gross Weight (gm)]]-Table1[[#This Row],[Part Weight (gm)]])*Table1[[#This Row],[Shift Output]]/1000</f>
        <v>0</v>
      </c>
      <c r="W655" s="3">
        <v>0</v>
      </c>
      <c r="X655" s="36">
        <f>Table1[[#This Row],[Reject Startup (kg)]]/Table1[[#This Row],[Material Used]]</f>
        <v>0</v>
      </c>
      <c r="Y655" s="3">
        <v>1</v>
      </c>
      <c r="Z655" s="36">
        <f>Table1[[#This Row],[Reject Prod (kg)]]/Table1[[#This Row],[Material Used]]</f>
        <v>6.265664160401003E-3</v>
      </c>
      <c r="AA655" s="4">
        <v>43.5</v>
      </c>
      <c r="AB655" s="5">
        <v>12</v>
      </c>
      <c r="AC655" s="4" cm="1">
        <f t="array" ref="AC655">IFERROR(INDEX(ReferenceCard, MATCH(1, (INDEX(ReferenceCard,,1)=Table1[[#This Row],[SAP No]]) * (INDEX(ReferenceCard,,2)=Table1[[#This Row],[Mould No]]), 0), 9),)</f>
        <v>28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L655" s="2"/>
      <c r="AM655" s="2"/>
      <c r="AN655" s="3">
        <v>0</v>
      </c>
      <c r="AO655" s="3">
        <v>0</v>
      </c>
      <c r="AP655" s="6">
        <f>((Table1[[#This Row],[Reject Startup (kg)]]+Table1[[#This Row],[Reject Prod (kg)]]+Table1[[#This Row],[Reject Purging (kg)]]+Table1[[#This Row],[Reject Preform (kg)]])/Table1[[#This Row],[Part Weight (gm)]])*1000</f>
        <v>35.714285714285715</v>
      </c>
    </row>
    <row r="656" spans="1:42" x14ac:dyDescent="0.35">
      <c r="A656" s="1">
        <v>46002</v>
      </c>
      <c r="B656">
        <v>1</v>
      </c>
      <c r="C656" t="s">
        <v>29</v>
      </c>
      <c r="D656" t="str" cm="1">
        <f t="array" ref="D656">IFERROR(INDEX(ReferenceCard, MATCH(1, (INDEX(ReferenceCard,,1)=Table1[[#This Row],[SAP No]]) * (INDEX(ReferenceCard,,2)=Table1[[#This Row],[Mould No]]), 0), 6),)</f>
        <v>PET</v>
      </c>
      <c r="E656">
        <v>620599</v>
      </c>
      <c r="F656">
        <v>0</v>
      </c>
      <c r="G656" t="str" cm="1">
        <f t="array" ref="G656">IFERROR(INDEX(ReferenceCard, MATCH(1, (INDEX(ReferenceCard,,1)=Table1[[#This Row],[SAP No]]) * (INDEX(ReferenceCard,,2)=Table1[[#This Row],[Mould No]]), 0), 3),)</f>
        <v>BC28-0750-K4-R-CL (55g)</v>
      </c>
      <c r="H656">
        <v>0</v>
      </c>
      <c r="I656" cm="1">
        <f t="array" ref="I656">IFERROR(INDEX(ReferenceCard, MATCH(1, (INDEX(ReferenceCard,,1)=Table1[[#This Row],[SAP No]]) * (INDEX(ReferenceCard,,2)=Table1[[#This Row],[Mould No]]), 0), 4),)</f>
        <v>4</v>
      </c>
      <c r="J656" s="4" cm="1">
        <f t="array" ref="J656">IFERROR(INDEX(ReferenceCard, MATCH(1, (INDEX(ReferenceCard,,1)=Table1[[#This Row],[SAP No]]) * (INDEX(ReferenceCard,,2)=Table1[[#This Row],[Mould No]]), 0), 9),)</f>
        <v>55</v>
      </c>
      <c r="K656" s="4" cm="1">
        <f t="array" ref="K656">IFERROR(INDEX(ReferenceCard, MATCH(1, (INDEX(ReferenceCard,,1)=Table1[[#This Row],[SAP No]]) * (INDEX(ReferenceCard,,2)=Table1[[#This Row],[Mould No]]), 0), 7),)</f>
        <v>55</v>
      </c>
      <c r="L656">
        <v>1512</v>
      </c>
      <c r="M656">
        <v>0</v>
      </c>
      <c r="N656">
        <v>0</v>
      </c>
      <c r="O656">
        <v>0</v>
      </c>
      <c r="P656">
        <f>Table1[[#This Row],[Shot]]*Table1[[#This Row],[Cav]]</f>
        <v>6048</v>
      </c>
      <c r="Q656">
        <v>0</v>
      </c>
      <c r="R656">
        <f>(Table1[[#This Row],[Part Weight (gm)]]*Table1[[#This Row],[Finish Good]])/1000</f>
        <v>0</v>
      </c>
      <c r="S656">
        <v>0</v>
      </c>
      <c r="T656">
        <f>IF(Table1[[#This Row],[Qty Order]]="Sample","-",IF(Table1[[#This Row],[Qty Order]]="RTFN","-",Table1[[#This Row],[Qty Order]]-Table1[[#This Row],[Qty Accumulate]]))</f>
        <v>0</v>
      </c>
      <c r="U656">
        <f>((Table1[[#This Row],[Shift Output]]*Table1[[#This Row],[Part Weight (gm)]])/1000)+Table1[[#This Row],[Reject Startup (kg)]]+Table1[[#This Row],[Reject Purging (kg)]]+Table1[[#This Row],[Reject Preform (kg)]]</f>
        <v>332.64</v>
      </c>
      <c r="V656" s="37">
        <f>(Table1[[#This Row],[Gross Weight (gm)]]-Table1[[#This Row],[Part Weight (gm)]])*Table1[[#This Row],[Shift Output]]/1000</f>
        <v>0</v>
      </c>
      <c r="W656" s="3">
        <v>0</v>
      </c>
      <c r="X656" s="36">
        <f>Table1[[#This Row],[Reject Startup (kg)]]/Table1[[#This Row],[Material Used]]</f>
        <v>0</v>
      </c>
      <c r="Y656" s="3">
        <v>6</v>
      </c>
      <c r="Z656" s="36">
        <f>Table1[[#This Row],[Reject Prod (kg)]]/Table1[[#This Row],[Material Used]]</f>
        <v>1.803751803751804E-2</v>
      </c>
      <c r="AA656" s="4">
        <v>28.567760467529201</v>
      </c>
      <c r="AB656" s="5">
        <v>12</v>
      </c>
      <c r="AC656" s="4" cm="1">
        <f t="array" ref="AC656">IFERROR(INDEX(ReferenceCard, MATCH(1, (INDEX(ReferenceCard,,1)=Table1[[#This Row],[SAP No]]) * (INDEX(ReferenceCard,,2)=Table1[[#This Row],[Mould No]]), 0), 9),)</f>
        <v>55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L656" s="2"/>
      <c r="AM656" s="2"/>
      <c r="AN656" s="3">
        <v>0</v>
      </c>
      <c r="AO656" s="3">
        <v>0</v>
      </c>
      <c r="AP656" s="6">
        <f>((Table1[[#This Row],[Reject Startup (kg)]]+Table1[[#This Row],[Reject Prod (kg)]]+Table1[[#This Row],[Reject Purging (kg)]]+Table1[[#This Row],[Reject Preform (kg)]])/Table1[[#This Row],[Part Weight (gm)]])*1000</f>
        <v>109.09090909090908</v>
      </c>
    </row>
    <row r="657" spans="1:42" x14ac:dyDescent="0.35">
      <c r="A657" s="1">
        <v>46002</v>
      </c>
      <c r="B657">
        <v>1</v>
      </c>
      <c r="C657" t="s">
        <v>31</v>
      </c>
      <c r="D657" t="str" cm="1">
        <f t="array" ref="D657">IFERROR(INDEX(ReferenceCard, MATCH(1, (INDEX(ReferenceCard,,1)=Table1[[#This Row],[SAP No]]) * (INDEX(ReferenceCard,,2)=Table1[[#This Row],[Mould No]]), 0), 6),)</f>
        <v>PPSB520Y</v>
      </c>
      <c r="E657">
        <v>586276</v>
      </c>
      <c r="F657">
        <v>4</v>
      </c>
      <c r="G657" t="str" cm="1">
        <f t="array" ref="G657">IFERROR(INDEX(ReferenceCard, MATCH(1, (INDEX(ReferenceCard,,1)=Table1[[#This Row],[SAP No]]) * (INDEX(ReferenceCard,,2)=Table1[[#This Row],[Mould No]]), 0), 3),)</f>
        <v>BC28-0056-D-APH-LEB-604001-MOLD4</v>
      </c>
      <c r="H657">
        <v>0</v>
      </c>
      <c r="I657" cm="1">
        <f t="array" ref="I657">IFERROR(INDEX(ReferenceCard, MATCH(1, (INDEX(ReferenceCard,,1)=Table1[[#This Row],[SAP No]]) * (INDEX(ReferenceCard,,2)=Table1[[#This Row],[Mould No]]), 0), 4),)</f>
        <v>6</v>
      </c>
      <c r="J657" s="4" cm="1">
        <f t="array" ref="J657">IFERROR(INDEX(ReferenceCard, MATCH(1, (INDEX(ReferenceCard,,1)=Table1[[#This Row],[SAP No]]) * (INDEX(ReferenceCard,,2)=Table1[[#This Row],[Mould No]]), 0), 9),)</f>
        <v>12.3</v>
      </c>
      <c r="K657" s="4" cm="1">
        <f t="array" ref="K657">IFERROR(INDEX(ReferenceCard, MATCH(1, (INDEX(ReferenceCard,,1)=Table1[[#This Row],[SAP No]]) * (INDEX(ReferenceCard,,2)=Table1[[#This Row],[Mould No]]), 0), 7),)</f>
        <v>12.3</v>
      </c>
      <c r="L657">
        <v>6424</v>
      </c>
      <c r="M657">
        <v>0</v>
      </c>
      <c r="N657">
        <v>0</v>
      </c>
      <c r="O657">
        <v>0</v>
      </c>
      <c r="P657">
        <f>Table1[[#This Row],[Shot]]*Table1[[#This Row],[Cav]]</f>
        <v>38544</v>
      </c>
      <c r="Q657">
        <v>0</v>
      </c>
      <c r="R657">
        <f>(Table1[[#This Row],[Part Weight (gm)]]*Table1[[#This Row],[Finish Good]])/1000</f>
        <v>0</v>
      </c>
      <c r="S657">
        <v>0</v>
      </c>
      <c r="T657">
        <f>IF(Table1[[#This Row],[Qty Order]]="Sample","-",IF(Table1[[#This Row],[Qty Order]]="RTFN","-",Table1[[#This Row],[Qty Order]]-Table1[[#This Row],[Qty Accumulate]]))</f>
        <v>0</v>
      </c>
      <c r="U657">
        <f>((Table1[[#This Row],[Shift Output]]*Table1[[#This Row],[Part Weight (gm)]])/1000)+Table1[[#This Row],[Reject Startup (kg)]]+Table1[[#This Row],[Reject Purging (kg)]]+Table1[[#This Row],[Reject Preform (kg)]]</f>
        <v>478.09120000000001</v>
      </c>
      <c r="V657" s="37">
        <f>(Table1[[#This Row],[Gross Weight (gm)]]-Table1[[#This Row],[Part Weight (gm)]])*Table1[[#This Row],[Shift Output]]/1000</f>
        <v>0</v>
      </c>
      <c r="W657" s="3">
        <v>0</v>
      </c>
      <c r="X657" s="36">
        <f>Table1[[#This Row],[Reject Startup (kg)]]/Table1[[#This Row],[Material Used]]</f>
        <v>0</v>
      </c>
      <c r="Y657" s="3">
        <v>1</v>
      </c>
      <c r="Z657" s="36">
        <f>Table1[[#This Row],[Reject Prod (kg)]]/Table1[[#This Row],[Material Used]]</f>
        <v>2.0916511326709215E-3</v>
      </c>
      <c r="AA657" s="4">
        <v>27.898637771606399</v>
      </c>
      <c r="AB657" s="5">
        <v>9.08</v>
      </c>
      <c r="AC657" s="4" cm="1">
        <f t="array" ref="AC657">IFERROR(INDEX(ReferenceCard, MATCH(1, (INDEX(ReferenceCard,,1)=Table1[[#This Row],[SAP No]]) * (INDEX(ReferenceCard,,2)=Table1[[#This Row],[Mould No]]), 0), 9),)</f>
        <v>12.3</v>
      </c>
      <c r="AD657" s="5">
        <v>0</v>
      </c>
      <c r="AE657" s="5">
        <v>0</v>
      </c>
      <c r="AF657" s="5">
        <v>0</v>
      </c>
      <c r="AG657" s="5">
        <v>0</v>
      </c>
      <c r="AH657" s="5">
        <v>2.9199999999999902</v>
      </c>
      <c r="AI657" s="5">
        <v>0</v>
      </c>
      <c r="AJ657" s="5">
        <v>0</v>
      </c>
      <c r="AK657" t="s">
        <v>155</v>
      </c>
      <c r="AL657" s="2"/>
      <c r="AM657" s="2"/>
      <c r="AN657" s="3">
        <v>2</v>
      </c>
      <c r="AO657" s="3">
        <v>2</v>
      </c>
      <c r="AP657" s="6">
        <f>((Table1[[#This Row],[Reject Startup (kg)]]+Table1[[#This Row],[Reject Prod (kg)]]+Table1[[#This Row],[Reject Purging (kg)]]+Table1[[#This Row],[Reject Preform (kg)]])/Table1[[#This Row],[Part Weight (gm)]])*1000</f>
        <v>406.5040650406504</v>
      </c>
    </row>
    <row r="658" spans="1:42" x14ac:dyDescent="0.35">
      <c r="A658" s="1">
        <v>46002</v>
      </c>
      <c r="B658">
        <v>1</v>
      </c>
      <c r="C658" t="s">
        <v>33</v>
      </c>
      <c r="D658" t="str" cm="1">
        <f t="array" ref="D658">IFERROR(INDEX(ReferenceCard, MATCH(1, (INDEX(ReferenceCard,,1)=Table1[[#This Row],[SAP No]]) * (INDEX(ReferenceCard,,2)=Table1[[#This Row],[Mould No]]), 0), 6),)</f>
        <v>PET</v>
      </c>
      <c r="E658">
        <v>541381</v>
      </c>
      <c r="F658">
        <v>0</v>
      </c>
      <c r="G658" t="str" cm="1">
        <f t="array" ref="G658">IFERROR(INDEX(ReferenceCard, MATCH(1, (INDEX(ReferenceCard,,1)=Table1[[#This Row],[SAP No]]) * (INDEX(ReferenceCard,,2)=Table1[[#This Row],[Mould No]]), 0), 3),)</f>
        <v>BC28-1200-K-R-CL</v>
      </c>
      <c r="H658">
        <v>0</v>
      </c>
      <c r="I658" cm="1">
        <f t="array" ref="I658">IFERROR(INDEX(ReferenceCard, MATCH(1, (INDEX(ReferenceCard,,1)=Table1[[#This Row],[SAP No]]) * (INDEX(ReferenceCard,,2)=Table1[[#This Row],[Mould No]]), 0), 4),)</f>
        <v>4</v>
      </c>
      <c r="J658" s="4" cm="1">
        <f t="array" ref="J658">IFERROR(INDEX(ReferenceCard, MATCH(1, (INDEX(ReferenceCard,,1)=Table1[[#This Row],[SAP No]]) * (INDEX(ReferenceCard,,2)=Table1[[#This Row],[Mould No]]), 0), 9),)</f>
        <v>55</v>
      </c>
      <c r="K658" s="4" cm="1">
        <f t="array" ref="K658">IFERROR(INDEX(ReferenceCard, MATCH(1, (INDEX(ReferenceCard,,1)=Table1[[#This Row],[SAP No]]) * (INDEX(ReferenceCard,,2)=Table1[[#This Row],[Mould No]]), 0), 7),)</f>
        <v>55</v>
      </c>
      <c r="L658">
        <v>0</v>
      </c>
      <c r="M658">
        <v>0</v>
      </c>
      <c r="N658">
        <v>0</v>
      </c>
      <c r="O658">
        <v>0</v>
      </c>
      <c r="P658">
        <f>Table1[[#This Row],[Shot]]*Table1[[#This Row],[Cav]]</f>
        <v>0</v>
      </c>
      <c r="Q658">
        <v>0</v>
      </c>
      <c r="R658">
        <f>(Table1[[#This Row],[Part Weight (gm)]]*Table1[[#This Row],[Finish Good]])/1000</f>
        <v>0</v>
      </c>
      <c r="S658">
        <v>0</v>
      </c>
      <c r="T658">
        <f>IF(Table1[[#This Row],[Qty Order]]="Sample","-",IF(Table1[[#This Row],[Qty Order]]="RTFN","-",Table1[[#This Row],[Qty Order]]-Table1[[#This Row],[Qty Accumulate]]))</f>
        <v>0</v>
      </c>
      <c r="U658">
        <f>((Table1[[#This Row],[Shift Output]]*Table1[[#This Row],[Part Weight (gm)]])/1000)+Table1[[#This Row],[Reject Startup (kg)]]+Table1[[#This Row],[Reject Purging (kg)]]+Table1[[#This Row],[Reject Preform (kg)]]</f>
        <v>0</v>
      </c>
      <c r="V658" s="37">
        <f>(Table1[[#This Row],[Gross Weight (gm)]]-Table1[[#This Row],[Part Weight (gm)]])*Table1[[#This Row],[Shift Output]]/1000</f>
        <v>0</v>
      </c>
      <c r="W658" s="3">
        <v>0</v>
      </c>
      <c r="X658" s="36" t="e">
        <f>Table1[[#This Row],[Reject Startup (kg)]]/Table1[[#This Row],[Material Used]]</f>
        <v>#DIV/0!</v>
      </c>
      <c r="Y658" s="3">
        <v>0</v>
      </c>
      <c r="Z658" s="36" t="e">
        <f>Table1[[#This Row],[Reject Prod (kg)]]/Table1[[#This Row],[Material Used]]</f>
        <v>#DIV/0!</v>
      </c>
      <c r="AA658" s="4">
        <v>0</v>
      </c>
      <c r="AB658" s="5">
        <v>0</v>
      </c>
      <c r="AC658" s="4" cm="1">
        <f t="array" ref="AC658">IFERROR(INDEX(ReferenceCard, MATCH(1, (INDEX(ReferenceCard,,1)=Table1[[#This Row],[SAP No]]) * (INDEX(ReferenceCard,,2)=Table1[[#This Row],[Mould No]]), 0), 9),)</f>
        <v>55</v>
      </c>
      <c r="AD658" s="5">
        <v>12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t="s">
        <v>145</v>
      </c>
      <c r="AL658" s="2"/>
      <c r="AM658" s="2"/>
      <c r="AN658" s="3">
        <v>0</v>
      </c>
      <c r="AO658" s="3">
        <v>0</v>
      </c>
      <c r="AP65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59" spans="1:42" x14ac:dyDescent="0.35">
      <c r="A659" s="1">
        <v>46002</v>
      </c>
      <c r="B659">
        <v>1</v>
      </c>
      <c r="C659" t="s">
        <v>35</v>
      </c>
      <c r="D659" t="str" cm="1">
        <f t="array" ref="D659">IFERROR(INDEX(ReferenceCard, MATCH(1, (INDEX(ReferenceCard,,1)=Table1[[#This Row],[SAP No]]) * (INDEX(ReferenceCard,,2)=Table1[[#This Row],[Mould No]]), 0), 6),)</f>
        <v>PPSB520Y</v>
      </c>
      <c r="E659">
        <v>552181</v>
      </c>
      <c r="F659">
        <v>1</v>
      </c>
      <c r="G659" t="str" cm="1">
        <f t="array" ref="G659">IFERROR(INDEX(ReferenceCard, MATCH(1, (INDEX(ReferenceCard,,1)=Table1[[#This Row],[SAP No]]) * (INDEX(ReferenceCard,,2)=Table1[[#This Row],[Mould No]]), 0), 3),)</f>
        <v>BC28-0090-D-APH-5180-3538-PP-6 NOTCHES-MOLD1</v>
      </c>
      <c r="H659">
        <v>0</v>
      </c>
      <c r="I659" cm="1">
        <f t="array" ref="I659">IFERROR(INDEX(ReferenceCard, MATCH(1, (INDEX(ReferenceCard,,1)=Table1[[#This Row],[SAP No]]) * (INDEX(ReferenceCard,,2)=Table1[[#This Row],[Mould No]]), 0), 4),)</f>
        <v>6</v>
      </c>
      <c r="J659" s="4" cm="1">
        <f t="array" ref="J659">IFERROR(INDEX(ReferenceCard, MATCH(1, (INDEX(ReferenceCard,,1)=Table1[[#This Row],[SAP No]]) * (INDEX(ReferenceCard,,2)=Table1[[#This Row],[Mould No]]), 0), 9),)</f>
        <v>18.8</v>
      </c>
      <c r="K659" s="4" cm="1">
        <f t="array" ref="K659">IFERROR(INDEX(ReferenceCard, MATCH(1, (INDEX(ReferenceCard,,1)=Table1[[#This Row],[SAP No]]) * (INDEX(ReferenceCard,,2)=Table1[[#This Row],[Mould No]]), 0), 7),)</f>
        <v>18.8</v>
      </c>
      <c r="L659">
        <v>2579</v>
      </c>
      <c r="M659">
        <v>0</v>
      </c>
      <c r="N659">
        <v>0</v>
      </c>
      <c r="O659">
        <v>0</v>
      </c>
      <c r="P659">
        <f>Table1[[#This Row],[Shot]]*Table1[[#This Row],[Cav]]</f>
        <v>15474</v>
      </c>
      <c r="Q659">
        <v>0</v>
      </c>
      <c r="R659">
        <f>(Table1[[#This Row],[Part Weight (gm)]]*Table1[[#This Row],[Finish Good]])/1000</f>
        <v>0</v>
      </c>
      <c r="S659">
        <v>0</v>
      </c>
      <c r="T659">
        <f>IF(Table1[[#This Row],[Qty Order]]="Sample","-",IF(Table1[[#This Row],[Qty Order]]="RTFN","-",Table1[[#This Row],[Qty Order]]-Table1[[#This Row],[Qty Accumulate]]))</f>
        <v>0</v>
      </c>
      <c r="U659">
        <f>((Table1[[#This Row],[Shift Output]]*Table1[[#This Row],[Part Weight (gm)]])/1000)+Table1[[#This Row],[Reject Startup (kg)]]+Table1[[#This Row],[Reject Purging (kg)]]+Table1[[#This Row],[Reject Preform (kg)]]</f>
        <v>290.91120000000001</v>
      </c>
      <c r="V659" s="37">
        <f>(Table1[[#This Row],[Gross Weight (gm)]]-Table1[[#This Row],[Part Weight (gm)]])*Table1[[#This Row],[Shift Output]]/1000</f>
        <v>0</v>
      </c>
      <c r="W659" s="3">
        <v>0</v>
      </c>
      <c r="X659" s="36">
        <f>Table1[[#This Row],[Reject Startup (kg)]]/Table1[[#This Row],[Material Used]]</f>
        <v>0</v>
      </c>
      <c r="Y659" s="3">
        <v>0</v>
      </c>
      <c r="Z659" s="36">
        <f>Table1[[#This Row],[Reject Prod (kg)]]/Table1[[#This Row],[Material Used]]</f>
        <v>0</v>
      </c>
      <c r="AA659" s="4">
        <v>32.156700134277301</v>
      </c>
      <c r="AB659" s="5">
        <v>11.9</v>
      </c>
      <c r="AC659" s="4" cm="1">
        <f t="array" ref="AC659">IFERROR(INDEX(ReferenceCard, MATCH(1, (INDEX(ReferenceCard,,1)=Table1[[#This Row],[SAP No]]) * (INDEX(ReferenceCard,,2)=Table1[[#This Row],[Mould No]]), 0), 9),)</f>
        <v>18.8</v>
      </c>
      <c r="AD659" s="5">
        <v>0</v>
      </c>
      <c r="AE659" s="5">
        <v>0</v>
      </c>
      <c r="AF659" s="5">
        <v>0</v>
      </c>
      <c r="AG659" s="5">
        <v>0</v>
      </c>
      <c r="AH659" s="5">
        <v>0.1</v>
      </c>
      <c r="AI659" s="5">
        <v>0</v>
      </c>
      <c r="AJ659" s="5">
        <v>0</v>
      </c>
      <c r="AL659" s="2"/>
      <c r="AM659" s="2"/>
      <c r="AN659" s="3">
        <v>0</v>
      </c>
      <c r="AO659" s="3">
        <v>0</v>
      </c>
      <c r="AP65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60" spans="1:42" x14ac:dyDescent="0.35">
      <c r="A660" s="1">
        <v>46002</v>
      </c>
      <c r="B660">
        <v>1</v>
      </c>
      <c r="C660" t="s">
        <v>18</v>
      </c>
      <c r="D660" t="str" cm="1">
        <f t="array" ref="D660">IFERROR(INDEX(ReferenceCard, MATCH(1, (INDEX(ReferenceCard,,1)=Table1[[#This Row],[SAP No]]) * (INDEX(ReferenceCard,,2)=Table1[[#This Row],[Mould No]]), 0), 6),)</f>
        <v>PPSB520Y</v>
      </c>
      <c r="E660">
        <v>555979</v>
      </c>
      <c r="F660">
        <v>4</v>
      </c>
      <c r="G660" t="str" cm="1">
        <f t="array" ref="G660">IFERROR(INDEX(ReferenceCard, MATCH(1, (INDEX(ReferenceCard,,1)=Table1[[#This Row],[SAP No]]) * (INDEX(ReferenceCard,,2)=Table1[[#This Row],[Mould No]]), 0), 3),)</f>
        <v>BC28-0170-D-APH-5180-3539-PP-6 NOTCHES-MOLD4</v>
      </c>
      <c r="H660">
        <v>0</v>
      </c>
      <c r="I660" cm="1">
        <f t="array" ref="I660">IFERROR(INDEX(ReferenceCard, MATCH(1, (INDEX(ReferenceCard,,1)=Table1[[#This Row],[SAP No]]) * (INDEX(ReferenceCard,,2)=Table1[[#This Row],[Mould No]]), 0), 4),)</f>
        <v>6</v>
      </c>
      <c r="J660" s="4" cm="1">
        <f t="array" ref="J660">IFERROR(INDEX(ReferenceCard, MATCH(1, (INDEX(ReferenceCard,,1)=Table1[[#This Row],[SAP No]]) * (INDEX(ReferenceCard,,2)=Table1[[#This Row],[Mould No]]), 0), 9),)</f>
        <v>28</v>
      </c>
      <c r="K660" s="4" cm="1">
        <f t="array" ref="K660">IFERROR(INDEX(ReferenceCard, MATCH(1, (INDEX(ReferenceCard,,1)=Table1[[#This Row],[SAP No]]) * (INDEX(ReferenceCard,,2)=Table1[[#This Row],[Mould No]]), 0), 7),)</f>
        <v>28</v>
      </c>
      <c r="L660">
        <v>920</v>
      </c>
      <c r="M660">
        <v>0</v>
      </c>
      <c r="N660">
        <v>0</v>
      </c>
      <c r="O660">
        <v>0</v>
      </c>
      <c r="P660">
        <f>Table1[[#This Row],[Shot]]*Table1[[#This Row],[Cav]]</f>
        <v>5520</v>
      </c>
      <c r="Q660">
        <v>0</v>
      </c>
      <c r="R660">
        <f>(Table1[[#This Row],[Part Weight (gm)]]*Table1[[#This Row],[Finish Good]])/1000</f>
        <v>0</v>
      </c>
      <c r="S660">
        <v>0</v>
      </c>
      <c r="T660">
        <f>IF(Table1[[#This Row],[Qty Order]]="Sample","-",IF(Table1[[#This Row],[Qty Order]]="RTFN","-",Table1[[#This Row],[Qty Order]]-Table1[[#This Row],[Qty Accumulate]]))</f>
        <v>0</v>
      </c>
      <c r="U660">
        <f>((Table1[[#This Row],[Shift Output]]*Table1[[#This Row],[Part Weight (gm)]])/1000)+Table1[[#This Row],[Reject Startup (kg)]]+Table1[[#This Row],[Reject Purging (kg)]]+Table1[[#This Row],[Reject Preform (kg)]]</f>
        <v>164.56</v>
      </c>
      <c r="V660" s="37">
        <f>(Table1[[#This Row],[Gross Weight (gm)]]-Table1[[#This Row],[Part Weight (gm)]])*Table1[[#This Row],[Shift Output]]/1000</f>
        <v>0</v>
      </c>
      <c r="W660" s="3">
        <v>0</v>
      </c>
      <c r="X660" s="36">
        <f>Table1[[#This Row],[Reject Startup (kg)]]/Table1[[#This Row],[Material Used]]</f>
        <v>0</v>
      </c>
      <c r="Y660" s="3">
        <v>3</v>
      </c>
      <c r="Z660" s="36">
        <f>Table1[[#This Row],[Reject Prod (kg)]]/Table1[[#This Row],[Material Used]]</f>
        <v>1.8230432668935342E-2</v>
      </c>
      <c r="AA660" s="4">
        <v>43.5</v>
      </c>
      <c r="AB660" s="5">
        <v>12</v>
      </c>
      <c r="AC660" s="4" cm="1">
        <f t="array" ref="AC660">IFERROR(INDEX(ReferenceCard, MATCH(1, (INDEX(ReferenceCard,,1)=Table1[[#This Row],[SAP No]]) * (INDEX(ReferenceCard,,2)=Table1[[#This Row],[Mould No]]), 0), 9),)</f>
        <v>28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L660" s="2"/>
      <c r="AM660" s="2"/>
      <c r="AN660" s="3">
        <v>0</v>
      </c>
      <c r="AO660" s="3">
        <v>10</v>
      </c>
      <c r="AP660" s="6">
        <f>((Table1[[#This Row],[Reject Startup (kg)]]+Table1[[#This Row],[Reject Prod (kg)]]+Table1[[#This Row],[Reject Purging (kg)]]+Table1[[#This Row],[Reject Preform (kg)]])/Table1[[#This Row],[Part Weight (gm)]])*1000</f>
        <v>464.28571428571428</v>
      </c>
    </row>
    <row r="661" spans="1:42" x14ac:dyDescent="0.35">
      <c r="A661" s="1">
        <v>46002</v>
      </c>
      <c r="B661">
        <v>1</v>
      </c>
      <c r="C661" t="s">
        <v>0</v>
      </c>
      <c r="D661" t="str" cm="1">
        <f t="array" ref="D661">IFERROR(INDEX(ReferenceCard, MATCH(1, (INDEX(ReferenceCard,,1)=Table1[[#This Row],[SAP No]]) * (INDEX(ReferenceCard,,2)=Table1[[#This Row],[Mould No]]), 0), 6),)</f>
        <v>PET</v>
      </c>
      <c r="E661">
        <v>369308</v>
      </c>
      <c r="F661">
        <v>0</v>
      </c>
      <c r="G661" t="str" cm="1">
        <f t="array" ref="G661">IFERROR(INDEX(ReferenceCard, MATCH(1, (INDEX(ReferenceCard,,1)=Table1[[#This Row],[SAP No]]) * (INDEX(ReferenceCard,,2)=Table1[[#This Row],[Mould No]]), 0), 3),)</f>
        <v>BW38-0280-LS-R-RED</v>
      </c>
      <c r="H661">
        <v>0</v>
      </c>
      <c r="I661" cm="1">
        <f t="array" ref="I661">IFERROR(INDEX(ReferenceCard, MATCH(1, (INDEX(ReferenceCard,,1)=Table1[[#This Row],[SAP No]]) * (INDEX(ReferenceCard,,2)=Table1[[#This Row],[Mould No]]), 0), 4),)</f>
        <v>4</v>
      </c>
      <c r="J661" s="4" cm="1">
        <f t="array" ref="J661">IFERROR(INDEX(ReferenceCard, MATCH(1, (INDEX(ReferenceCard,,1)=Table1[[#This Row],[SAP No]]) * (INDEX(ReferenceCard,,2)=Table1[[#This Row],[Mould No]]), 0), 9),)</f>
        <v>31</v>
      </c>
      <c r="K661" s="4" cm="1">
        <f t="array" ref="K661">IFERROR(INDEX(ReferenceCard, MATCH(1, (INDEX(ReferenceCard,,1)=Table1[[#This Row],[SAP No]]) * (INDEX(ReferenceCard,,2)=Table1[[#This Row],[Mould No]]), 0), 7),)</f>
        <v>31</v>
      </c>
      <c r="L661">
        <v>2020</v>
      </c>
      <c r="M661">
        <v>0</v>
      </c>
      <c r="N661">
        <v>0</v>
      </c>
      <c r="O661">
        <v>0</v>
      </c>
      <c r="P661">
        <f>Table1[[#This Row],[Shot]]*Table1[[#This Row],[Cav]]</f>
        <v>8080</v>
      </c>
      <c r="Q661">
        <v>0</v>
      </c>
      <c r="R661">
        <f>(Table1[[#This Row],[Part Weight (gm)]]*Table1[[#This Row],[Finish Good]])/1000</f>
        <v>0</v>
      </c>
      <c r="S661">
        <v>0</v>
      </c>
      <c r="T661">
        <f>IF(Table1[[#This Row],[Qty Order]]="Sample","-",IF(Table1[[#This Row],[Qty Order]]="RTFN","-",Table1[[#This Row],[Qty Order]]-Table1[[#This Row],[Qty Accumulate]]))</f>
        <v>0</v>
      </c>
      <c r="U661">
        <f>((Table1[[#This Row],[Shift Output]]*Table1[[#This Row],[Part Weight (gm)]])/1000)+Table1[[#This Row],[Reject Startup (kg)]]+Table1[[#This Row],[Reject Purging (kg)]]+Table1[[#This Row],[Reject Preform (kg)]]</f>
        <v>250.48</v>
      </c>
      <c r="V661" s="37">
        <f>(Table1[[#This Row],[Gross Weight (gm)]]-Table1[[#This Row],[Part Weight (gm)]])*Table1[[#This Row],[Shift Output]]/1000</f>
        <v>0</v>
      </c>
      <c r="W661" s="3">
        <v>0</v>
      </c>
      <c r="X661" s="36">
        <f>Table1[[#This Row],[Reject Startup (kg)]]/Table1[[#This Row],[Material Used]]</f>
        <v>0</v>
      </c>
      <c r="Y661" s="3">
        <v>2</v>
      </c>
      <c r="Z661" s="36">
        <f>Table1[[#This Row],[Reject Prod (kg)]]/Table1[[#This Row],[Material Used]]</f>
        <v>7.9846694346854038E-3</v>
      </c>
      <c r="AA661" s="4">
        <v>26.7404460906982</v>
      </c>
      <c r="AB661" s="5">
        <v>11.99</v>
      </c>
      <c r="AC661" s="4" cm="1">
        <f t="array" ref="AC661">IFERROR(INDEX(ReferenceCard, MATCH(1, (INDEX(ReferenceCard,,1)=Table1[[#This Row],[SAP No]]) * (INDEX(ReferenceCard,,2)=Table1[[#This Row],[Mould No]]), 0), 9),)</f>
        <v>31</v>
      </c>
      <c r="AD661" s="5">
        <v>0</v>
      </c>
      <c r="AE661" s="5">
        <v>0</v>
      </c>
      <c r="AF661" s="5">
        <v>0</v>
      </c>
      <c r="AG661" s="5">
        <v>0</v>
      </c>
      <c r="AH661" s="5">
        <v>0.01</v>
      </c>
      <c r="AI661" s="5">
        <v>0</v>
      </c>
      <c r="AJ661" s="5">
        <v>0</v>
      </c>
      <c r="AL661" s="2"/>
      <c r="AM661" s="2"/>
      <c r="AN661" s="3">
        <v>0</v>
      </c>
      <c r="AO661" s="3">
        <v>0</v>
      </c>
      <c r="AP661" s="6">
        <f>((Table1[[#This Row],[Reject Startup (kg)]]+Table1[[#This Row],[Reject Prod (kg)]]+Table1[[#This Row],[Reject Purging (kg)]]+Table1[[#This Row],[Reject Preform (kg)]])/Table1[[#This Row],[Part Weight (gm)]])*1000</f>
        <v>64.516129032258064</v>
      </c>
    </row>
    <row r="662" spans="1:42" x14ac:dyDescent="0.35">
      <c r="A662" s="1">
        <v>46002</v>
      </c>
      <c r="B662">
        <v>1</v>
      </c>
      <c r="C662" t="s">
        <v>3</v>
      </c>
      <c r="D662" t="str" cm="1">
        <f t="array" ref="D662">IFERROR(INDEX(ReferenceCard, MATCH(1, (INDEX(ReferenceCard,,1)=Table1[[#This Row],[SAP No]]) * (INDEX(ReferenceCard,,2)=Table1[[#This Row],[Mould No]]), 0), 6),)</f>
        <v>PET</v>
      </c>
      <c r="E662">
        <v>324163</v>
      </c>
      <c r="F662">
        <v>0</v>
      </c>
      <c r="G662" t="str" cm="1">
        <f t="array" ref="G662">IFERROR(INDEX(ReferenceCard, MATCH(1, (INDEX(ReferenceCard,,1)=Table1[[#This Row],[SAP No]]) * (INDEX(ReferenceCard,,2)=Table1[[#This Row],[Mould No]]), 0), 3),)</f>
        <v>BC28-0265-A-Q-CL</v>
      </c>
      <c r="H662">
        <v>0</v>
      </c>
      <c r="I662" cm="1">
        <f t="array" ref="I662">IFERROR(INDEX(ReferenceCard, MATCH(1, (INDEX(ReferenceCard,,1)=Table1[[#This Row],[SAP No]]) * (INDEX(ReferenceCard,,2)=Table1[[#This Row],[Mould No]]), 0), 4),)</f>
        <v>4</v>
      </c>
      <c r="J662" s="4" cm="1">
        <f t="array" ref="J662">IFERROR(INDEX(ReferenceCard, MATCH(1, (INDEX(ReferenceCard,,1)=Table1[[#This Row],[SAP No]]) * (INDEX(ReferenceCard,,2)=Table1[[#This Row],[Mould No]]), 0), 9),)</f>
        <v>24</v>
      </c>
      <c r="K662" s="4" cm="1">
        <f t="array" ref="K662">IFERROR(INDEX(ReferenceCard, MATCH(1, (INDEX(ReferenceCard,,1)=Table1[[#This Row],[SAP No]]) * (INDEX(ReferenceCard,,2)=Table1[[#This Row],[Mould No]]), 0), 7),)</f>
        <v>23.5</v>
      </c>
      <c r="L662">
        <v>1931</v>
      </c>
      <c r="M662">
        <v>0</v>
      </c>
      <c r="N662">
        <v>0</v>
      </c>
      <c r="O662">
        <v>0</v>
      </c>
      <c r="P662">
        <f>Table1[[#This Row],[Shot]]*Table1[[#This Row],[Cav]]</f>
        <v>7724</v>
      </c>
      <c r="Q662">
        <v>0</v>
      </c>
      <c r="R662">
        <f>(Table1[[#This Row],[Part Weight (gm)]]*Table1[[#This Row],[Finish Good]])/1000</f>
        <v>0</v>
      </c>
      <c r="S662">
        <v>0</v>
      </c>
      <c r="T662">
        <f>IF(Table1[[#This Row],[Qty Order]]="Sample","-",IF(Table1[[#This Row],[Qty Order]]="RTFN","-",Table1[[#This Row],[Qty Order]]-Table1[[#This Row],[Qty Accumulate]]))</f>
        <v>0</v>
      </c>
      <c r="U662">
        <f>((Table1[[#This Row],[Shift Output]]*Table1[[#This Row],[Part Weight (gm)]])/1000)+Table1[[#This Row],[Reject Startup (kg)]]+Table1[[#This Row],[Reject Purging (kg)]]+Table1[[#This Row],[Reject Preform (kg)]]</f>
        <v>181.51400000000001</v>
      </c>
      <c r="V662" s="37">
        <f>(Table1[[#This Row],[Gross Weight (gm)]]-Table1[[#This Row],[Part Weight (gm)]])*Table1[[#This Row],[Shift Output]]/1000</f>
        <v>3.8620000000000001</v>
      </c>
      <c r="W662" s="3">
        <v>0</v>
      </c>
      <c r="X662" s="36">
        <f>Table1[[#This Row],[Reject Startup (kg)]]/Table1[[#This Row],[Material Used]]</f>
        <v>0</v>
      </c>
      <c r="Y662" s="3">
        <v>9</v>
      </c>
      <c r="Z662" s="36">
        <f>Table1[[#This Row],[Reject Prod (kg)]]/Table1[[#This Row],[Material Used]]</f>
        <v>4.9582952279163039E-2</v>
      </c>
      <c r="AA662" s="4">
        <v>22.375902175903299</v>
      </c>
      <c r="AB662" s="5">
        <v>12</v>
      </c>
      <c r="AC662" s="4" cm="1">
        <f t="array" ref="AC662">IFERROR(INDEX(ReferenceCard, MATCH(1, (INDEX(ReferenceCard,,1)=Table1[[#This Row],[SAP No]]) * (INDEX(ReferenceCard,,2)=Table1[[#This Row],[Mould No]]), 0), 9),)</f>
        <v>24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L662" s="2"/>
      <c r="AM662" s="2"/>
      <c r="AN662" s="3">
        <v>0</v>
      </c>
      <c r="AO662" s="3">
        <v>0</v>
      </c>
      <c r="AP662" s="6">
        <f>((Table1[[#This Row],[Reject Startup (kg)]]+Table1[[#This Row],[Reject Prod (kg)]]+Table1[[#This Row],[Reject Purging (kg)]]+Table1[[#This Row],[Reject Preform (kg)]])/Table1[[#This Row],[Part Weight (gm)]])*1000</f>
        <v>382.97872340425533</v>
      </c>
    </row>
    <row r="663" spans="1:42" x14ac:dyDescent="0.35">
      <c r="A663" s="1">
        <v>46002</v>
      </c>
      <c r="B663">
        <v>1</v>
      </c>
      <c r="C663" t="s">
        <v>5</v>
      </c>
      <c r="D663" t="str" cm="1">
        <f t="array" ref="D663">IFERROR(INDEX(ReferenceCard, MATCH(1, (INDEX(ReferenceCard,,1)=Table1[[#This Row],[SAP No]]) * (INDEX(ReferenceCard,,2)=Table1[[#This Row],[Mould No]]), 0), 6),)</f>
        <v>PET</v>
      </c>
      <c r="E663">
        <v>543590</v>
      </c>
      <c r="F663">
        <v>0</v>
      </c>
      <c r="G663" t="str" cm="1">
        <f t="array" ref="G663">IFERROR(INDEX(ReferenceCard, MATCH(1, (INDEX(ReferenceCard,,1)=Table1[[#This Row],[SAP No]]) * (INDEX(ReferenceCard,,2)=Table1[[#This Row],[Mould No]]), 0), 3),)</f>
        <v>BC28-0130-R-R-AM</v>
      </c>
      <c r="H663">
        <v>0</v>
      </c>
      <c r="I663" cm="1">
        <f t="array" ref="I663">IFERROR(INDEX(ReferenceCard, MATCH(1, (INDEX(ReferenceCard,,1)=Table1[[#This Row],[SAP No]]) * (INDEX(ReferenceCard,,2)=Table1[[#This Row],[Mould No]]), 0), 4),)</f>
        <v>4</v>
      </c>
      <c r="J663" s="4" cm="1">
        <f t="array" ref="J663">IFERROR(INDEX(ReferenceCard, MATCH(1, (INDEX(ReferenceCard,,1)=Table1[[#This Row],[SAP No]]) * (INDEX(ReferenceCard,,2)=Table1[[#This Row],[Mould No]]), 0), 9),)</f>
        <v>19</v>
      </c>
      <c r="K663" s="4" cm="1">
        <f t="array" ref="K663">IFERROR(INDEX(ReferenceCard, MATCH(1, (INDEX(ReferenceCard,,1)=Table1[[#This Row],[SAP No]]) * (INDEX(ReferenceCard,,2)=Table1[[#This Row],[Mould No]]), 0), 7),)</f>
        <v>19</v>
      </c>
      <c r="L663">
        <v>1914</v>
      </c>
      <c r="M663">
        <v>0</v>
      </c>
      <c r="N663">
        <v>0</v>
      </c>
      <c r="O663">
        <v>0</v>
      </c>
      <c r="P663">
        <f>Table1[[#This Row],[Shot]]*Table1[[#This Row],[Cav]]</f>
        <v>7656</v>
      </c>
      <c r="Q663">
        <v>0</v>
      </c>
      <c r="R663">
        <f>(Table1[[#This Row],[Part Weight (gm)]]*Table1[[#This Row],[Finish Good]])/1000</f>
        <v>0</v>
      </c>
      <c r="S663">
        <v>0</v>
      </c>
      <c r="T663">
        <f>IF(Table1[[#This Row],[Qty Order]]="Sample","-",IF(Table1[[#This Row],[Qty Order]]="RTFN","-",Table1[[#This Row],[Qty Order]]-Table1[[#This Row],[Qty Accumulate]]))</f>
        <v>0</v>
      </c>
      <c r="U663">
        <f>((Table1[[#This Row],[Shift Output]]*Table1[[#This Row],[Part Weight (gm)]])/1000)+Table1[[#This Row],[Reject Startup (kg)]]+Table1[[#This Row],[Reject Purging (kg)]]+Table1[[#This Row],[Reject Preform (kg)]]</f>
        <v>145.464</v>
      </c>
      <c r="V663" s="37">
        <f>(Table1[[#This Row],[Gross Weight (gm)]]-Table1[[#This Row],[Part Weight (gm)]])*Table1[[#This Row],[Shift Output]]/1000</f>
        <v>0</v>
      </c>
      <c r="W663" s="3">
        <v>0</v>
      </c>
      <c r="X663" s="36">
        <f>Table1[[#This Row],[Reject Startup (kg)]]/Table1[[#This Row],[Material Used]]</f>
        <v>0</v>
      </c>
      <c r="Y663" s="3">
        <v>5</v>
      </c>
      <c r="Z663" s="36">
        <f>Table1[[#This Row],[Reject Prod (kg)]]/Table1[[#This Row],[Material Used]]</f>
        <v>3.4372765770224939E-2</v>
      </c>
      <c r="AA663" s="4">
        <v>22.5708618164062</v>
      </c>
      <c r="AB663" s="5">
        <v>12</v>
      </c>
      <c r="AC663" s="4" cm="1">
        <f t="array" ref="AC663">IFERROR(INDEX(ReferenceCard, MATCH(1, (INDEX(ReferenceCard,,1)=Table1[[#This Row],[SAP No]]) * (INDEX(ReferenceCard,,2)=Table1[[#This Row],[Mould No]]), 0), 9),)</f>
        <v>19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L663" s="2"/>
      <c r="AM663" s="2"/>
      <c r="AN663" s="3">
        <v>0</v>
      </c>
      <c r="AO663" s="3">
        <v>0</v>
      </c>
      <c r="AP663" s="6">
        <f>((Table1[[#This Row],[Reject Startup (kg)]]+Table1[[#This Row],[Reject Prod (kg)]]+Table1[[#This Row],[Reject Purging (kg)]]+Table1[[#This Row],[Reject Preform (kg)]])/Table1[[#This Row],[Part Weight (gm)]])*1000</f>
        <v>263.15789473684208</v>
      </c>
    </row>
    <row r="664" spans="1:42" x14ac:dyDescent="0.35">
      <c r="A664" s="1">
        <v>46002</v>
      </c>
      <c r="B664">
        <v>1</v>
      </c>
      <c r="C664" t="s">
        <v>7</v>
      </c>
      <c r="D664" t="str" cm="1">
        <f t="array" ref="D664">IFERROR(INDEX(ReferenceCard, MATCH(1, (INDEX(ReferenceCard,,1)=Table1[[#This Row],[SAP No]]) * (INDEX(ReferenceCard,,2)=Table1[[#This Row],[Mould No]]), 0), 6),)</f>
        <v>PET</v>
      </c>
      <c r="E664">
        <v>426555</v>
      </c>
      <c r="F664">
        <v>0</v>
      </c>
      <c r="G664" t="str" cm="1">
        <f t="array" ref="G664">IFERROR(INDEX(ReferenceCard, MATCH(1, (INDEX(ReferenceCard,,1)=Table1[[#This Row],[SAP No]]) * (INDEX(ReferenceCard,,2)=Table1[[#This Row],[Mould No]]), 0), 3),)</f>
        <v>BX38-0330-Z-S-CL-HW</v>
      </c>
      <c r="H664">
        <v>0</v>
      </c>
      <c r="I664" cm="1">
        <f t="array" ref="I664">IFERROR(INDEX(ReferenceCard, MATCH(1, (INDEX(ReferenceCard,,1)=Table1[[#This Row],[SAP No]]) * (INDEX(ReferenceCard,,2)=Table1[[#This Row],[Mould No]]), 0), 4),)</f>
        <v>4</v>
      </c>
      <c r="J664" s="4" cm="1">
        <f t="array" ref="J664">IFERROR(INDEX(ReferenceCard, MATCH(1, (INDEX(ReferenceCard,,1)=Table1[[#This Row],[SAP No]]) * (INDEX(ReferenceCard,,2)=Table1[[#This Row],[Mould No]]), 0), 9),)</f>
        <v>29</v>
      </c>
      <c r="K664" s="4" cm="1">
        <f t="array" ref="K664">IFERROR(INDEX(ReferenceCard, MATCH(1, (INDEX(ReferenceCard,,1)=Table1[[#This Row],[SAP No]]) * (INDEX(ReferenceCard,,2)=Table1[[#This Row],[Mould No]]), 0), 7),)</f>
        <v>29</v>
      </c>
      <c r="L664">
        <v>1686</v>
      </c>
      <c r="M664">
        <v>0</v>
      </c>
      <c r="N664">
        <v>0</v>
      </c>
      <c r="O664">
        <v>0</v>
      </c>
      <c r="P664">
        <f>Table1[[#This Row],[Shot]]*Table1[[#This Row],[Cav]]</f>
        <v>6744</v>
      </c>
      <c r="Q664">
        <v>0</v>
      </c>
      <c r="R664">
        <f>(Table1[[#This Row],[Part Weight (gm)]]*Table1[[#This Row],[Finish Good]])/1000</f>
        <v>0</v>
      </c>
      <c r="S664">
        <v>0</v>
      </c>
      <c r="T664">
        <f>IF(Table1[[#This Row],[Qty Order]]="Sample","-",IF(Table1[[#This Row],[Qty Order]]="RTFN","-",Table1[[#This Row],[Qty Order]]-Table1[[#This Row],[Qty Accumulate]]))</f>
        <v>0</v>
      </c>
      <c r="U664">
        <f>((Table1[[#This Row],[Shift Output]]*Table1[[#This Row],[Part Weight (gm)]])/1000)+Table1[[#This Row],[Reject Startup (kg)]]+Table1[[#This Row],[Reject Purging (kg)]]+Table1[[#This Row],[Reject Preform (kg)]]</f>
        <v>195.57599999999999</v>
      </c>
      <c r="V664" s="37">
        <f>(Table1[[#This Row],[Gross Weight (gm)]]-Table1[[#This Row],[Part Weight (gm)]])*Table1[[#This Row],[Shift Output]]/1000</f>
        <v>0</v>
      </c>
      <c r="W664" s="3">
        <v>0</v>
      </c>
      <c r="X664" s="36">
        <f>Table1[[#This Row],[Reject Startup (kg)]]/Table1[[#This Row],[Material Used]]</f>
        <v>0</v>
      </c>
      <c r="Y664" s="3">
        <v>1</v>
      </c>
      <c r="Z664" s="36">
        <f>Table1[[#This Row],[Reject Prod (kg)]]/Table1[[#This Row],[Material Used]]</f>
        <v>5.1131018120832827E-3</v>
      </c>
      <c r="AA664" s="4">
        <v>25.618787765502901</v>
      </c>
      <c r="AB664" s="5">
        <v>12</v>
      </c>
      <c r="AC664" s="4" cm="1">
        <f t="array" ref="AC664">IFERROR(INDEX(ReferenceCard, MATCH(1, (INDEX(ReferenceCard,,1)=Table1[[#This Row],[SAP No]]) * (INDEX(ReferenceCard,,2)=Table1[[#This Row],[Mould No]]), 0), 9),)</f>
        <v>29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L664" s="2"/>
      <c r="AM664" s="2"/>
      <c r="AN664" s="3">
        <v>0</v>
      </c>
      <c r="AO664" s="3">
        <v>0</v>
      </c>
      <c r="AP664" s="6">
        <f>((Table1[[#This Row],[Reject Startup (kg)]]+Table1[[#This Row],[Reject Prod (kg)]]+Table1[[#This Row],[Reject Purging (kg)]]+Table1[[#This Row],[Reject Preform (kg)]])/Table1[[#This Row],[Part Weight (gm)]])*1000</f>
        <v>34.482758620689651</v>
      </c>
    </row>
    <row r="665" spans="1:42" x14ac:dyDescent="0.35">
      <c r="A665" s="1">
        <v>46002</v>
      </c>
      <c r="B665">
        <v>1</v>
      </c>
      <c r="C665" t="s">
        <v>9</v>
      </c>
      <c r="D665" t="str" cm="1">
        <f t="array" ref="D665">IFERROR(INDEX(ReferenceCard, MATCH(1, (INDEX(ReferenceCard,,1)=Table1[[#This Row],[SAP No]]) * (INDEX(ReferenceCard,,2)=Table1[[#This Row],[Mould No]]), 0), 6),)</f>
        <v>rPET</v>
      </c>
      <c r="E665">
        <v>593537</v>
      </c>
      <c r="F665">
        <v>0</v>
      </c>
      <c r="G665" t="str" cm="1">
        <f t="array" ref="G665">IFERROR(INDEX(ReferenceCard, MATCH(1, (INDEX(ReferenceCard,,1)=Table1[[#This Row],[SAP No]]) * (INDEX(ReferenceCard,,2)=Table1[[#This Row],[Mould No]]), 0), 3),)</f>
        <v>BX38-1000-RN-R-CL-rPET</v>
      </c>
      <c r="H665">
        <v>0</v>
      </c>
      <c r="I665" cm="1">
        <f t="array" ref="I665">IFERROR(INDEX(ReferenceCard, MATCH(1, (INDEX(ReferenceCard,,1)=Table1[[#This Row],[SAP No]]) * (INDEX(ReferenceCard,,2)=Table1[[#This Row],[Mould No]]), 0), 4),)</f>
        <v>4</v>
      </c>
      <c r="J665" s="4" cm="1">
        <f t="array" ref="J665">IFERROR(INDEX(ReferenceCard, MATCH(1, (INDEX(ReferenceCard,,1)=Table1[[#This Row],[SAP No]]) * (INDEX(ReferenceCard,,2)=Table1[[#This Row],[Mould No]]), 0), 9),)</f>
        <v>56.5</v>
      </c>
      <c r="K665" s="4" cm="1">
        <f t="array" ref="K665">IFERROR(INDEX(ReferenceCard, MATCH(1, (INDEX(ReferenceCard,,1)=Table1[[#This Row],[SAP No]]) * (INDEX(ReferenceCard,,2)=Table1[[#This Row],[Mould No]]), 0), 7),)</f>
        <v>56.8</v>
      </c>
      <c r="L665">
        <v>1595</v>
      </c>
      <c r="M665">
        <v>0</v>
      </c>
      <c r="N665">
        <v>0</v>
      </c>
      <c r="O665">
        <v>0</v>
      </c>
      <c r="P665">
        <f>Table1[[#This Row],[Shot]]*Table1[[#This Row],[Cav]]</f>
        <v>6380</v>
      </c>
      <c r="Q665">
        <v>0</v>
      </c>
      <c r="R665">
        <f>(Table1[[#This Row],[Part Weight (gm)]]*Table1[[#This Row],[Finish Good]])/1000</f>
        <v>0</v>
      </c>
      <c r="S665">
        <v>0</v>
      </c>
      <c r="T665">
        <f>IF(Table1[[#This Row],[Qty Order]]="Sample","-",IF(Table1[[#This Row],[Qty Order]]="RTFN","-",Table1[[#This Row],[Qty Order]]-Table1[[#This Row],[Qty Accumulate]]))</f>
        <v>0</v>
      </c>
      <c r="U665">
        <f>((Table1[[#This Row],[Shift Output]]*Table1[[#This Row],[Part Weight (gm)]])/1000)+Table1[[#This Row],[Reject Startup (kg)]]+Table1[[#This Row],[Reject Purging (kg)]]+Table1[[#This Row],[Reject Preform (kg)]]</f>
        <v>362.38400000000001</v>
      </c>
      <c r="V665" s="37">
        <f>(Table1[[#This Row],[Gross Weight (gm)]]-Table1[[#This Row],[Part Weight (gm)]])*Table1[[#This Row],[Shift Output]]/1000</f>
        <v>-1.9139999999999817</v>
      </c>
      <c r="W665" s="3">
        <v>0</v>
      </c>
      <c r="X665" s="36">
        <f>Table1[[#This Row],[Reject Startup (kg)]]/Table1[[#This Row],[Material Used]]</f>
        <v>0</v>
      </c>
      <c r="Y665" s="3">
        <v>1</v>
      </c>
      <c r="Z665" s="36">
        <f>Table1[[#This Row],[Reject Prod (kg)]]/Table1[[#This Row],[Material Used]]</f>
        <v>2.759503730849044E-3</v>
      </c>
      <c r="AA665" s="4">
        <v>28.615455627441399</v>
      </c>
      <c r="AB665" s="5">
        <v>11.97</v>
      </c>
      <c r="AC665" s="4" cm="1">
        <f t="array" ref="AC665">IFERROR(INDEX(ReferenceCard, MATCH(1, (INDEX(ReferenceCard,,1)=Table1[[#This Row],[SAP No]]) * (INDEX(ReferenceCard,,2)=Table1[[#This Row],[Mould No]]), 0), 9),)</f>
        <v>56.5</v>
      </c>
      <c r="AD665" s="5">
        <v>0</v>
      </c>
      <c r="AE665" s="5">
        <v>0</v>
      </c>
      <c r="AF665" s="5">
        <v>0</v>
      </c>
      <c r="AG665" s="5">
        <v>0</v>
      </c>
      <c r="AH665" s="5">
        <v>2.9999999999999898E-2</v>
      </c>
      <c r="AI665" s="5">
        <v>0</v>
      </c>
      <c r="AJ665" s="5">
        <v>0</v>
      </c>
      <c r="AL665" s="2"/>
      <c r="AM665" s="2"/>
      <c r="AN665" s="3">
        <v>0</v>
      </c>
      <c r="AO665" s="3">
        <v>0</v>
      </c>
      <c r="AP665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666" spans="1:42" x14ac:dyDescent="0.35">
      <c r="A666" s="1">
        <v>46002</v>
      </c>
      <c r="B666">
        <v>1</v>
      </c>
      <c r="C666" t="s">
        <v>11</v>
      </c>
      <c r="D666" t="str" cm="1">
        <f t="array" ref="D666">IFERROR(INDEX(ReferenceCard, MATCH(1, (INDEX(ReferenceCard,,1)=Table1[[#This Row],[SAP No]]) * (INDEX(ReferenceCard,,2)=Table1[[#This Row],[Mould No]]), 0), 6),)</f>
        <v>rPET</v>
      </c>
      <c r="E666">
        <v>620994</v>
      </c>
      <c r="F666">
        <v>0</v>
      </c>
      <c r="G666" t="str" cm="1">
        <f t="array" ref="G666">IFERROR(INDEX(ReferenceCard, MATCH(1, (INDEX(ReferenceCard,,1)=Table1[[#This Row],[SAP No]]) * (INDEX(ReferenceCard,,2)=Table1[[#This Row],[Mould No]]), 0), 3),)</f>
        <v>JJ63-0400-SH-S-CL-rPET</v>
      </c>
      <c r="H666">
        <v>0</v>
      </c>
      <c r="I666" cm="1">
        <f t="array" ref="I666">IFERROR(INDEX(ReferenceCard, MATCH(1, (INDEX(ReferenceCard,,1)=Table1[[#This Row],[SAP No]]) * (INDEX(ReferenceCard,,2)=Table1[[#This Row],[Mould No]]), 0), 4),)</f>
        <v>4</v>
      </c>
      <c r="J666" s="4" cm="1">
        <f t="array" ref="J666">IFERROR(INDEX(ReferenceCard, MATCH(1, (INDEX(ReferenceCard,,1)=Table1[[#This Row],[SAP No]]) * (INDEX(ReferenceCard,,2)=Table1[[#This Row],[Mould No]]), 0), 9),)</f>
        <v>32.74</v>
      </c>
      <c r="K666" s="4" cm="1">
        <f t="array" ref="K666">IFERROR(INDEX(ReferenceCard, MATCH(1, (INDEX(ReferenceCard,,1)=Table1[[#This Row],[SAP No]]) * (INDEX(ReferenceCard,,2)=Table1[[#This Row],[Mould No]]), 0), 7),)</f>
        <v>33</v>
      </c>
      <c r="L666">
        <v>1528</v>
      </c>
      <c r="M666">
        <v>0</v>
      </c>
      <c r="N666">
        <v>0</v>
      </c>
      <c r="O666">
        <v>0</v>
      </c>
      <c r="P666">
        <f>Table1[[#This Row],[Shot]]*Table1[[#This Row],[Cav]]</f>
        <v>6112</v>
      </c>
      <c r="Q666">
        <v>0</v>
      </c>
      <c r="R666">
        <f>(Table1[[#This Row],[Part Weight (gm)]]*Table1[[#This Row],[Finish Good]])/1000</f>
        <v>0</v>
      </c>
      <c r="S666">
        <v>0</v>
      </c>
      <c r="T666">
        <f>IF(Table1[[#This Row],[Qty Order]]="Sample","-",IF(Table1[[#This Row],[Qty Order]]="RTFN","-",Table1[[#This Row],[Qty Order]]-Table1[[#This Row],[Qty Accumulate]]))</f>
        <v>0</v>
      </c>
      <c r="U666">
        <f>((Table1[[#This Row],[Shift Output]]*Table1[[#This Row],[Part Weight (gm)]])/1000)+Table1[[#This Row],[Reject Startup (kg)]]+Table1[[#This Row],[Reject Purging (kg)]]+Table1[[#This Row],[Reject Preform (kg)]]</f>
        <v>224.696</v>
      </c>
      <c r="V666" s="37">
        <f>(Table1[[#This Row],[Gross Weight (gm)]]-Table1[[#This Row],[Part Weight (gm)]])*Table1[[#This Row],[Shift Output]]/1000</f>
        <v>-1.5891199999999879</v>
      </c>
      <c r="W666" s="3">
        <v>14</v>
      </c>
      <c r="X666" s="36">
        <f>Table1[[#This Row],[Reject Startup (kg)]]/Table1[[#This Row],[Material Used]]</f>
        <v>6.2306405098444123E-2</v>
      </c>
      <c r="Y666" s="3">
        <v>1</v>
      </c>
      <c r="Z666" s="36">
        <f>Table1[[#This Row],[Reject Prod (kg)]]/Table1[[#This Row],[Material Used]]</f>
        <v>4.4504575070317227E-3</v>
      </c>
      <c r="AA666" s="4">
        <v>0</v>
      </c>
      <c r="AB666" s="5">
        <v>8.99</v>
      </c>
      <c r="AC666" s="4" cm="1">
        <f t="array" ref="AC666">IFERROR(INDEX(ReferenceCard, MATCH(1, (INDEX(ReferenceCard,,1)=Table1[[#This Row],[SAP No]]) * (INDEX(ReferenceCard,,2)=Table1[[#This Row],[Mould No]]), 0), 9),)</f>
        <v>32.74</v>
      </c>
      <c r="AD666" s="5">
        <v>0</v>
      </c>
      <c r="AE666" s="5">
        <v>0</v>
      </c>
      <c r="AF666" s="5">
        <v>0.53</v>
      </c>
      <c r="AG666" s="5">
        <v>0</v>
      </c>
      <c r="AH666" s="5">
        <v>2.2999999999999901</v>
      </c>
      <c r="AI666" s="5">
        <v>0.17999999999999899</v>
      </c>
      <c r="AJ666" s="5">
        <v>0</v>
      </c>
      <c r="AK666" t="s">
        <v>156</v>
      </c>
      <c r="AL666" s="2"/>
      <c r="AM666" s="2"/>
      <c r="AN666" s="3">
        <v>4</v>
      </c>
      <c r="AO666" s="3">
        <v>5</v>
      </c>
      <c r="AP666" s="6">
        <f>((Table1[[#This Row],[Reject Startup (kg)]]+Table1[[#This Row],[Reject Prod (kg)]]+Table1[[#This Row],[Reject Purging (kg)]]+Table1[[#This Row],[Reject Preform (kg)]])/Table1[[#This Row],[Part Weight (gm)]])*1000</f>
        <v>727.27272727272725</v>
      </c>
    </row>
    <row r="667" spans="1:42" x14ac:dyDescent="0.35">
      <c r="A667" s="1">
        <v>46002</v>
      </c>
      <c r="B667">
        <v>1</v>
      </c>
      <c r="C667" t="s">
        <v>14</v>
      </c>
      <c r="D667" t="str" cm="1">
        <f t="array" ref="D667">IFERROR(INDEX(ReferenceCard, MATCH(1, (INDEX(ReferenceCard,,1)=Table1[[#This Row],[SAP No]]) * (INDEX(ReferenceCard,,2)=Table1[[#This Row],[Mould No]]), 0), 6),)</f>
        <v>PET</v>
      </c>
      <c r="E667">
        <v>324165</v>
      </c>
      <c r="F667">
        <v>0</v>
      </c>
      <c r="G667" t="str" cm="1">
        <f t="array" ref="G667">IFERROR(INDEX(ReferenceCard, MATCH(1, (INDEX(ReferenceCard,,1)=Table1[[#This Row],[SAP No]]) * (INDEX(ReferenceCard,,2)=Table1[[#This Row],[Mould No]]), 0), 3),)</f>
        <v>JJ63-0400-SH-S-WH</v>
      </c>
      <c r="H667">
        <v>0</v>
      </c>
      <c r="I667" cm="1">
        <f t="array" ref="I667">IFERROR(INDEX(ReferenceCard, MATCH(1, (INDEX(ReferenceCard,,1)=Table1[[#This Row],[SAP No]]) * (INDEX(ReferenceCard,,2)=Table1[[#This Row],[Mould No]]), 0), 4),)</f>
        <v>4</v>
      </c>
      <c r="J667" s="4" cm="1">
        <f t="array" ref="J667">IFERROR(INDEX(ReferenceCard, MATCH(1, (INDEX(ReferenceCard,,1)=Table1[[#This Row],[SAP No]]) * (INDEX(ReferenceCard,,2)=Table1[[#This Row],[Mould No]]), 0), 9),)</f>
        <v>32.56</v>
      </c>
      <c r="K667" s="4" cm="1">
        <f t="array" ref="K667">IFERROR(INDEX(ReferenceCard, MATCH(1, (INDEX(ReferenceCard,,1)=Table1[[#This Row],[SAP No]]) * (INDEX(ReferenceCard,,2)=Table1[[#This Row],[Mould No]]), 0), 7),)</f>
        <v>33</v>
      </c>
      <c r="L667">
        <v>7509</v>
      </c>
      <c r="M667">
        <v>0</v>
      </c>
      <c r="N667">
        <v>0</v>
      </c>
      <c r="O667">
        <v>0</v>
      </c>
      <c r="P667">
        <f>Table1[[#This Row],[Shot]]*Table1[[#This Row],[Cav]]</f>
        <v>30036</v>
      </c>
      <c r="Q667">
        <v>0</v>
      </c>
      <c r="R667">
        <f>(Table1[[#This Row],[Part Weight (gm)]]*Table1[[#This Row],[Finish Good]])/1000</f>
        <v>0</v>
      </c>
      <c r="S667">
        <v>0</v>
      </c>
      <c r="T667">
        <f>IF(Table1[[#This Row],[Qty Order]]="Sample","-",IF(Table1[[#This Row],[Qty Order]]="RTFN","-",Table1[[#This Row],[Qty Order]]-Table1[[#This Row],[Qty Accumulate]]))</f>
        <v>0</v>
      </c>
      <c r="U667">
        <f>((Table1[[#This Row],[Shift Output]]*Table1[[#This Row],[Part Weight (gm)]])/1000)+Table1[[#This Row],[Reject Startup (kg)]]+Table1[[#This Row],[Reject Purging (kg)]]+Table1[[#This Row],[Reject Preform (kg)]]</f>
        <v>999.18799999999999</v>
      </c>
      <c r="V667" s="37">
        <f>(Table1[[#This Row],[Gross Weight (gm)]]-Table1[[#This Row],[Part Weight (gm)]])*Table1[[#This Row],[Shift Output]]/1000</f>
        <v>-13.215839999999931</v>
      </c>
      <c r="W667" s="3">
        <v>0</v>
      </c>
      <c r="X667" s="36">
        <f>Table1[[#This Row],[Reject Startup (kg)]]/Table1[[#This Row],[Material Used]]</f>
        <v>0</v>
      </c>
      <c r="Y667" s="3">
        <v>6</v>
      </c>
      <c r="Z667" s="36">
        <f>Table1[[#This Row],[Reject Prod (kg)]]/Table1[[#This Row],[Material Used]]</f>
        <v>6.0048759592789347E-3</v>
      </c>
      <c r="AA667" s="4">
        <v>23.5859050750732</v>
      </c>
      <c r="AB667" s="5">
        <v>5.36</v>
      </c>
      <c r="AC667" s="4" cm="1">
        <f t="array" ref="AC667">IFERROR(INDEX(ReferenceCard, MATCH(1, (INDEX(ReferenceCard,,1)=Table1[[#This Row],[SAP No]]) * (INDEX(ReferenceCard,,2)=Table1[[#This Row],[Mould No]]), 0), 9),)</f>
        <v>32.56</v>
      </c>
      <c r="AD667" s="5">
        <v>0</v>
      </c>
      <c r="AE667" s="5">
        <v>0</v>
      </c>
      <c r="AF667" s="5">
        <v>0</v>
      </c>
      <c r="AG667" s="5">
        <v>0</v>
      </c>
      <c r="AH667" s="5">
        <v>6.6399999999999899</v>
      </c>
      <c r="AI667" s="5">
        <v>0</v>
      </c>
      <c r="AJ667" s="5">
        <v>0</v>
      </c>
      <c r="AL667" s="2"/>
      <c r="AM667" s="2"/>
      <c r="AN667" s="3">
        <v>0</v>
      </c>
      <c r="AO667" s="3">
        <v>8</v>
      </c>
      <c r="AP667" s="6">
        <f>((Table1[[#This Row],[Reject Startup (kg)]]+Table1[[#This Row],[Reject Prod (kg)]]+Table1[[#This Row],[Reject Purging (kg)]]+Table1[[#This Row],[Reject Preform (kg)]])/Table1[[#This Row],[Part Weight (gm)]])*1000</f>
        <v>424.24242424242425</v>
      </c>
    </row>
    <row r="668" spans="1:42" x14ac:dyDescent="0.35">
      <c r="A668" s="1">
        <v>46002</v>
      </c>
      <c r="B668">
        <v>1</v>
      </c>
      <c r="C668" t="s">
        <v>16</v>
      </c>
      <c r="D668" t="str" cm="1">
        <f t="array" ref="D668">IFERROR(INDEX(ReferenceCard, MATCH(1, (INDEX(ReferenceCard,,1)=Table1[[#This Row],[SAP No]]) * (INDEX(ReferenceCard,,2)=Table1[[#This Row],[Mould No]]), 0), 6),)</f>
        <v>PET</v>
      </c>
      <c r="E668">
        <v>323092</v>
      </c>
      <c r="F668">
        <v>0</v>
      </c>
      <c r="G668" t="str" cm="1">
        <f t="array" ref="G668">IFERROR(INDEX(ReferenceCard, MATCH(1, (INDEX(ReferenceCard,,1)=Table1[[#This Row],[SAP No]]) * (INDEX(ReferenceCard,,2)=Table1[[#This Row],[Mould No]]), 0), 3),)</f>
        <v>BX38-1000-GH-R-CL(GREEN) (ASEM)</v>
      </c>
      <c r="H668">
        <v>0</v>
      </c>
      <c r="I668" cm="1">
        <f t="array" ref="I668">IFERROR(INDEX(ReferenceCard, MATCH(1, (INDEX(ReferenceCard,,1)=Table1[[#This Row],[SAP No]]) * (INDEX(ReferenceCard,,2)=Table1[[#This Row],[Mould No]]), 0), 4),)</f>
        <v>4</v>
      </c>
      <c r="J668" s="4" cm="1">
        <f t="array" ref="J668">IFERROR(INDEX(ReferenceCard, MATCH(1, (INDEX(ReferenceCard,,1)=Table1[[#This Row],[SAP No]]) * (INDEX(ReferenceCard,,2)=Table1[[#This Row],[Mould No]]), 0), 9),)</f>
        <v>48.9</v>
      </c>
      <c r="K668" s="4" cm="1">
        <f t="array" ref="K668">IFERROR(INDEX(ReferenceCard, MATCH(1, (INDEX(ReferenceCard,,1)=Table1[[#This Row],[SAP No]]) * (INDEX(ReferenceCard,,2)=Table1[[#This Row],[Mould No]]), 0), 7),)</f>
        <v>48.9</v>
      </c>
      <c r="L668">
        <v>2052</v>
      </c>
      <c r="M668">
        <v>0</v>
      </c>
      <c r="N668">
        <v>0</v>
      </c>
      <c r="O668">
        <v>0</v>
      </c>
      <c r="P668">
        <f>Table1[[#This Row],[Shot]]*Table1[[#This Row],[Cav]]</f>
        <v>8208</v>
      </c>
      <c r="Q668">
        <v>0</v>
      </c>
      <c r="R668">
        <f>(Table1[[#This Row],[Part Weight (gm)]]*Table1[[#This Row],[Finish Good]])/1000</f>
        <v>0</v>
      </c>
      <c r="S668">
        <v>0</v>
      </c>
      <c r="T668">
        <f>IF(Table1[[#This Row],[Qty Order]]="Sample","-",IF(Table1[[#This Row],[Qty Order]]="RTFN","-",Table1[[#This Row],[Qty Order]]-Table1[[#This Row],[Qty Accumulate]]))</f>
        <v>0</v>
      </c>
      <c r="U668">
        <f>((Table1[[#This Row],[Shift Output]]*Table1[[#This Row],[Part Weight (gm)]])/1000)+Table1[[#This Row],[Reject Startup (kg)]]+Table1[[#This Row],[Reject Purging (kg)]]+Table1[[#This Row],[Reject Preform (kg)]]</f>
        <v>409.37119999999999</v>
      </c>
      <c r="V668" s="37">
        <f>(Table1[[#This Row],[Gross Weight (gm)]]-Table1[[#This Row],[Part Weight (gm)]])*Table1[[#This Row],[Shift Output]]/1000</f>
        <v>0</v>
      </c>
      <c r="W668" s="3">
        <v>0</v>
      </c>
      <c r="X668" s="36">
        <f>Table1[[#This Row],[Reject Startup (kg)]]/Table1[[#This Row],[Material Used]]</f>
        <v>0</v>
      </c>
      <c r="Y668" s="3">
        <v>1</v>
      </c>
      <c r="Z668" s="36">
        <f>Table1[[#This Row],[Reject Prod (kg)]]/Table1[[#This Row],[Material Used]]</f>
        <v>2.4427707664828402E-3</v>
      </c>
      <c r="AA668" s="4">
        <v>28.341730117797798</v>
      </c>
      <c r="AB668" s="5">
        <v>11.98</v>
      </c>
      <c r="AC668" s="4" cm="1">
        <f t="array" ref="AC668">IFERROR(INDEX(ReferenceCard, MATCH(1, (INDEX(ReferenceCard,,1)=Table1[[#This Row],[SAP No]]) * (INDEX(ReferenceCard,,2)=Table1[[#This Row],[Mould No]]), 0), 9),)</f>
        <v>48.9</v>
      </c>
      <c r="AD668" s="5">
        <v>0</v>
      </c>
      <c r="AE668" s="5">
        <v>0</v>
      </c>
      <c r="AF668" s="5">
        <v>0</v>
      </c>
      <c r="AG668" s="5">
        <v>0</v>
      </c>
      <c r="AH668" s="5">
        <v>0.02</v>
      </c>
      <c r="AI668" s="5">
        <v>0</v>
      </c>
      <c r="AJ668" s="5">
        <v>0</v>
      </c>
      <c r="AL668" s="2"/>
      <c r="AM668" s="2"/>
      <c r="AN668" s="3">
        <v>3</v>
      </c>
      <c r="AO668" s="3">
        <v>5</v>
      </c>
      <c r="AP668" s="6">
        <f>((Table1[[#This Row],[Reject Startup (kg)]]+Table1[[#This Row],[Reject Prod (kg)]]+Table1[[#This Row],[Reject Purging (kg)]]+Table1[[#This Row],[Reject Preform (kg)]])/Table1[[#This Row],[Part Weight (gm)]])*1000</f>
        <v>184.04907975460122</v>
      </c>
    </row>
    <row r="669" spans="1:42" x14ac:dyDescent="0.35">
      <c r="A669" s="1">
        <v>46002</v>
      </c>
      <c r="B669">
        <v>1</v>
      </c>
      <c r="C669" t="s">
        <v>23</v>
      </c>
      <c r="D669" t="str" cm="1">
        <f t="array" ref="D669">IFERROR(INDEX(ReferenceCard, MATCH(1, (INDEX(ReferenceCard,,1)=Table1[[#This Row],[SAP No]]) * (INDEX(ReferenceCard,,2)=Table1[[#This Row],[Mould No]]), 0), 6),)</f>
        <v>PPSB520Y</v>
      </c>
      <c r="E669">
        <v>586276</v>
      </c>
      <c r="F669">
        <v>2</v>
      </c>
      <c r="G669" t="str" cm="1">
        <f t="array" ref="G669">IFERROR(INDEX(ReferenceCard, MATCH(1, (INDEX(ReferenceCard,,1)=Table1[[#This Row],[SAP No]]) * (INDEX(ReferenceCard,,2)=Table1[[#This Row],[Mould No]]), 0), 3),)</f>
        <v>BC28-0056-D-APH-LEB-604001-MOLD2</v>
      </c>
      <c r="H669">
        <v>0</v>
      </c>
      <c r="I669" cm="1">
        <f t="array" ref="I669">IFERROR(INDEX(ReferenceCard, MATCH(1, (INDEX(ReferenceCard,,1)=Table1[[#This Row],[SAP No]]) * (INDEX(ReferenceCard,,2)=Table1[[#This Row],[Mould No]]), 0), 4),)</f>
        <v>6</v>
      </c>
      <c r="J669" s="4" cm="1">
        <f t="array" ref="J669">IFERROR(INDEX(ReferenceCard, MATCH(1, (INDEX(ReferenceCard,,1)=Table1[[#This Row],[SAP No]]) * (INDEX(ReferenceCard,,2)=Table1[[#This Row],[Mould No]]), 0), 9),)</f>
        <v>12.3</v>
      </c>
      <c r="K669" s="4" cm="1">
        <f t="array" ref="K669">IFERROR(INDEX(ReferenceCard, MATCH(1, (INDEX(ReferenceCard,,1)=Table1[[#This Row],[SAP No]]) * (INDEX(ReferenceCard,,2)=Table1[[#This Row],[Mould No]]), 0), 7),)</f>
        <v>12.3</v>
      </c>
      <c r="L669">
        <v>1693</v>
      </c>
      <c r="M669">
        <v>0</v>
      </c>
      <c r="N669">
        <v>0</v>
      </c>
      <c r="O669">
        <v>0</v>
      </c>
      <c r="P669">
        <f>Table1[[#This Row],[Shot]]*Table1[[#This Row],[Cav]]</f>
        <v>10158</v>
      </c>
      <c r="Q669">
        <v>0</v>
      </c>
      <c r="R669">
        <f>(Table1[[#This Row],[Part Weight (gm)]]*Table1[[#This Row],[Finish Good]])/1000</f>
        <v>0</v>
      </c>
      <c r="S669">
        <v>0</v>
      </c>
      <c r="T669">
        <f>IF(Table1[[#This Row],[Qty Order]]="Sample","-",IF(Table1[[#This Row],[Qty Order]]="RTFN","-",Table1[[#This Row],[Qty Order]]-Table1[[#This Row],[Qty Accumulate]]))</f>
        <v>0</v>
      </c>
      <c r="U669">
        <f>((Table1[[#This Row],[Shift Output]]*Table1[[#This Row],[Part Weight (gm)]])/1000)+Table1[[#This Row],[Reject Startup (kg)]]+Table1[[#This Row],[Reject Purging (kg)]]+Table1[[#This Row],[Reject Preform (kg)]]</f>
        <v>124.94340000000001</v>
      </c>
      <c r="V669" s="37">
        <f>(Table1[[#This Row],[Gross Weight (gm)]]-Table1[[#This Row],[Part Weight (gm)]])*Table1[[#This Row],[Shift Output]]/1000</f>
        <v>0</v>
      </c>
      <c r="W669" s="3">
        <v>0</v>
      </c>
      <c r="X669" s="36">
        <f>Table1[[#This Row],[Reject Startup (kg)]]/Table1[[#This Row],[Material Used]]</f>
        <v>0</v>
      </c>
      <c r="Y669" s="3">
        <v>1</v>
      </c>
      <c r="Z669" s="36">
        <f>Table1[[#This Row],[Reject Prod (kg)]]/Table1[[#This Row],[Material Used]]</f>
        <v>8.003624040965749E-3</v>
      </c>
      <c r="AA669" s="4">
        <v>25.5120239257812</v>
      </c>
      <c r="AB669" s="5">
        <v>12</v>
      </c>
      <c r="AC669" s="4" cm="1">
        <f t="array" ref="AC669">IFERROR(INDEX(ReferenceCard, MATCH(1, (INDEX(ReferenceCard,,1)=Table1[[#This Row],[SAP No]]) * (INDEX(ReferenceCard,,2)=Table1[[#This Row],[Mould No]]), 0), 9),)</f>
        <v>12.3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L669" s="2"/>
      <c r="AM669" s="2"/>
      <c r="AN669" s="3">
        <v>0</v>
      </c>
      <c r="AO669" s="3">
        <v>0</v>
      </c>
      <c r="AP669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670" spans="1:42" x14ac:dyDescent="0.35">
      <c r="A670" s="1">
        <v>46002</v>
      </c>
      <c r="B670">
        <v>1</v>
      </c>
      <c r="C670" t="s">
        <v>25</v>
      </c>
      <c r="D670" t="str" cm="1">
        <f t="array" ref="D670">IFERROR(INDEX(ReferenceCard, MATCH(1, (INDEX(ReferenceCard,,1)=Table1[[#This Row],[SAP No]]) * (INDEX(ReferenceCard,,2)=Table1[[#This Row],[Mould No]]), 0), 6),)</f>
        <v>PET</v>
      </c>
      <c r="E670">
        <v>323133</v>
      </c>
      <c r="F670">
        <v>0</v>
      </c>
      <c r="G670" t="str" cm="1">
        <f t="array" ref="G670">IFERROR(INDEX(ReferenceCard, MATCH(1, (INDEX(ReferenceCard,,1)=Table1[[#This Row],[SAP No]]) * (INDEX(ReferenceCard,,2)=Table1[[#This Row],[Mould No]]), 0), 3),)</f>
        <v>BX38-2000-RH-R-CL(GREEN) (ASEM)</v>
      </c>
      <c r="H670">
        <v>0</v>
      </c>
      <c r="I670" cm="1">
        <f t="array" ref="I670">IFERROR(INDEX(ReferenceCard, MATCH(1, (INDEX(ReferenceCard,,1)=Table1[[#This Row],[SAP No]]) * (INDEX(ReferenceCard,,2)=Table1[[#This Row],[Mould No]]), 0), 4),)</f>
        <v>4</v>
      </c>
      <c r="J670" s="4" cm="1">
        <f t="array" ref="J670">IFERROR(INDEX(ReferenceCard, MATCH(1, (INDEX(ReferenceCard,,1)=Table1[[#This Row],[SAP No]]) * (INDEX(ReferenceCard,,2)=Table1[[#This Row],[Mould No]]), 0), 9),)</f>
        <v>77</v>
      </c>
      <c r="K670" s="4" cm="1">
        <f t="array" ref="K670">IFERROR(INDEX(ReferenceCard, MATCH(1, (INDEX(ReferenceCard,,1)=Table1[[#This Row],[SAP No]]) * (INDEX(ReferenceCard,,2)=Table1[[#This Row],[Mould No]]), 0), 7),)</f>
        <v>77</v>
      </c>
      <c r="L670">
        <v>17</v>
      </c>
      <c r="M670">
        <v>0</v>
      </c>
      <c r="N670">
        <v>0</v>
      </c>
      <c r="O670">
        <v>0</v>
      </c>
      <c r="P670">
        <f>Table1[[#This Row],[Shot]]*Table1[[#This Row],[Cav]]</f>
        <v>68</v>
      </c>
      <c r="Q670">
        <v>0</v>
      </c>
      <c r="R670">
        <f>(Table1[[#This Row],[Part Weight (gm)]]*Table1[[#This Row],[Finish Good]])/1000</f>
        <v>0</v>
      </c>
      <c r="S670">
        <v>0</v>
      </c>
      <c r="T670">
        <f>IF(Table1[[#This Row],[Qty Order]]="Sample","-",IF(Table1[[#This Row],[Qty Order]]="RTFN","-",Table1[[#This Row],[Qty Order]]-Table1[[#This Row],[Qty Accumulate]]))</f>
        <v>0</v>
      </c>
      <c r="U670">
        <f>((Table1[[#This Row],[Shift Output]]*Table1[[#This Row],[Part Weight (gm)]])/1000)+Table1[[#This Row],[Reject Startup (kg)]]+Table1[[#This Row],[Reject Purging (kg)]]+Table1[[#This Row],[Reject Preform (kg)]]</f>
        <v>5.2359999999999998</v>
      </c>
      <c r="V670" s="37">
        <f>(Table1[[#This Row],[Gross Weight (gm)]]-Table1[[#This Row],[Part Weight (gm)]])*Table1[[#This Row],[Shift Output]]/1000</f>
        <v>0</v>
      </c>
      <c r="W670" s="3">
        <v>0</v>
      </c>
      <c r="X670" s="36">
        <f>Table1[[#This Row],[Reject Startup (kg)]]/Table1[[#This Row],[Material Used]]</f>
        <v>0</v>
      </c>
      <c r="Y670" s="3">
        <v>0</v>
      </c>
      <c r="Z670" s="36">
        <f>Table1[[#This Row],[Reject Prod (kg)]]/Table1[[#This Row],[Material Used]]</f>
        <v>0</v>
      </c>
      <c r="AA670" s="4">
        <v>0</v>
      </c>
      <c r="AB670" s="5">
        <v>0</v>
      </c>
      <c r="AC670" s="4" cm="1">
        <f t="array" ref="AC670">IFERROR(INDEX(ReferenceCard, MATCH(1, (INDEX(ReferenceCard,,1)=Table1[[#This Row],[SAP No]]) * (INDEX(ReferenceCard,,2)=Table1[[#This Row],[Mould No]]), 0), 9),)</f>
        <v>77</v>
      </c>
      <c r="AD670" s="5">
        <v>0</v>
      </c>
      <c r="AE670" s="5">
        <v>0</v>
      </c>
      <c r="AF670" s="5">
        <v>0</v>
      </c>
      <c r="AG670" s="5">
        <v>0</v>
      </c>
      <c r="AH670" s="5">
        <v>12</v>
      </c>
      <c r="AI670" s="5">
        <v>0</v>
      </c>
      <c r="AJ670" s="5">
        <v>0</v>
      </c>
      <c r="AL670" s="2"/>
      <c r="AM670" s="2"/>
      <c r="AN670" s="3">
        <v>0</v>
      </c>
      <c r="AO670" s="3">
        <v>0</v>
      </c>
      <c r="AP67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71" spans="1:42" x14ac:dyDescent="0.35">
      <c r="A671" s="1">
        <v>46002</v>
      </c>
      <c r="B671">
        <v>1</v>
      </c>
      <c r="C671" t="s">
        <v>27</v>
      </c>
      <c r="D671" t="str" cm="1">
        <f t="array" ref="D671">IFERROR(INDEX(ReferenceCard, MATCH(1, (INDEX(ReferenceCard,,1)=Table1[[#This Row],[SAP No]]) * (INDEX(ReferenceCard,,2)=Table1[[#This Row],[Mould No]]), 0), 6),)</f>
        <v>PPSB520Y</v>
      </c>
      <c r="E671">
        <v>552181</v>
      </c>
      <c r="F671">
        <v>4</v>
      </c>
      <c r="G671" t="str" cm="1">
        <f t="array" ref="G671">IFERROR(INDEX(ReferenceCard, MATCH(1, (INDEX(ReferenceCard,,1)=Table1[[#This Row],[SAP No]]) * (INDEX(ReferenceCard,,2)=Table1[[#This Row],[Mould No]]), 0), 3),)</f>
        <v>BC28-0090-D-APH-5180-3538-PP-6 NOTCHES-MOLD4</v>
      </c>
      <c r="H671">
        <v>0</v>
      </c>
      <c r="I671" cm="1">
        <f t="array" ref="I671">IFERROR(INDEX(ReferenceCard, MATCH(1, (INDEX(ReferenceCard,,1)=Table1[[#This Row],[SAP No]]) * (INDEX(ReferenceCard,,2)=Table1[[#This Row],[Mould No]]), 0), 4),)</f>
        <v>6</v>
      </c>
      <c r="J671" s="4" cm="1">
        <f t="array" ref="J671">IFERROR(INDEX(ReferenceCard, MATCH(1, (INDEX(ReferenceCard,,1)=Table1[[#This Row],[SAP No]]) * (INDEX(ReferenceCard,,2)=Table1[[#This Row],[Mould No]]), 0), 9),)</f>
        <v>18.8</v>
      </c>
      <c r="K671" s="4" cm="1">
        <f t="array" ref="K671">IFERROR(INDEX(ReferenceCard, MATCH(1, (INDEX(ReferenceCard,,1)=Table1[[#This Row],[SAP No]]) * (INDEX(ReferenceCard,,2)=Table1[[#This Row],[Mould No]]), 0), 7),)</f>
        <v>18.8</v>
      </c>
      <c r="L671">
        <v>730</v>
      </c>
      <c r="M671">
        <v>0</v>
      </c>
      <c r="N671">
        <v>0</v>
      </c>
      <c r="O671">
        <v>0</v>
      </c>
      <c r="P671">
        <f>Table1[[#This Row],[Shot]]*Table1[[#This Row],[Cav]]</f>
        <v>4380</v>
      </c>
      <c r="Q671">
        <v>0</v>
      </c>
      <c r="R671">
        <f>(Table1[[#This Row],[Part Weight (gm)]]*Table1[[#This Row],[Finish Good]])/1000</f>
        <v>0</v>
      </c>
      <c r="S671">
        <v>0</v>
      </c>
      <c r="T671">
        <f>IF(Table1[[#This Row],[Qty Order]]="Sample","-",IF(Table1[[#This Row],[Qty Order]]="RTFN","-",Table1[[#This Row],[Qty Order]]-Table1[[#This Row],[Qty Accumulate]]))</f>
        <v>0</v>
      </c>
      <c r="U671">
        <f>((Table1[[#This Row],[Shift Output]]*Table1[[#This Row],[Part Weight (gm)]])/1000)+Table1[[#This Row],[Reject Startup (kg)]]+Table1[[#This Row],[Reject Purging (kg)]]+Table1[[#This Row],[Reject Preform (kg)]]</f>
        <v>95.343999999999994</v>
      </c>
      <c r="V671" s="37">
        <f>(Table1[[#This Row],[Gross Weight (gm)]]-Table1[[#This Row],[Part Weight (gm)]])*Table1[[#This Row],[Shift Output]]/1000</f>
        <v>0</v>
      </c>
      <c r="W671" s="3">
        <v>8</v>
      </c>
      <c r="X671" s="36">
        <f>Table1[[#This Row],[Reject Startup (kg)]]/Table1[[#This Row],[Material Used]]</f>
        <v>8.3906695754321206E-2</v>
      </c>
      <c r="Y671" s="3">
        <v>0</v>
      </c>
      <c r="Z671" s="36">
        <f>Table1[[#This Row],[Reject Prod (kg)]]/Table1[[#This Row],[Material Used]]</f>
        <v>0</v>
      </c>
      <c r="AA671" s="4">
        <v>0</v>
      </c>
      <c r="AB671" s="5">
        <v>0</v>
      </c>
      <c r="AC671" s="4" cm="1">
        <f t="array" ref="AC671">IFERROR(INDEX(ReferenceCard, MATCH(1, (INDEX(ReferenceCard,,1)=Table1[[#This Row],[SAP No]]) * (INDEX(ReferenceCard,,2)=Table1[[#This Row],[Mould No]]), 0), 9),)</f>
        <v>18.8</v>
      </c>
      <c r="AD671" s="5">
        <v>0</v>
      </c>
      <c r="AE671" s="5">
        <v>0</v>
      </c>
      <c r="AF671" s="5">
        <v>0</v>
      </c>
      <c r="AG671" s="5">
        <v>0</v>
      </c>
      <c r="AH671" s="5">
        <v>12</v>
      </c>
      <c r="AI671" s="5">
        <v>0</v>
      </c>
      <c r="AJ671" s="5">
        <v>0</v>
      </c>
      <c r="AL671" s="2"/>
      <c r="AM671" s="2"/>
      <c r="AN671" s="3">
        <v>3</v>
      </c>
      <c r="AO671" s="3">
        <v>2</v>
      </c>
      <c r="AP671" s="6">
        <f>((Table1[[#This Row],[Reject Startup (kg)]]+Table1[[#This Row],[Reject Prod (kg)]]+Table1[[#This Row],[Reject Purging (kg)]]+Table1[[#This Row],[Reject Preform (kg)]])/Table1[[#This Row],[Part Weight (gm)]])*1000</f>
        <v>691.48936170212755</v>
      </c>
    </row>
    <row r="672" spans="1:42" x14ac:dyDescent="0.35">
      <c r="A672" s="1">
        <v>46001</v>
      </c>
      <c r="B672">
        <v>2</v>
      </c>
      <c r="C672" t="s">
        <v>0</v>
      </c>
      <c r="D672" t="str" cm="1">
        <f t="array" ref="D672">IFERROR(INDEX(ReferenceCard, MATCH(1, (INDEX(ReferenceCard,,1)=Table1[[#This Row],[SAP No]]) * (INDEX(ReferenceCard,,2)=Table1[[#This Row],[Mould No]]), 0), 6),)</f>
        <v>PET</v>
      </c>
      <c r="E672">
        <v>369308</v>
      </c>
      <c r="F672">
        <v>0</v>
      </c>
      <c r="G672" t="str" cm="1">
        <f t="array" ref="G672">IFERROR(INDEX(ReferenceCard, MATCH(1, (INDEX(ReferenceCard,,1)=Table1[[#This Row],[SAP No]]) * (INDEX(ReferenceCard,,2)=Table1[[#This Row],[Mould No]]), 0), 3),)</f>
        <v>BW38-0280-LS-R-RED</v>
      </c>
      <c r="H672">
        <v>0</v>
      </c>
      <c r="I672" cm="1">
        <f t="array" ref="I672">IFERROR(INDEX(ReferenceCard, MATCH(1, (INDEX(ReferenceCard,,1)=Table1[[#This Row],[SAP No]]) * (INDEX(ReferenceCard,,2)=Table1[[#This Row],[Mould No]]), 0), 4),)</f>
        <v>4</v>
      </c>
      <c r="J672" s="4" cm="1">
        <f t="array" ref="J672">IFERROR(INDEX(ReferenceCard, MATCH(1, (INDEX(ReferenceCard,,1)=Table1[[#This Row],[SAP No]]) * (INDEX(ReferenceCard,,2)=Table1[[#This Row],[Mould No]]), 0), 9),)</f>
        <v>31</v>
      </c>
      <c r="K672" s="4" cm="1">
        <f t="array" ref="K672">IFERROR(INDEX(ReferenceCard, MATCH(1, (INDEX(ReferenceCard,,1)=Table1[[#This Row],[SAP No]]) * (INDEX(ReferenceCard,,2)=Table1[[#This Row],[Mould No]]), 0), 7),)</f>
        <v>31</v>
      </c>
      <c r="L672">
        <v>1684</v>
      </c>
      <c r="M672">
        <v>0</v>
      </c>
      <c r="N672">
        <v>0</v>
      </c>
      <c r="O672">
        <v>0</v>
      </c>
      <c r="P672">
        <f>Table1[[#This Row],[Shot]]*Table1[[#This Row],[Cav]]</f>
        <v>6736</v>
      </c>
      <c r="Q672">
        <v>0</v>
      </c>
      <c r="R672">
        <f>(Table1[[#This Row],[Part Weight (gm)]]*Table1[[#This Row],[Finish Good]])/1000</f>
        <v>0</v>
      </c>
      <c r="S672">
        <v>0</v>
      </c>
      <c r="T672">
        <f>IF(Table1[[#This Row],[Qty Order]]="Sample","-",IF(Table1[[#This Row],[Qty Order]]="RTFN","-",Table1[[#This Row],[Qty Order]]-Table1[[#This Row],[Qty Accumulate]]))</f>
        <v>0</v>
      </c>
      <c r="U672">
        <f>((Table1[[#This Row],[Shift Output]]*Table1[[#This Row],[Part Weight (gm)]])/1000)+Table1[[#This Row],[Reject Startup (kg)]]+Table1[[#This Row],[Reject Purging (kg)]]+Table1[[#This Row],[Reject Preform (kg)]]</f>
        <v>208.816</v>
      </c>
      <c r="V672" s="37">
        <f>(Table1[[#This Row],[Gross Weight (gm)]]-Table1[[#This Row],[Part Weight (gm)]])*Table1[[#This Row],[Shift Output]]/1000</f>
        <v>0</v>
      </c>
      <c r="W672" s="3">
        <v>0</v>
      </c>
      <c r="X672" s="36">
        <f>Table1[[#This Row],[Reject Startup (kg)]]/Table1[[#This Row],[Material Used]]</f>
        <v>0</v>
      </c>
      <c r="Y672" s="3">
        <v>4</v>
      </c>
      <c r="Z672" s="36">
        <f>Table1[[#This Row],[Reject Prod (kg)]]/Table1[[#This Row],[Material Used]]</f>
        <v>1.9155620258983985E-2</v>
      </c>
      <c r="AA672" s="4">
        <v>26.588720321655199</v>
      </c>
      <c r="AB672" s="5">
        <v>12</v>
      </c>
      <c r="AC672" s="4" cm="1">
        <f t="array" ref="AC672">IFERROR(INDEX(ReferenceCard, MATCH(1, (INDEX(ReferenceCard,,1)=Table1[[#This Row],[SAP No]]) * (INDEX(ReferenceCard,,2)=Table1[[#This Row],[Mould No]]), 0), 9),)</f>
        <v>31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L672" s="2"/>
      <c r="AM672" s="2"/>
      <c r="AN672" s="3">
        <v>0</v>
      </c>
      <c r="AO672" s="3">
        <v>0</v>
      </c>
      <c r="AP672" s="6">
        <f>((Table1[[#This Row],[Reject Startup (kg)]]+Table1[[#This Row],[Reject Prod (kg)]]+Table1[[#This Row],[Reject Purging (kg)]]+Table1[[#This Row],[Reject Preform (kg)]])/Table1[[#This Row],[Part Weight (gm)]])*1000</f>
        <v>129.03225806451613</v>
      </c>
    </row>
    <row r="673" spans="1:42" x14ac:dyDescent="0.35">
      <c r="A673" s="1">
        <v>46001</v>
      </c>
      <c r="B673">
        <v>2</v>
      </c>
      <c r="C673" t="s">
        <v>3</v>
      </c>
      <c r="D673" t="str" cm="1">
        <f t="array" ref="D673">IFERROR(INDEX(ReferenceCard, MATCH(1, (INDEX(ReferenceCard,,1)=Table1[[#This Row],[SAP No]]) * (INDEX(ReferenceCard,,2)=Table1[[#This Row],[Mould No]]), 0), 6),)</f>
        <v>PET</v>
      </c>
      <c r="E673">
        <v>324163</v>
      </c>
      <c r="F673">
        <v>0</v>
      </c>
      <c r="G673" t="str" cm="1">
        <f t="array" ref="G673">IFERROR(INDEX(ReferenceCard, MATCH(1, (INDEX(ReferenceCard,,1)=Table1[[#This Row],[SAP No]]) * (INDEX(ReferenceCard,,2)=Table1[[#This Row],[Mould No]]), 0), 3),)</f>
        <v>BC28-0265-A-Q-CL</v>
      </c>
      <c r="H673">
        <v>0</v>
      </c>
      <c r="I673" cm="1">
        <f t="array" ref="I673">IFERROR(INDEX(ReferenceCard, MATCH(1, (INDEX(ReferenceCard,,1)=Table1[[#This Row],[SAP No]]) * (INDEX(ReferenceCard,,2)=Table1[[#This Row],[Mould No]]), 0), 4),)</f>
        <v>4</v>
      </c>
      <c r="J673" s="4" cm="1">
        <f t="array" ref="J673">IFERROR(INDEX(ReferenceCard, MATCH(1, (INDEX(ReferenceCard,,1)=Table1[[#This Row],[SAP No]]) * (INDEX(ReferenceCard,,2)=Table1[[#This Row],[Mould No]]), 0), 9),)</f>
        <v>24</v>
      </c>
      <c r="K673" s="4" cm="1">
        <f t="array" ref="K673">IFERROR(INDEX(ReferenceCard, MATCH(1, (INDEX(ReferenceCard,,1)=Table1[[#This Row],[SAP No]]) * (INDEX(ReferenceCard,,2)=Table1[[#This Row],[Mould No]]), 0), 7),)</f>
        <v>23.5</v>
      </c>
      <c r="L673">
        <v>2537</v>
      </c>
      <c r="M673">
        <v>0</v>
      </c>
      <c r="N673">
        <v>0</v>
      </c>
      <c r="O673">
        <v>0</v>
      </c>
      <c r="P673">
        <f>Table1[[#This Row],[Shot]]*Table1[[#This Row],[Cav]]</f>
        <v>10148</v>
      </c>
      <c r="Q673">
        <v>0</v>
      </c>
      <c r="R673">
        <f>(Table1[[#This Row],[Part Weight (gm)]]*Table1[[#This Row],[Finish Good]])/1000</f>
        <v>0</v>
      </c>
      <c r="S673">
        <v>0</v>
      </c>
      <c r="T673">
        <f>IF(Table1[[#This Row],[Qty Order]]="Sample","-",IF(Table1[[#This Row],[Qty Order]]="RTFN","-",Table1[[#This Row],[Qty Order]]-Table1[[#This Row],[Qty Accumulate]]))</f>
        <v>0</v>
      </c>
      <c r="U673">
        <f>((Table1[[#This Row],[Shift Output]]*Table1[[#This Row],[Part Weight (gm)]])/1000)+Table1[[#This Row],[Reject Startup (kg)]]+Table1[[#This Row],[Reject Purging (kg)]]+Table1[[#This Row],[Reject Preform (kg)]]</f>
        <v>238.47800000000001</v>
      </c>
      <c r="V673" s="37">
        <f>(Table1[[#This Row],[Gross Weight (gm)]]-Table1[[#This Row],[Part Weight (gm)]])*Table1[[#This Row],[Shift Output]]/1000</f>
        <v>5.0739999999999998</v>
      </c>
      <c r="W673" s="3">
        <v>0</v>
      </c>
      <c r="X673" s="36">
        <f>Table1[[#This Row],[Reject Startup (kg)]]/Table1[[#This Row],[Material Used]]</f>
        <v>0</v>
      </c>
      <c r="Y673" s="3">
        <v>2</v>
      </c>
      <c r="Z673" s="36">
        <f>Table1[[#This Row],[Reject Prod (kg)]]/Table1[[#This Row],[Material Used]]</f>
        <v>8.3865178339301728E-3</v>
      </c>
      <c r="AA673" s="4">
        <v>23.845806121826101</v>
      </c>
      <c r="AB673" s="5">
        <v>11.42</v>
      </c>
      <c r="AC673" s="4" cm="1">
        <f t="array" ref="AC673">IFERROR(INDEX(ReferenceCard, MATCH(1, (INDEX(ReferenceCard,,1)=Table1[[#This Row],[SAP No]]) * (INDEX(ReferenceCard,,2)=Table1[[#This Row],[Mould No]]), 0), 9),)</f>
        <v>24</v>
      </c>
      <c r="AD673" s="5">
        <v>0</v>
      </c>
      <c r="AE673" s="5">
        <v>0</v>
      </c>
      <c r="AF673" s="5">
        <v>0</v>
      </c>
      <c r="AG673" s="5">
        <v>0</v>
      </c>
      <c r="AH673" s="5">
        <v>0.57999999999999896</v>
      </c>
      <c r="AI673" s="5">
        <v>0</v>
      </c>
      <c r="AJ673" s="5">
        <v>0</v>
      </c>
      <c r="AL673" s="2"/>
      <c r="AM673" s="2"/>
      <c r="AN673" s="3">
        <v>0</v>
      </c>
      <c r="AO673" s="3">
        <v>0</v>
      </c>
      <c r="AP673" s="6">
        <f>((Table1[[#This Row],[Reject Startup (kg)]]+Table1[[#This Row],[Reject Prod (kg)]]+Table1[[#This Row],[Reject Purging (kg)]]+Table1[[#This Row],[Reject Preform (kg)]])/Table1[[#This Row],[Part Weight (gm)]])*1000</f>
        <v>85.106382978723403</v>
      </c>
    </row>
    <row r="674" spans="1:42" x14ac:dyDescent="0.35">
      <c r="A674" s="1">
        <v>46001</v>
      </c>
      <c r="B674">
        <v>2</v>
      </c>
      <c r="C674" t="s">
        <v>5</v>
      </c>
      <c r="D674" t="str" cm="1">
        <f t="array" ref="D674">IFERROR(INDEX(ReferenceCard, MATCH(1, (INDEX(ReferenceCard,,1)=Table1[[#This Row],[SAP No]]) * (INDEX(ReferenceCard,,2)=Table1[[#This Row],[Mould No]]), 0), 6),)</f>
        <v>PET</v>
      </c>
      <c r="E674">
        <v>543590</v>
      </c>
      <c r="F674">
        <v>0</v>
      </c>
      <c r="G674" t="str" cm="1">
        <f t="array" ref="G674">IFERROR(INDEX(ReferenceCard, MATCH(1, (INDEX(ReferenceCard,,1)=Table1[[#This Row],[SAP No]]) * (INDEX(ReferenceCard,,2)=Table1[[#This Row],[Mould No]]), 0), 3),)</f>
        <v>BC28-0130-R-R-AM</v>
      </c>
      <c r="H674">
        <v>0</v>
      </c>
      <c r="I674" cm="1">
        <f t="array" ref="I674">IFERROR(INDEX(ReferenceCard, MATCH(1, (INDEX(ReferenceCard,,1)=Table1[[#This Row],[SAP No]]) * (INDEX(ReferenceCard,,2)=Table1[[#This Row],[Mould No]]), 0), 4),)</f>
        <v>4</v>
      </c>
      <c r="J674" s="4" cm="1">
        <f t="array" ref="J674">IFERROR(INDEX(ReferenceCard, MATCH(1, (INDEX(ReferenceCard,,1)=Table1[[#This Row],[SAP No]]) * (INDEX(ReferenceCard,,2)=Table1[[#This Row],[Mould No]]), 0), 9),)</f>
        <v>19</v>
      </c>
      <c r="K674" s="4" cm="1">
        <f t="array" ref="K674">IFERROR(INDEX(ReferenceCard, MATCH(1, (INDEX(ReferenceCard,,1)=Table1[[#This Row],[SAP No]]) * (INDEX(ReferenceCard,,2)=Table1[[#This Row],[Mould No]]), 0), 7),)</f>
        <v>19</v>
      </c>
      <c r="L674">
        <v>1984</v>
      </c>
      <c r="M674">
        <v>0</v>
      </c>
      <c r="N674">
        <v>0</v>
      </c>
      <c r="O674">
        <v>0</v>
      </c>
      <c r="P674">
        <f>Table1[[#This Row],[Shot]]*Table1[[#This Row],[Cav]]</f>
        <v>7936</v>
      </c>
      <c r="Q674">
        <v>0</v>
      </c>
      <c r="R674">
        <f>(Table1[[#This Row],[Part Weight (gm)]]*Table1[[#This Row],[Finish Good]])/1000</f>
        <v>0</v>
      </c>
      <c r="S674">
        <v>0</v>
      </c>
      <c r="T674">
        <f>IF(Table1[[#This Row],[Qty Order]]="Sample","-",IF(Table1[[#This Row],[Qty Order]]="RTFN","-",Table1[[#This Row],[Qty Order]]-Table1[[#This Row],[Qty Accumulate]]))</f>
        <v>0</v>
      </c>
      <c r="U674">
        <f>((Table1[[#This Row],[Shift Output]]*Table1[[#This Row],[Part Weight (gm)]])/1000)+Table1[[#This Row],[Reject Startup (kg)]]+Table1[[#This Row],[Reject Purging (kg)]]+Table1[[#This Row],[Reject Preform (kg)]]</f>
        <v>150.78399999999999</v>
      </c>
      <c r="V674" s="37">
        <f>(Table1[[#This Row],[Gross Weight (gm)]]-Table1[[#This Row],[Part Weight (gm)]])*Table1[[#This Row],[Shift Output]]/1000</f>
        <v>0</v>
      </c>
      <c r="W674" s="3">
        <v>0</v>
      </c>
      <c r="X674" s="36">
        <f>Table1[[#This Row],[Reject Startup (kg)]]/Table1[[#This Row],[Material Used]]</f>
        <v>0</v>
      </c>
      <c r="Y674" s="3">
        <v>2</v>
      </c>
      <c r="Z674" s="36">
        <f>Table1[[#This Row],[Reject Prod (kg)]]/Table1[[#This Row],[Material Used]]</f>
        <v>1.3264006791171477E-2</v>
      </c>
      <c r="AA674" s="4">
        <v>22.5590915679931</v>
      </c>
      <c r="AB674" s="5">
        <v>12</v>
      </c>
      <c r="AC674" s="4" cm="1">
        <f t="array" ref="AC674">IFERROR(INDEX(ReferenceCard, MATCH(1, (INDEX(ReferenceCard,,1)=Table1[[#This Row],[SAP No]]) * (INDEX(ReferenceCard,,2)=Table1[[#This Row],[Mould No]]), 0), 9),)</f>
        <v>19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L674" s="2"/>
      <c r="AM674" s="2"/>
      <c r="AN674" s="3">
        <v>0</v>
      </c>
      <c r="AO674" s="3">
        <v>0</v>
      </c>
      <c r="AP674" s="6">
        <f>((Table1[[#This Row],[Reject Startup (kg)]]+Table1[[#This Row],[Reject Prod (kg)]]+Table1[[#This Row],[Reject Purging (kg)]]+Table1[[#This Row],[Reject Preform (kg)]])/Table1[[#This Row],[Part Weight (gm)]])*1000</f>
        <v>105.26315789473684</v>
      </c>
    </row>
    <row r="675" spans="1:42" x14ac:dyDescent="0.35">
      <c r="A675" s="1">
        <v>46001</v>
      </c>
      <c r="B675">
        <v>2</v>
      </c>
      <c r="C675" t="s">
        <v>7</v>
      </c>
      <c r="D675" t="str" cm="1">
        <f t="array" ref="D675">IFERROR(INDEX(ReferenceCard, MATCH(1, (INDEX(ReferenceCard,,1)=Table1[[#This Row],[SAP No]]) * (INDEX(ReferenceCard,,2)=Table1[[#This Row],[Mould No]]), 0), 6),)</f>
        <v>PET</v>
      </c>
      <c r="E675">
        <v>426555</v>
      </c>
      <c r="F675">
        <v>0</v>
      </c>
      <c r="G675" t="str" cm="1">
        <f t="array" ref="G675">IFERROR(INDEX(ReferenceCard, MATCH(1, (INDEX(ReferenceCard,,1)=Table1[[#This Row],[SAP No]]) * (INDEX(ReferenceCard,,2)=Table1[[#This Row],[Mould No]]), 0), 3),)</f>
        <v>BX38-0330-Z-S-CL-HW</v>
      </c>
      <c r="H675">
        <v>0</v>
      </c>
      <c r="I675" cm="1">
        <f t="array" ref="I675">IFERROR(INDEX(ReferenceCard, MATCH(1, (INDEX(ReferenceCard,,1)=Table1[[#This Row],[SAP No]]) * (INDEX(ReferenceCard,,2)=Table1[[#This Row],[Mould No]]), 0), 4),)</f>
        <v>4</v>
      </c>
      <c r="J675" s="4" cm="1">
        <f t="array" ref="J675">IFERROR(INDEX(ReferenceCard, MATCH(1, (INDEX(ReferenceCard,,1)=Table1[[#This Row],[SAP No]]) * (INDEX(ReferenceCard,,2)=Table1[[#This Row],[Mould No]]), 0), 9),)</f>
        <v>29</v>
      </c>
      <c r="K675" s="4" cm="1">
        <f t="array" ref="K675">IFERROR(INDEX(ReferenceCard, MATCH(1, (INDEX(ReferenceCard,,1)=Table1[[#This Row],[SAP No]]) * (INDEX(ReferenceCard,,2)=Table1[[#This Row],[Mould No]]), 0), 7),)</f>
        <v>29</v>
      </c>
      <c r="L675">
        <v>2401</v>
      </c>
      <c r="M675">
        <v>0</v>
      </c>
      <c r="N675">
        <v>0</v>
      </c>
      <c r="O675">
        <v>0</v>
      </c>
      <c r="P675">
        <f>Table1[[#This Row],[Shot]]*Table1[[#This Row],[Cav]]</f>
        <v>9604</v>
      </c>
      <c r="Q675">
        <v>0</v>
      </c>
      <c r="R675">
        <f>(Table1[[#This Row],[Part Weight (gm)]]*Table1[[#This Row],[Finish Good]])/1000</f>
        <v>0</v>
      </c>
      <c r="S675">
        <v>0</v>
      </c>
      <c r="T675">
        <f>IF(Table1[[#This Row],[Qty Order]]="Sample","-",IF(Table1[[#This Row],[Qty Order]]="RTFN","-",Table1[[#This Row],[Qty Order]]-Table1[[#This Row],[Qty Accumulate]]))</f>
        <v>0</v>
      </c>
      <c r="U675">
        <f>((Table1[[#This Row],[Shift Output]]*Table1[[#This Row],[Part Weight (gm)]])/1000)+Table1[[#This Row],[Reject Startup (kg)]]+Table1[[#This Row],[Reject Purging (kg)]]+Table1[[#This Row],[Reject Preform (kg)]]</f>
        <v>278.51600000000002</v>
      </c>
      <c r="V675" s="37">
        <f>(Table1[[#This Row],[Gross Weight (gm)]]-Table1[[#This Row],[Part Weight (gm)]])*Table1[[#This Row],[Shift Output]]/1000</f>
        <v>0</v>
      </c>
      <c r="W675" s="3">
        <v>0</v>
      </c>
      <c r="X675" s="36">
        <f>Table1[[#This Row],[Reject Startup (kg)]]/Table1[[#This Row],[Material Used]]</f>
        <v>0</v>
      </c>
      <c r="Y675" s="3">
        <v>4</v>
      </c>
      <c r="Z675" s="36">
        <f>Table1[[#This Row],[Reject Prod (kg)]]/Table1[[#This Row],[Material Used]]</f>
        <v>1.4361831995289318E-2</v>
      </c>
      <c r="AA675" s="4">
        <v>25.621984481811499</v>
      </c>
      <c r="AB675" s="5">
        <v>11.96</v>
      </c>
      <c r="AC675" s="4" cm="1">
        <f t="array" ref="AC675">IFERROR(INDEX(ReferenceCard, MATCH(1, (INDEX(ReferenceCard,,1)=Table1[[#This Row],[SAP No]]) * (INDEX(ReferenceCard,,2)=Table1[[#This Row],[Mould No]]), 0), 9),)</f>
        <v>29</v>
      </c>
      <c r="AD675" s="5">
        <v>0</v>
      </c>
      <c r="AE675" s="5">
        <v>0</v>
      </c>
      <c r="AF675" s="5">
        <v>0</v>
      </c>
      <c r="AG675" s="5">
        <v>0</v>
      </c>
      <c r="AH675" s="5">
        <v>0.04</v>
      </c>
      <c r="AI675" s="5">
        <v>0</v>
      </c>
      <c r="AJ675" s="5">
        <v>0</v>
      </c>
      <c r="AL675" s="2"/>
      <c r="AM675" s="2"/>
      <c r="AN675" s="3">
        <v>0</v>
      </c>
      <c r="AO675" s="3">
        <v>0</v>
      </c>
      <c r="AP675" s="6">
        <f>((Table1[[#This Row],[Reject Startup (kg)]]+Table1[[#This Row],[Reject Prod (kg)]]+Table1[[#This Row],[Reject Purging (kg)]]+Table1[[#This Row],[Reject Preform (kg)]])/Table1[[#This Row],[Part Weight (gm)]])*1000</f>
        <v>137.93103448275861</v>
      </c>
    </row>
    <row r="676" spans="1:42" x14ac:dyDescent="0.35">
      <c r="A676" s="1">
        <v>46001</v>
      </c>
      <c r="B676">
        <v>2</v>
      </c>
      <c r="C676" t="s">
        <v>9</v>
      </c>
      <c r="D676" t="str" cm="1">
        <f t="array" ref="D676">IFERROR(INDEX(ReferenceCard, MATCH(1, (INDEX(ReferenceCard,,1)=Table1[[#This Row],[SAP No]]) * (INDEX(ReferenceCard,,2)=Table1[[#This Row],[Mould No]]), 0), 6),)</f>
        <v>rPET</v>
      </c>
      <c r="E676">
        <v>593537</v>
      </c>
      <c r="F676">
        <v>0</v>
      </c>
      <c r="G676" t="str" cm="1">
        <f t="array" ref="G676">IFERROR(INDEX(ReferenceCard, MATCH(1, (INDEX(ReferenceCard,,1)=Table1[[#This Row],[SAP No]]) * (INDEX(ReferenceCard,,2)=Table1[[#This Row],[Mould No]]), 0), 3),)</f>
        <v>BX38-1000-RN-R-CL-rPET</v>
      </c>
      <c r="H676">
        <v>0</v>
      </c>
      <c r="I676" cm="1">
        <f t="array" ref="I676">IFERROR(INDEX(ReferenceCard, MATCH(1, (INDEX(ReferenceCard,,1)=Table1[[#This Row],[SAP No]]) * (INDEX(ReferenceCard,,2)=Table1[[#This Row],[Mould No]]), 0), 4),)</f>
        <v>4</v>
      </c>
      <c r="J676" s="4" cm="1">
        <f t="array" ref="J676">IFERROR(INDEX(ReferenceCard, MATCH(1, (INDEX(ReferenceCard,,1)=Table1[[#This Row],[SAP No]]) * (INDEX(ReferenceCard,,2)=Table1[[#This Row],[Mould No]]), 0), 9),)</f>
        <v>56.5</v>
      </c>
      <c r="K676" s="4" cm="1">
        <f t="array" ref="K676">IFERROR(INDEX(ReferenceCard, MATCH(1, (INDEX(ReferenceCard,,1)=Table1[[#This Row],[SAP No]]) * (INDEX(ReferenceCard,,2)=Table1[[#This Row],[Mould No]]), 0), 7),)</f>
        <v>56.8</v>
      </c>
      <c r="L676">
        <v>1573</v>
      </c>
      <c r="M676">
        <v>0</v>
      </c>
      <c r="N676">
        <v>0</v>
      </c>
      <c r="O676">
        <v>0</v>
      </c>
      <c r="P676">
        <f>Table1[[#This Row],[Shot]]*Table1[[#This Row],[Cav]]</f>
        <v>6292</v>
      </c>
      <c r="Q676">
        <v>0</v>
      </c>
      <c r="R676">
        <f>(Table1[[#This Row],[Part Weight (gm)]]*Table1[[#This Row],[Finish Good]])/1000</f>
        <v>0</v>
      </c>
      <c r="S676">
        <v>0</v>
      </c>
      <c r="T676">
        <f>IF(Table1[[#This Row],[Qty Order]]="Sample","-",IF(Table1[[#This Row],[Qty Order]]="RTFN","-",Table1[[#This Row],[Qty Order]]-Table1[[#This Row],[Qty Accumulate]]))</f>
        <v>0</v>
      </c>
      <c r="U676">
        <f>((Table1[[#This Row],[Shift Output]]*Table1[[#This Row],[Part Weight (gm)]])/1000)+Table1[[#This Row],[Reject Startup (kg)]]+Table1[[#This Row],[Reject Purging (kg)]]+Table1[[#This Row],[Reject Preform (kg)]]</f>
        <v>357.38559999999995</v>
      </c>
      <c r="V676" s="37">
        <f>(Table1[[#This Row],[Gross Weight (gm)]]-Table1[[#This Row],[Part Weight (gm)]])*Table1[[#This Row],[Shift Output]]/1000</f>
        <v>-1.8875999999999822</v>
      </c>
      <c r="W676" s="3">
        <v>0</v>
      </c>
      <c r="X676" s="36">
        <f>Table1[[#This Row],[Reject Startup (kg)]]/Table1[[#This Row],[Material Used]]</f>
        <v>0</v>
      </c>
      <c r="Y676" s="3">
        <v>3</v>
      </c>
      <c r="Z676" s="36">
        <f>Table1[[#This Row],[Reject Prod (kg)]]/Table1[[#This Row],[Material Used]]</f>
        <v>8.3942945658694711E-3</v>
      </c>
      <c r="AA676" s="4">
        <v>28.434625625610298</v>
      </c>
      <c r="AB676" s="5">
        <v>12</v>
      </c>
      <c r="AC676" s="4" cm="1">
        <f t="array" ref="AC676">IFERROR(INDEX(ReferenceCard, MATCH(1, (INDEX(ReferenceCard,,1)=Table1[[#This Row],[SAP No]]) * (INDEX(ReferenceCard,,2)=Table1[[#This Row],[Mould No]]), 0), 9),)</f>
        <v>56.5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L676" s="2"/>
      <c r="AM676" s="2"/>
      <c r="AN676" s="3">
        <v>0</v>
      </c>
      <c r="AO676" s="3">
        <v>0</v>
      </c>
      <c r="AP676" s="6">
        <f>((Table1[[#This Row],[Reject Startup (kg)]]+Table1[[#This Row],[Reject Prod (kg)]]+Table1[[#This Row],[Reject Purging (kg)]]+Table1[[#This Row],[Reject Preform (kg)]])/Table1[[#This Row],[Part Weight (gm)]])*1000</f>
        <v>52.816901408450711</v>
      </c>
    </row>
    <row r="677" spans="1:42" x14ac:dyDescent="0.35">
      <c r="A677" s="1">
        <v>46001</v>
      </c>
      <c r="B677">
        <v>2</v>
      </c>
      <c r="C677" t="s">
        <v>11</v>
      </c>
      <c r="D677" t="str" cm="1">
        <f t="array" ref="D677">IFERROR(INDEX(ReferenceCard, MATCH(1, (INDEX(ReferenceCard,,1)=Table1[[#This Row],[SAP No]]) * (INDEX(ReferenceCard,,2)=Table1[[#This Row],[Mould No]]), 0), 6),)</f>
        <v>rPET</v>
      </c>
      <c r="E677">
        <v>620994</v>
      </c>
      <c r="F677">
        <v>0</v>
      </c>
      <c r="G677" t="str" cm="1">
        <f t="array" ref="G677">IFERROR(INDEX(ReferenceCard, MATCH(1, (INDEX(ReferenceCard,,1)=Table1[[#This Row],[SAP No]]) * (INDEX(ReferenceCard,,2)=Table1[[#This Row],[Mould No]]), 0), 3),)</f>
        <v>JJ63-0400-SH-S-CL-rPET</v>
      </c>
      <c r="H677">
        <v>0</v>
      </c>
      <c r="I677" cm="1">
        <f t="array" ref="I677">IFERROR(INDEX(ReferenceCard, MATCH(1, (INDEX(ReferenceCard,,1)=Table1[[#This Row],[SAP No]]) * (INDEX(ReferenceCard,,2)=Table1[[#This Row],[Mould No]]), 0), 4),)</f>
        <v>4</v>
      </c>
      <c r="J677" s="4" cm="1">
        <f t="array" ref="J677">IFERROR(INDEX(ReferenceCard, MATCH(1, (INDEX(ReferenceCard,,1)=Table1[[#This Row],[SAP No]]) * (INDEX(ReferenceCard,,2)=Table1[[#This Row],[Mould No]]), 0), 9),)</f>
        <v>32.74</v>
      </c>
      <c r="K677" s="4" cm="1">
        <f t="array" ref="K677">IFERROR(INDEX(ReferenceCard, MATCH(1, (INDEX(ReferenceCard,,1)=Table1[[#This Row],[SAP No]]) * (INDEX(ReferenceCard,,2)=Table1[[#This Row],[Mould No]]), 0), 7),)</f>
        <v>33</v>
      </c>
      <c r="L677">
        <v>1921</v>
      </c>
      <c r="M677">
        <v>0</v>
      </c>
      <c r="N677">
        <v>0</v>
      </c>
      <c r="O677">
        <v>0</v>
      </c>
      <c r="P677">
        <f>Table1[[#This Row],[Shot]]*Table1[[#This Row],[Cav]]</f>
        <v>7684</v>
      </c>
      <c r="Q677">
        <v>0</v>
      </c>
      <c r="R677">
        <f>(Table1[[#This Row],[Part Weight (gm)]]*Table1[[#This Row],[Finish Good]])/1000</f>
        <v>0</v>
      </c>
      <c r="S677">
        <v>0</v>
      </c>
      <c r="T677">
        <f>IF(Table1[[#This Row],[Qty Order]]="Sample","-",IF(Table1[[#This Row],[Qty Order]]="RTFN","-",Table1[[#This Row],[Qty Order]]-Table1[[#This Row],[Qty Accumulate]]))</f>
        <v>0</v>
      </c>
      <c r="U677">
        <f>((Table1[[#This Row],[Shift Output]]*Table1[[#This Row],[Part Weight (gm)]])/1000)+Table1[[#This Row],[Reject Startup (kg)]]+Table1[[#This Row],[Reject Purging (kg)]]+Table1[[#This Row],[Reject Preform (kg)]]</f>
        <v>253.572</v>
      </c>
      <c r="V677" s="37">
        <f>(Table1[[#This Row],[Gross Weight (gm)]]-Table1[[#This Row],[Part Weight (gm)]])*Table1[[#This Row],[Shift Output]]/1000</f>
        <v>-1.9978399999999847</v>
      </c>
      <c r="W677" s="3">
        <v>0</v>
      </c>
      <c r="X677" s="36">
        <f>Table1[[#This Row],[Reject Startup (kg)]]/Table1[[#This Row],[Material Used]]</f>
        <v>0</v>
      </c>
      <c r="Y677" s="3">
        <v>3</v>
      </c>
      <c r="Z677" s="36">
        <f>Table1[[#This Row],[Reject Prod (kg)]]/Table1[[#This Row],[Material Used]]</f>
        <v>1.1830959254176328E-2</v>
      </c>
      <c r="AA677" s="4">
        <v>23.297285079956001</v>
      </c>
      <c r="AB677" s="5">
        <v>12</v>
      </c>
      <c r="AC677" s="4" cm="1">
        <f t="array" ref="AC677">IFERROR(INDEX(ReferenceCard, MATCH(1, (INDEX(ReferenceCard,,1)=Table1[[#This Row],[SAP No]]) * (INDEX(ReferenceCard,,2)=Table1[[#This Row],[Mould No]]), 0), 9),)</f>
        <v>32.74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L677" s="2"/>
      <c r="AM677" s="2"/>
      <c r="AN677" s="3">
        <v>0</v>
      </c>
      <c r="AO677" s="3">
        <v>0</v>
      </c>
      <c r="AP677" s="6">
        <f>((Table1[[#This Row],[Reject Startup (kg)]]+Table1[[#This Row],[Reject Prod (kg)]]+Table1[[#This Row],[Reject Purging (kg)]]+Table1[[#This Row],[Reject Preform (kg)]])/Table1[[#This Row],[Part Weight (gm)]])*1000</f>
        <v>90.909090909090907</v>
      </c>
    </row>
    <row r="678" spans="1:42" x14ac:dyDescent="0.35">
      <c r="A678" s="1">
        <v>46001</v>
      </c>
      <c r="B678">
        <v>2</v>
      </c>
      <c r="C678" t="s">
        <v>14</v>
      </c>
      <c r="D678" t="str" cm="1">
        <f t="array" ref="D678">IFERROR(INDEX(ReferenceCard, MATCH(1, (INDEX(ReferenceCard,,1)=Table1[[#This Row],[SAP No]]) * (INDEX(ReferenceCard,,2)=Table1[[#This Row],[Mould No]]), 0), 6),)</f>
        <v>PET</v>
      </c>
      <c r="E678">
        <v>324165</v>
      </c>
      <c r="F678">
        <v>0</v>
      </c>
      <c r="G678" t="str" cm="1">
        <f t="array" ref="G678">IFERROR(INDEX(ReferenceCard, MATCH(1, (INDEX(ReferenceCard,,1)=Table1[[#This Row],[SAP No]]) * (INDEX(ReferenceCard,,2)=Table1[[#This Row],[Mould No]]), 0), 3),)</f>
        <v>JJ63-0400-SH-S-WH</v>
      </c>
      <c r="H678">
        <v>0</v>
      </c>
      <c r="I678" cm="1">
        <f t="array" ref="I678">IFERROR(INDEX(ReferenceCard, MATCH(1, (INDEX(ReferenceCard,,1)=Table1[[#This Row],[SAP No]]) * (INDEX(ReferenceCard,,2)=Table1[[#This Row],[Mould No]]), 0), 4),)</f>
        <v>4</v>
      </c>
      <c r="J678" s="4" cm="1">
        <f t="array" ref="J678">IFERROR(INDEX(ReferenceCard, MATCH(1, (INDEX(ReferenceCard,,1)=Table1[[#This Row],[SAP No]]) * (INDEX(ReferenceCard,,2)=Table1[[#This Row],[Mould No]]), 0), 9),)</f>
        <v>32.56</v>
      </c>
      <c r="K678" s="4" cm="1">
        <f t="array" ref="K678">IFERROR(INDEX(ReferenceCard, MATCH(1, (INDEX(ReferenceCard,,1)=Table1[[#This Row],[SAP No]]) * (INDEX(ReferenceCard,,2)=Table1[[#This Row],[Mould No]]), 0), 7),)</f>
        <v>33</v>
      </c>
      <c r="L678">
        <v>6315</v>
      </c>
      <c r="M678">
        <v>0</v>
      </c>
      <c r="N678">
        <v>0</v>
      </c>
      <c r="O678">
        <v>0</v>
      </c>
      <c r="P678">
        <f>Table1[[#This Row],[Shot]]*Table1[[#This Row],[Cav]]</f>
        <v>25260</v>
      </c>
      <c r="Q678">
        <v>0</v>
      </c>
      <c r="R678">
        <f>(Table1[[#This Row],[Part Weight (gm)]]*Table1[[#This Row],[Finish Good]])/1000</f>
        <v>0</v>
      </c>
      <c r="S678">
        <v>0</v>
      </c>
      <c r="T678">
        <f>IF(Table1[[#This Row],[Qty Order]]="Sample","-",IF(Table1[[#This Row],[Qty Order]]="RTFN","-",Table1[[#This Row],[Qty Order]]-Table1[[#This Row],[Qty Accumulate]]))</f>
        <v>0</v>
      </c>
      <c r="U678">
        <f>((Table1[[#This Row],[Shift Output]]*Table1[[#This Row],[Part Weight (gm)]])/1000)+Table1[[#This Row],[Reject Startup (kg)]]+Table1[[#This Row],[Reject Purging (kg)]]+Table1[[#This Row],[Reject Preform (kg)]]</f>
        <v>864.58</v>
      </c>
      <c r="V678" s="37">
        <f>(Table1[[#This Row],[Gross Weight (gm)]]-Table1[[#This Row],[Part Weight (gm)]])*Table1[[#This Row],[Shift Output]]/1000</f>
        <v>-11.114399999999943</v>
      </c>
      <c r="W678" s="3">
        <v>31</v>
      </c>
      <c r="X678" s="36">
        <f>Table1[[#This Row],[Reject Startup (kg)]]/Table1[[#This Row],[Material Used]]</f>
        <v>3.5855559925050309E-2</v>
      </c>
      <c r="Y678" s="3">
        <v>14</v>
      </c>
      <c r="Z678" s="36">
        <f>Table1[[#This Row],[Reject Prod (kg)]]/Table1[[#This Row],[Material Used]]</f>
        <v>1.6192833514538849E-2</v>
      </c>
      <c r="AA678" s="4">
        <v>23.540002822875898</v>
      </c>
      <c r="AB678" s="5">
        <v>8.3800000000000008</v>
      </c>
      <c r="AC678" s="4" cm="1">
        <f t="array" ref="AC678">IFERROR(INDEX(ReferenceCard, MATCH(1, (INDEX(ReferenceCard,,1)=Table1[[#This Row],[SAP No]]) * (INDEX(ReferenceCard,,2)=Table1[[#This Row],[Mould No]]), 0), 9),)</f>
        <v>32.56</v>
      </c>
      <c r="AD678" s="5">
        <v>0</v>
      </c>
      <c r="AE678" s="5">
        <v>0</v>
      </c>
      <c r="AF678" s="5">
        <v>0</v>
      </c>
      <c r="AG678" s="5">
        <v>0</v>
      </c>
      <c r="AH678" s="5">
        <v>3.62</v>
      </c>
      <c r="AI678" s="5">
        <v>0</v>
      </c>
      <c r="AJ678" s="5">
        <v>0</v>
      </c>
      <c r="AL678" s="2"/>
      <c r="AM678" s="2"/>
      <c r="AN678" s="3">
        <v>0</v>
      </c>
      <c r="AO678" s="3">
        <v>0</v>
      </c>
      <c r="AP678" s="6">
        <f>((Table1[[#This Row],[Reject Startup (kg)]]+Table1[[#This Row],[Reject Prod (kg)]]+Table1[[#This Row],[Reject Purging (kg)]]+Table1[[#This Row],[Reject Preform (kg)]])/Table1[[#This Row],[Part Weight (gm)]])*1000</f>
        <v>1363.6363636363635</v>
      </c>
    </row>
    <row r="679" spans="1:42" x14ac:dyDescent="0.35">
      <c r="A679" s="1">
        <v>46001</v>
      </c>
      <c r="B679">
        <v>2</v>
      </c>
      <c r="C679" t="s">
        <v>16</v>
      </c>
      <c r="D679" t="str" cm="1">
        <f t="array" ref="D679">IFERROR(INDEX(ReferenceCard, MATCH(1, (INDEX(ReferenceCard,,1)=Table1[[#This Row],[SAP No]]) * (INDEX(ReferenceCard,,2)=Table1[[#This Row],[Mould No]]), 0), 6),)</f>
        <v>PET</v>
      </c>
      <c r="E679">
        <v>323092</v>
      </c>
      <c r="F679">
        <v>0</v>
      </c>
      <c r="G679" t="str" cm="1">
        <f t="array" ref="G679">IFERROR(INDEX(ReferenceCard, MATCH(1, (INDEX(ReferenceCard,,1)=Table1[[#This Row],[SAP No]]) * (INDEX(ReferenceCard,,2)=Table1[[#This Row],[Mould No]]), 0), 3),)</f>
        <v>BX38-1000-GH-R-CL(GREEN) (ASEM)</v>
      </c>
      <c r="H679">
        <v>0</v>
      </c>
      <c r="I679" cm="1">
        <f t="array" ref="I679">IFERROR(INDEX(ReferenceCard, MATCH(1, (INDEX(ReferenceCard,,1)=Table1[[#This Row],[SAP No]]) * (INDEX(ReferenceCard,,2)=Table1[[#This Row],[Mould No]]), 0), 4),)</f>
        <v>4</v>
      </c>
      <c r="J679" s="4" cm="1">
        <f t="array" ref="J679">IFERROR(INDEX(ReferenceCard, MATCH(1, (INDEX(ReferenceCard,,1)=Table1[[#This Row],[SAP No]]) * (INDEX(ReferenceCard,,2)=Table1[[#This Row],[Mould No]]), 0), 9),)</f>
        <v>48.9</v>
      </c>
      <c r="K679" s="4" cm="1">
        <f t="array" ref="K679">IFERROR(INDEX(ReferenceCard, MATCH(1, (INDEX(ReferenceCard,,1)=Table1[[#This Row],[SAP No]]) * (INDEX(ReferenceCard,,2)=Table1[[#This Row],[Mould No]]), 0), 7),)</f>
        <v>48.9</v>
      </c>
      <c r="L679">
        <v>1602</v>
      </c>
      <c r="M679">
        <v>0</v>
      </c>
      <c r="N679">
        <v>0</v>
      </c>
      <c r="O679">
        <v>0</v>
      </c>
      <c r="P679">
        <f>Table1[[#This Row],[Shot]]*Table1[[#This Row],[Cav]]</f>
        <v>6408</v>
      </c>
      <c r="Q679">
        <v>0</v>
      </c>
      <c r="R679">
        <f>(Table1[[#This Row],[Part Weight (gm)]]*Table1[[#This Row],[Finish Good]])/1000</f>
        <v>0</v>
      </c>
      <c r="S679">
        <v>0</v>
      </c>
      <c r="T679">
        <f>IF(Table1[[#This Row],[Qty Order]]="Sample","-",IF(Table1[[#This Row],[Qty Order]]="RTFN","-",Table1[[#This Row],[Qty Order]]-Table1[[#This Row],[Qty Accumulate]]))</f>
        <v>0</v>
      </c>
      <c r="U679">
        <f>((Table1[[#This Row],[Shift Output]]*Table1[[#This Row],[Part Weight (gm)]])/1000)+Table1[[#This Row],[Reject Startup (kg)]]+Table1[[#This Row],[Reject Purging (kg)]]+Table1[[#This Row],[Reject Preform (kg)]]</f>
        <v>327.35120000000001</v>
      </c>
      <c r="V679" s="37">
        <f>(Table1[[#This Row],[Gross Weight (gm)]]-Table1[[#This Row],[Part Weight (gm)]])*Table1[[#This Row],[Shift Output]]/1000</f>
        <v>0</v>
      </c>
      <c r="W679" s="3">
        <v>14</v>
      </c>
      <c r="X679" s="36">
        <f>Table1[[#This Row],[Reject Startup (kg)]]/Table1[[#This Row],[Material Used]]</f>
        <v>4.2767523076133525E-2</v>
      </c>
      <c r="Y679" s="3">
        <v>4</v>
      </c>
      <c r="Z679" s="36">
        <f>Table1[[#This Row],[Reject Prod (kg)]]/Table1[[#This Row],[Material Used]]</f>
        <v>1.221929230746672E-2</v>
      </c>
      <c r="AA679" s="4">
        <v>28.771734237670799</v>
      </c>
      <c r="AB679" s="5">
        <v>10.46</v>
      </c>
      <c r="AC679" s="4" cm="1">
        <f t="array" ref="AC679">IFERROR(INDEX(ReferenceCard, MATCH(1, (INDEX(ReferenceCard,,1)=Table1[[#This Row],[SAP No]]) * (INDEX(ReferenceCard,,2)=Table1[[#This Row],[Mould No]]), 0), 9),)</f>
        <v>48.9</v>
      </c>
      <c r="AD679" s="5">
        <v>0</v>
      </c>
      <c r="AE679" s="5">
        <v>0</v>
      </c>
      <c r="AF679" s="5">
        <v>0.63</v>
      </c>
      <c r="AG679" s="5">
        <v>0</v>
      </c>
      <c r="AH679" s="5">
        <v>0.91</v>
      </c>
      <c r="AI679" s="5">
        <v>0</v>
      </c>
      <c r="AJ679" s="5">
        <v>0</v>
      </c>
      <c r="AK679" t="s">
        <v>157</v>
      </c>
      <c r="AL679" s="2" t="s">
        <v>158</v>
      </c>
      <c r="AM679" s="2"/>
      <c r="AN679" s="3"/>
      <c r="AO679" s="3">
        <v>0</v>
      </c>
      <c r="AP679" s="6">
        <f>((Table1[[#This Row],[Reject Startup (kg)]]+Table1[[#This Row],[Reject Prod (kg)]]+Table1[[#This Row],[Reject Purging (kg)]]+Table1[[#This Row],[Reject Preform (kg)]])/Table1[[#This Row],[Part Weight (gm)]])*1000</f>
        <v>368.09815950920245</v>
      </c>
    </row>
    <row r="680" spans="1:42" x14ac:dyDescent="0.35">
      <c r="A680" s="1">
        <v>46001</v>
      </c>
      <c r="B680">
        <v>2</v>
      </c>
      <c r="C680" t="s">
        <v>23</v>
      </c>
      <c r="D680" t="str" cm="1">
        <f t="array" ref="D680">IFERROR(INDEX(ReferenceCard, MATCH(1, (INDEX(ReferenceCard,,1)=Table1[[#This Row],[SAP No]]) * (INDEX(ReferenceCard,,2)=Table1[[#This Row],[Mould No]]), 0), 6),)</f>
        <v>PPSB520Y</v>
      </c>
      <c r="E680">
        <v>586276</v>
      </c>
      <c r="F680">
        <v>2</v>
      </c>
      <c r="G680" t="str" cm="1">
        <f t="array" ref="G680">IFERROR(INDEX(ReferenceCard, MATCH(1, (INDEX(ReferenceCard,,1)=Table1[[#This Row],[SAP No]]) * (INDEX(ReferenceCard,,2)=Table1[[#This Row],[Mould No]]), 0), 3),)</f>
        <v>BC28-0056-D-APH-LEB-604001-MOLD2</v>
      </c>
      <c r="H680">
        <v>0</v>
      </c>
      <c r="I680" cm="1">
        <f t="array" ref="I680">IFERROR(INDEX(ReferenceCard, MATCH(1, (INDEX(ReferenceCard,,1)=Table1[[#This Row],[SAP No]]) * (INDEX(ReferenceCard,,2)=Table1[[#This Row],[Mould No]]), 0), 4),)</f>
        <v>6</v>
      </c>
      <c r="J680" s="4" cm="1">
        <f t="array" ref="J680">IFERROR(INDEX(ReferenceCard, MATCH(1, (INDEX(ReferenceCard,,1)=Table1[[#This Row],[SAP No]]) * (INDEX(ReferenceCard,,2)=Table1[[#This Row],[Mould No]]), 0), 9),)</f>
        <v>12.3</v>
      </c>
      <c r="K680" s="4" cm="1">
        <f t="array" ref="K680">IFERROR(INDEX(ReferenceCard, MATCH(1, (INDEX(ReferenceCard,,1)=Table1[[#This Row],[SAP No]]) * (INDEX(ReferenceCard,,2)=Table1[[#This Row],[Mould No]]), 0), 7),)</f>
        <v>12.3</v>
      </c>
      <c r="L680">
        <v>4004</v>
      </c>
      <c r="M680">
        <v>0</v>
      </c>
      <c r="N680">
        <v>0</v>
      </c>
      <c r="O680">
        <v>0</v>
      </c>
      <c r="P680">
        <f>Table1[[#This Row],[Shot]]*Table1[[#This Row],[Cav]]</f>
        <v>24024</v>
      </c>
      <c r="Q680">
        <v>0</v>
      </c>
      <c r="R680">
        <f>(Table1[[#This Row],[Part Weight (gm)]]*Table1[[#This Row],[Finish Good]])/1000</f>
        <v>0</v>
      </c>
      <c r="S680">
        <v>0</v>
      </c>
      <c r="T680">
        <f>IF(Table1[[#This Row],[Qty Order]]="Sample","-",IF(Table1[[#This Row],[Qty Order]]="RTFN","-",Table1[[#This Row],[Qty Order]]-Table1[[#This Row],[Qty Accumulate]]))</f>
        <v>0</v>
      </c>
      <c r="U680">
        <f>((Table1[[#This Row],[Shift Output]]*Table1[[#This Row],[Part Weight (gm)]])/1000)+Table1[[#This Row],[Reject Startup (kg)]]+Table1[[#This Row],[Reject Purging (kg)]]+Table1[[#This Row],[Reject Preform (kg)]]</f>
        <v>295.49520000000001</v>
      </c>
      <c r="V680" s="37">
        <f>(Table1[[#This Row],[Gross Weight (gm)]]-Table1[[#This Row],[Part Weight (gm)]])*Table1[[#This Row],[Shift Output]]/1000</f>
        <v>0</v>
      </c>
      <c r="W680" s="3">
        <v>0</v>
      </c>
      <c r="X680" s="36">
        <f>Table1[[#This Row],[Reject Startup (kg)]]/Table1[[#This Row],[Material Used]]</f>
        <v>0</v>
      </c>
      <c r="Y680" s="3">
        <v>3</v>
      </c>
      <c r="Z680" s="36">
        <f>Table1[[#This Row],[Reject Prod (kg)]]/Table1[[#This Row],[Material Used]]</f>
        <v>1.0152449176839421E-2</v>
      </c>
      <c r="AA680" s="4">
        <v>25.57958984375</v>
      </c>
      <c r="AB680" s="5">
        <v>11.98</v>
      </c>
      <c r="AC680" s="4" cm="1">
        <f t="array" ref="AC680">IFERROR(INDEX(ReferenceCard, MATCH(1, (INDEX(ReferenceCard,,1)=Table1[[#This Row],[SAP No]]) * (INDEX(ReferenceCard,,2)=Table1[[#This Row],[Mould No]]), 0), 9),)</f>
        <v>12.3</v>
      </c>
      <c r="AD680" s="5">
        <v>0</v>
      </c>
      <c r="AE680" s="5">
        <v>0</v>
      </c>
      <c r="AF680" s="5">
        <v>0</v>
      </c>
      <c r="AG680" s="5">
        <v>0</v>
      </c>
      <c r="AH680" s="5">
        <v>0.02</v>
      </c>
      <c r="AI680" s="5">
        <v>0</v>
      </c>
      <c r="AJ680" s="5">
        <v>0</v>
      </c>
      <c r="AL680" s="2"/>
      <c r="AM680" s="2"/>
      <c r="AN680" s="3">
        <v>0</v>
      </c>
      <c r="AO680" s="3">
        <v>0</v>
      </c>
      <c r="AP680" s="6">
        <f>((Table1[[#This Row],[Reject Startup (kg)]]+Table1[[#This Row],[Reject Prod (kg)]]+Table1[[#This Row],[Reject Purging (kg)]]+Table1[[#This Row],[Reject Preform (kg)]])/Table1[[#This Row],[Part Weight (gm)]])*1000</f>
        <v>243.90243902439025</v>
      </c>
    </row>
    <row r="681" spans="1:42" x14ac:dyDescent="0.35">
      <c r="A681" s="1">
        <v>46001</v>
      </c>
      <c r="B681">
        <v>2</v>
      </c>
      <c r="C681" t="s">
        <v>25</v>
      </c>
      <c r="D681" t="str" cm="1">
        <f t="array" ref="D681">IFERROR(INDEX(ReferenceCard, MATCH(1, (INDEX(ReferenceCard,,1)=Table1[[#This Row],[SAP No]]) * (INDEX(ReferenceCard,,2)=Table1[[#This Row],[Mould No]]), 0), 6),)</f>
        <v>PET</v>
      </c>
      <c r="E681">
        <v>323133</v>
      </c>
      <c r="F681">
        <v>0</v>
      </c>
      <c r="G681" t="str" cm="1">
        <f t="array" ref="G681">IFERROR(INDEX(ReferenceCard, MATCH(1, (INDEX(ReferenceCard,,1)=Table1[[#This Row],[SAP No]]) * (INDEX(ReferenceCard,,2)=Table1[[#This Row],[Mould No]]), 0), 3),)</f>
        <v>BX38-2000-RH-R-CL(GREEN) (ASEM)</v>
      </c>
      <c r="H681">
        <v>0</v>
      </c>
      <c r="I681" cm="1">
        <f t="array" ref="I681">IFERROR(INDEX(ReferenceCard, MATCH(1, (INDEX(ReferenceCard,,1)=Table1[[#This Row],[SAP No]]) * (INDEX(ReferenceCard,,2)=Table1[[#This Row],[Mould No]]), 0), 4),)</f>
        <v>4</v>
      </c>
      <c r="J681" s="4" cm="1">
        <f t="array" ref="J681">IFERROR(INDEX(ReferenceCard, MATCH(1, (INDEX(ReferenceCard,,1)=Table1[[#This Row],[SAP No]]) * (INDEX(ReferenceCard,,2)=Table1[[#This Row],[Mould No]]), 0), 9),)</f>
        <v>77</v>
      </c>
      <c r="K681" s="4" cm="1">
        <f t="array" ref="K681">IFERROR(INDEX(ReferenceCard, MATCH(1, (INDEX(ReferenceCard,,1)=Table1[[#This Row],[SAP No]]) * (INDEX(ReferenceCard,,2)=Table1[[#This Row],[Mould No]]), 0), 7),)</f>
        <v>77</v>
      </c>
      <c r="L681">
        <v>1342</v>
      </c>
      <c r="M681">
        <v>0</v>
      </c>
      <c r="N681">
        <v>0</v>
      </c>
      <c r="O681">
        <v>0</v>
      </c>
      <c r="P681">
        <f>Table1[[#This Row],[Shot]]*Table1[[#This Row],[Cav]]</f>
        <v>5368</v>
      </c>
      <c r="Q681">
        <v>0</v>
      </c>
      <c r="R681">
        <f>(Table1[[#This Row],[Part Weight (gm)]]*Table1[[#This Row],[Finish Good]])/1000</f>
        <v>0</v>
      </c>
      <c r="S681">
        <v>0</v>
      </c>
      <c r="T681">
        <f>IF(Table1[[#This Row],[Qty Order]]="Sample","-",IF(Table1[[#This Row],[Qty Order]]="RTFN","-",Table1[[#This Row],[Qty Order]]-Table1[[#This Row],[Qty Accumulate]]))</f>
        <v>0</v>
      </c>
      <c r="U681">
        <f>((Table1[[#This Row],[Shift Output]]*Table1[[#This Row],[Part Weight (gm)]])/1000)+Table1[[#This Row],[Reject Startup (kg)]]+Table1[[#This Row],[Reject Purging (kg)]]+Table1[[#This Row],[Reject Preform (kg)]]</f>
        <v>413.33600000000001</v>
      </c>
      <c r="V681" s="37">
        <f>(Table1[[#This Row],[Gross Weight (gm)]]-Table1[[#This Row],[Part Weight (gm)]])*Table1[[#This Row],[Shift Output]]/1000</f>
        <v>0</v>
      </c>
      <c r="W681" s="3">
        <v>0</v>
      </c>
      <c r="X681" s="36">
        <f>Table1[[#This Row],[Reject Startup (kg)]]/Table1[[#This Row],[Material Used]]</f>
        <v>0</v>
      </c>
      <c r="Y681" s="3">
        <v>1</v>
      </c>
      <c r="Z681" s="36">
        <f>Table1[[#This Row],[Reject Prod (kg)]]/Table1[[#This Row],[Material Used]]</f>
        <v>2.4193392300694834E-3</v>
      </c>
      <c r="AA681" s="4">
        <v>26.674907684326101</v>
      </c>
      <c r="AB681" s="5">
        <v>4.75999999999999</v>
      </c>
      <c r="AC681" s="4" cm="1">
        <f t="array" ref="AC681">IFERROR(INDEX(ReferenceCard, MATCH(1, (INDEX(ReferenceCard,,1)=Table1[[#This Row],[SAP No]]) * (INDEX(ReferenceCard,,2)=Table1[[#This Row],[Mould No]]), 0), 9),)</f>
        <v>77</v>
      </c>
      <c r="AD681" s="5">
        <v>0</v>
      </c>
      <c r="AE681" s="5">
        <v>0</v>
      </c>
      <c r="AF681" s="5">
        <v>0</v>
      </c>
      <c r="AG681" s="5">
        <v>0</v>
      </c>
      <c r="AH681" s="5">
        <v>7.24</v>
      </c>
      <c r="AI681" s="5">
        <v>0</v>
      </c>
      <c r="AJ681" s="5">
        <v>0</v>
      </c>
      <c r="AL681" s="2"/>
      <c r="AM681" s="2"/>
      <c r="AN681" s="3">
        <v>0</v>
      </c>
      <c r="AO681" s="3">
        <v>0</v>
      </c>
      <c r="AP681" s="6">
        <f>((Table1[[#This Row],[Reject Startup (kg)]]+Table1[[#This Row],[Reject Prod (kg)]]+Table1[[#This Row],[Reject Purging (kg)]]+Table1[[#This Row],[Reject Preform (kg)]])/Table1[[#This Row],[Part Weight (gm)]])*1000</f>
        <v>12.987012987012989</v>
      </c>
    </row>
    <row r="682" spans="1:42" x14ac:dyDescent="0.35">
      <c r="A682" s="1">
        <v>46001</v>
      </c>
      <c r="B682">
        <v>2</v>
      </c>
      <c r="C682" t="s">
        <v>27</v>
      </c>
      <c r="D682" t="str" cm="1">
        <f t="array" ref="D682">IFERROR(INDEX(ReferenceCard, MATCH(1, (INDEX(ReferenceCard,,1)=Table1[[#This Row],[SAP No]]) * (INDEX(ReferenceCard,,2)=Table1[[#This Row],[Mould No]]), 0), 6),)</f>
        <v>PPSB520Y</v>
      </c>
      <c r="E682">
        <v>552181</v>
      </c>
      <c r="F682">
        <v>4</v>
      </c>
      <c r="G682" t="str" cm="1">
        <f t="array" ref="G682">IFERROR(INDEX(ReferenceCard, MATCH(1, (INDEX(ReferenceCard,,1)=Table1[[#This Row],[SAP No]]) * (INDEX(ReferenceCard,,2)=Table1[[#This Row],[Mould No]]), 0), 3),)</f>
        <v>BC28-0090-D-APH-5180-3538-PP-6 NOTCHES-MOLD4</v>
      </c>
      <c r="H682">
        <v>0</v>
      </c>
      <c r="I682" cm="1">
        <f t="array" ref="I682">IFERROR(INDEX(ReferenceCard, MATCH(1, (INDEX(ReferenceCard,,1)=Table1[[#This Row],[SAP No]]) * (INDEX(ReferenceCard,,2)=Table1[[#This Row],[Mould No]]), 0), 4),)</f>
        <v>6</v>
      </c>
      <c r="J682" s="4" cm="1">
        <f t="array" ref="J682">IFERROR(INDEX(ReferenceCard, MATCH(1, (INDEX(ReferenceCard,,1)=Table1[[#This Row],[SAP No]]) * (INDEX(ReferenceCard,,2)=Table1[[#This Row],[Mould No]]), 0), 9),)</f>
        <v>18.8</v>
      </c>
      <c r="K682" s="4" cm="1">
        <f t="array" ref="K682">IFERROR(INDEX(ReferenceCard, MATCH(1, (INDEX(ReferenceCard,,1)=Table1[[#This Row],[SAP No]]) * (INDEX(ReferenceCard,,2)=Table1[[#This Row],[Mould No]]), 0), 7),)</f>
        <v>18.8</v>
      </c>
      <c r="L682">
        <v>468</v>
      </c>
      <c r="M682">
        <v>0</v>
      </c>
      <c r="N682">
        <v>0</v>
      </c>
      <c r="O682">
        <v>0</v>
      </c>
      <c r="P682">
        <f>Table1[[#This Row],[Shot]]*Table1[[#This Row],[Cav]]</f>
        <v>2808</v>
      </c>
      <c r="Q682">
        <v>0</v>
      </c>
      <c r="R682">
        <f>(Table1[[#This Row],[Part Weight (gm)]]*Table1[[#This Row],[Finish Good]])/1000</f>
        <v>0</v>
      </c>
      <c r="S682">
        <v>0</v>
      </c>
      <c r="T682">
        <f>IF(Table1[[#This Row],[Qty Order]]="Sample","-",IF(Table1[[#This Row],[Qty Order]]="RTFN","-",Table1[[#This Row],[Qty Order]]-Table1[[#This Row],[Qty Accumulate]]))</f>
        <v>0</v>
      </c>
      <c r="U682">
        <f>((Table1[[#This Row],[Shift Output]]*Table1[[#This Row],[Part Weight (gm)]])/1000)+Table1[[#This Row],[Reject Startup (kg)]]+Table1[[#This Row],[Reject Purging (kg)]]+Table1[[#This Row],[Reject Preform (kg)]]</f>
        <v>79.790400000000005</v>
      </c>
      <c r="V682" s="37">
        <f>(Table1[[#This Row],[Gross Weight (gm)]]-Table1[[#This Row],[Part Weight (gm)]])*Table1[[#This Row],[Shift Output]]/1000</f>
        <v>0</v>
      </c>
      <c r="W682" s="3">
        <v>27</v>
      </c>
      <c r="X682" s="36">
        <f>Table1[[#This Row],[Reject Startup (kg)]]/Table1[[#This Row],[Material Used]]</f>
        <v>0.33838657282079043</v>
      </c>
      <c r="Y682" s="3">
        <v>0</v>
      </c>
      <c r="Z682" s="36">
        <f>Table1[[#This Row],[Reject Prod (kg)]]/Table1[[#This Row],[Material Used]]</f>
        <v>0</v>
      </c>
      <c r="AA682" s="4">
        <v>0</v>
      </c>
      <c r="AB682" s="5">
        <v>0.42999999999999899</v>
      </c>
      <c r="AC682" s="4" cm="1">
        <f t="array" ref="AC682">IFERROR(INDEX(ReferenceCard, MATCH(1, (INDEX(ReferenceCard,,1)=Table1[[#This Row],[SAP No]]) * (INDEX(ReferenceCard,,2)=Table1[[#This Row],[Mould No]]), 0), 9),)</f>
        <v>18.8</v>
      </c>
      <c r="AD682" s="5">
        <v>0</v>
      </c>
      <c r="AE682" s="5">
        <v>0</v>
      </c>
      <c r="AF682" s="5">
        <v>0</v>
      </c>
      <c r="AG682" s="5">
        <v>0</v>
      </c>
      <c r="AH682" s="5">
        <v>11.57</v>
      </c>
      <c r="AI682" s="5">
        <v>0</v>
      </c>
      <c r="AJ682" s="5">
        <v>0</v>
      </c>
      <c r="AL682" s="2"/>
      <c r="AM682" s="2"/>
      <c r="AN682" s="3">
        <v>0</v>
      </c>
      <c r="AO682" s="3">
        <v>0</v>
      </c>
      <c r="AP682" s="6">
        <f>((Table1[[#This Row],[Reject Startup (kg)]]+Table1[[#This Row],[Reject Prod (kg)]]+Table1[[#This Row],[Reject Purging (kg)]]+Table1[[#This Row],[Reject Preform (kg)]])/Table1[[#This Row],[Part Weight (gm)]])*1000</f>
        <v>1436.1702127659576</v>
      </c>
    </row>
    <row r="683" spans="1:42" x14ac:dyDescent="0.35">
      <c r="A683" s="1">
        <v>46001</v>
      </c>
      <c r="B683">
        <v>2</v>
      </c>
      <c r="C683" t="s">
        <v>29</v>
      </c>
      <c r="D683" t="str" cm="1">
        <f t="array" ref="D683">IFERROR(INDEX(ReferenceCard, MATCH(1, (INDEX(ReferenceCard,,1)=Table1[[#This Row],[SAP No]]) * (INDEX(ReferenceCard,,2)=Table1[[#This Row],[Mould No]]), 0), 6),)</f>
        <v>PET</v>
      </c>
      <c r="E683">
        <v>620599</v>
      </c>
      <c r="F683">
        <v>0</v>
      </c>
      <c r="G683" t="str" cm="1">
        <f t="array" ref="G683">IFERROR(INDEX(ReferenceCard, MATCH(1, (INDEX(ReferenceCard,,1)=Table1[[#This Row],[SAP No]]) * (INDEX(ReferenceCard,,2)=Table1[[#This Row],[Mould No]]), 0), 3),)</f>
        <v>BC28-0750-K4-R-CL (55g)</v>
      </c>
      <c r="H683">
        <v>0</v>
      </c>
      <c r="I683" cm="1">
        <f t="array" ref="I683">IFERROR(INDEX(ReferenceCard, MATCH(1, (INDEX(ReferenceCard,,1)=Table1[[#This Row],[SAP No]]) * (INDEX(ReferenceCard,,2)=Table1[[#This Row],[Mould No]]), 0), 4),)</f>
        <v>4</v>
      </c>
      <c r="J683" s="4" cm="1">
        <f t="array" ref="J683">IFERROR(INDEX(ReferenceCard, MATCH(1, (INDEX(ReferenceCard,,1)=Table1[[#This Row],[SAP No]]) * (INDEX(ReferenceCard,,2)=Table1[[#This Row],[Mould No]]), 0), 9),)</f>
        <v>55</v>
      </c>
      <c r="K683" s="4" cm="1">
        <f t="array" ref="K683">IFERROR(INDEX(ReferenceCard, MATCH(1, (INDEX(ReferenceCard,,1)=Table1[[#This Row],[SAP No]]) * (INDEX(ReferenceCard,,2)=Table1[[#This Row],[Mould No]]), 0), 7),)</f>
        <v>55</v>
      </c>
      <c r="L683">
        <v>1565</v>
      </c>
      <c r="M683">
        <v>0</v>
      </c>
      <c r="N683">
        <v>0</v>
      </c>
      <c r="O683">
        <v>0</v>
      </c>
      <c r="P683">
        <f>Table1[[#This Row],[Shot]]*Table1[[#This Row],[Cav]]</f>
        <v>6260</v>
      </c>
      <c r="Q683">
        <v>0</v>
      </c>
      <c r="R683">
        <f>(Table1[[#This Row],[Part Weight (gm)]]*Table1[[#This Row],[Finish Good]])/1000</f>
        <v>0</v>
      </c>
      <c r="S683">
        <v>0</v>
      </c>
      <c r="T683">
        <f>IF(Table1[[#This Row],[Qty Order]]="Sample","-",IF(Table1[[#This Row],[Qty Order]]="RTFN","-",Table1[[#This Row],[Qty Order]]-Table1[[#This Row],[Qty Accumulate]]))</f>
        <v>0</v>
      </c>
      <c r="U683">
        <f>((Table1[[#This Row],[Shift Output]]*Table1[[#This Row],[Part Weight (gm)]])/1000)+Table1[[#This Row],[Reject Startup (kg)]]+Table1[[#This Row],[Reject Purging (kg)]]+Table1[[#This Row],[Reject Preform (kg)]]</f>
        <v>344.3</v>
      </c>
      <c r="V683" s="37">
        <f>(Table1[[#This Row],[Gross Weight (gm)]]-Table1[[#This Row],[Part Weight (gm)]])*Table1[[#This Row],[Shift Output]]/1000</f>
        <v>0</v>
      </c>
      <c r="W683" s="3">
        <v>0</v>
      </c>
      <c r="X683" s="36">
        <f>Table1[[#This Row],[Reject Startup (kg)]]/Table1[[#This Row],[Material Used]]</f>
        <v>0</v>
      </c>
      <c r="Y683" s="3">
        <v>4</v>
      </c>
      <c r="Z683" s="36">
        <f>Table1[[#This Row],[Reject Prod (kg)]]/Table1[[#This Row],[Material Used]]</f>
        <v>1.1617775196049956E-2</v>
      </c>
      <c r="AA683" s="4">
        <v>28.5699138641357</v>
      </c>
      <c r="AB683" s="5">
        <v>12</v>
      </c>
      <c r="AC683" s="4" cm="1">
        <f t="array" ref="AC683">IFERROR(INDEX(ReferenceCard, MATCH(1, (INDEX(ReferenceCard,,1)=Table1[[#This Row],[SAP No]]) * (INDEX(ReferenceCard,,2)=Table1[[#This Row],[Mould No]]), 0), 9),)</f>
        <v>55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L683" s="2"/>
      <c r="AM683" s="2"/>
      <c r="AN683" s="3">
        <v>0</v>
      </c>
      <c r="AO683" s="3">
        <v>0</v>
      </c>
      <c r="AP683" s="6">
        <f>((Table1[[#This Row],[Reject Startup (kg)]]+Table1[[#This Row],[Reject Prod (kg)]]+Table1[[#This Row],[Reject Purging (kg)]]+Table1[[#This Row],[Reject Preform (kg)]])/Table1[[#This Row],[Part Weight (gm)]])*1000</f>
        <v>72.72727272727272</v>
      </c>
    </row>
    <row r="684" spans="1:42" x14ac:dyDescent="0.35">
      <c r="A684" s="1">
        <v>46001</v>
      </c>
      <c r="B684">
        <v>2</v>
      </c>
      <c r="C684" t="s">
        <v>31</v>
      </c>
      <c r="D684" t="str" cm="1">
        <f t="array" ref="D684">IFERROR(INDEX(ReferenceCard, MATCH(1, (INDEX(ReferenceCard,,1)=Table1[[#This Row],[SAP No]]) * (INDEX(ReferenceCard,,2)=Table1[[#This Row],[Mould No]]), 0), 6),)</f>
        <v>PPSB520Y</v>
      </c>
      <c r="E684">
        <v>586276</v>
      </c>
      <c r="F684">
        <v>4</v>
      </c>
      <c r="G684" t="str" cm="1">
        <f t="array" ref="G684">IFERROR(INDEX(ReferenceCard, MATCH(1, (INDEX(ReferenceCard,,1)=Table1[[#This Row],[SAP No]]) * (INDEX(ReferenceCard,,2)=Table1[[#This Row],[Mould No]]), 0), 3),)</f>
        <v>BC28-0056-D-APH-LEB-604001-MOLD4</v>
      </c>
      <c r="H684">
        <v>0</v>
      </c>
      <c r="I684" cm="1">
        <f t="array" ref="I684">IFERROR(INDEX(ReferenceCard, MATCH(1, (INDEX(ReferenceCard,,1)=Table1[[#This Row],[SAP No]]) * (INDEX(ReferenceCard,,2)=Table1[[#This Row],[Mould No]]), 0), 4),)</f>
        <v>6</v>
      </c>
      <c r="J684" s="4" cm="1">
        <f t="array" ref="J684">IFERROR(INDEX(ReferenceCard, MATCH(1, (INDEX(ReferenceCard,,1)=Table1[[#This Row],[SAP No]]) * (INDEX(ReferenceCard,,2)=Table1[[#This Row],[Mould No]]), 0), 9),)</f>
        <v>12.3</v>
      </c>
      <c r="K684" s="4" cm="1">
        <f t="array" ref="K684">IFERROR(INDEX(ReferenceCard, MATCH(1, (INDEX(ReferenceCard,,1)=Table1[[#This Row],[SAP No]]) * (INDEX(ReferenceCard,,2)=Table1[[#This Row],[Mould No]]), 0), 7),)</f>
        <v>12.3</v>
      </c>
      <c r="L684">
        <v>3331</v>
      </c>
      <c r="M684">
        <v>0</v>
      </c>
      <c r="N684">
        <v>0</v>
      </c>
      <c r="O684">
        <v>0</v>
      </c>
      <c r="P684">
        <f>Table1[[#This Row],[Shot]]*Table1[[#This Row],[Cav]]</f>
        <v>19986</v>
      </c>
      <c r="Q684">
        <v>0</v>
      </c>
      <c r="R684">
        <f>(Table1[[#This Row],[Part Weight (gm)]]*Table1[[#This Row],[Finish Good]])/1000</f>
        <v>0</v>
      </c>
      <c r="S684">
        <v>0</v>
      </c>
      <c r="T684">
        <f>IF(Table1[[#This Row],[Qty Order]]="Sample","-",IF(Table1[[#This Row],[Qty Order]]="RTFN","-",Table1[[#This Row],[Qty Order]]-Table1[[#This Row],[Qty Accumulate]]))</f>
        <v>0</v>
      </c>
      <c r="U684">
        <f>((Table1[[#This Row],[Shift Output]]*Table1[[#This Row],[Part Weight (gm)]])/1000)+Table1[[#This Row],[Reject Startup (kg)]]+Table1[[#This Row],[Reject Purging (kg)]]+Table1[[#This Row],[Reject Preform (kg)]]</f>
        <v>250.82780000000002</v>
      </c>
      <c r="V684" s="37">
        <f>(Table1[[#This Row],[Gross Weight (gm)]]-Table1[[#This Row],[Part Weight (gm)]])*Table1[[#This Row],[Shift Output]]/1000</f>
        <v>0</v>
      </c>
      <c r="W684" s="3">
        <v>5</v>
      </c>
      <c r="X684" s="36">
        <f>Table1[[#This Row],[Reject Startup (kg)]]/Table1[[#This Row],[Material Used]]</f>
        <v>1.9933994557222123E-2</v>
      </c>
      <c r="Y684" s="3">
        <v>0</v>
      </c>
      <c r="Z684" s="36">
        <f>Table1[[#This Row],[Reject Prod (kg)]]/Table1[[#This Row],[Material Used]]</f>
        <v>0</v>
      </c>
      <c r="AA684" s="4">
        <v>32.692138671875</v>
      </c>
      <c r="AB684" s="5">
        <v>8.49</v>
      </c>
      <c r="AC684" s="4" cm="1">
        <f t="array" ref="AC684">IFERROR(INDEX(ReferenceCard, MATCH(1, (INDEX(ReferenceCard,,1)=Table1[[#This Row],[SAP No]]) * (INDEX(ReferenceCard,,2)=Table1[[#This Row],[Mould No]]), 0), 9),)</f>
        <v>12.3</v>
      </c>
      <c r="AD684" s="5">
        <v>0</v>
      </c>
      <c r="AE684" s="5">
        <v>0</v>
      </c>
      <c r="AF684" s="5">
        <v>0</v>
      </c>
      <c r="AG684" s="5">
        <v>0.13</v>
      </c>
      <c r="AH684" s="5">
        <v>3.3799999999999901</v>
      </c>
      <c r="AI684" s="5">
        <v>0</v>
      </c>
      <c r="AJ684" s="5">
        <v>0</v>
      </c>
      <c r="AL684" s="2"/>
      <c r="AM684" s="2"/>
      <c r="AN684" s="3">
        <v>0</v>
      </c>
      <c r="AO684" s="3">
        <v>0</v>
      </c>
      <c r="AP684" s="6">
        <f>((Table1[[#This Row],[Reject Startup (kg)]]+Table1[[#This Row],[Reject Prod (kg)]]+Table1[[#This Row],[Reject Purging (kg)]]+Table1[[#This Row],[Reject Preform (kg)]])/Table1[[#This Row],[Part Weight (gm)]])*1000</f>
        <v>406.5040650406504</v>
      </c>
    </row>
    <row r="685" spans="1:42" x14ac:dyDescent="0.35">
      <c r="A685" s="1">
        <v>46001</v>
      </c>
      <c r="B685">
        <v>2</v>
      </c>
      <c r="C685" t="s">
        <v>33</v>
      </c>
      <c r="D685" t="str" cm="1">
        <f t="array" ref="D685">IFERROR(INDEX(ReferenceCard, MATCH(1, (INDEX(ReferenceCard,,1)=Table1[[#This Row],[SAP No]]) * (INDEX(ReferenceCard,,2)=Table1[[#This Row],[Mould No]]), 0), 6),)</f>
        <v>PET</v>
      </c>
      <c r="E685">
        <v>541381</v>
      </c>
      <c r="F685">
        <v>0</v>
      </c>
      <c r="G685" t="str" cm="1">
        <f t="array" ref="G685">IFERROR(INDEX(ReferenceCard, MATCH(1, (INDEX(ReferenceCard,,1)=Table1[[#This Row],[SAP No]]) * (INDEX(ReferenceCard,,2)=Table1[[#This Row],[Mould No]]), 0), 3),)</f>
        <v>BC28-1200-K-R-CL</v>
      </c>
      <c r="H685">
        <v>0</v>
      </c>
      <c r="I685" cm="1">
        <f t="array" ref="I685">IFERROR(INDEX(ReferenceCard, MATCH(1, (INDEX(ReferenceCard,,1)=Table1[[#This Row],[SAP No]]) * (INDEX(ReferenceCard,,2)=Table1[[#This Row],[Mould No]]), 0), 4),)</f>
        <v>4</v>
      </c>
      <c r="J685" s="4" cm="1">
        <f t="array" ref="J685">IFERROR(INDEX(ReferenceCard, MATCH(1, (INDEX(ReferenceCard,,1)=Table1[[#This Row],[SAP No]]) * (INDEX(ReferenceCard,,2)=Table1[[#This Row],[Mould No]]), 0), 9),)</f>
        <v>55</v>
      </c>
      <c r="K685" s="4" cm="1">
        <f t="array" ref="K685">IFERROR(INDEX(ReferenceCard, MATCH(1, (INDEX(ReferenceCard,,1)=Table1[[#This Row],[SAP No]]) * (INDEX(ReferenceCard,,2)=Table1[[#This Row],[Mould No]]), 0), 7),)</f>
        <v>55</v>
      </c>
      <c r="L685">
        <v>0</v>
      </c>
      <c r="M685">
        <v>0</v>
      </c>
      <c r="N685">
        <v>0</v>
      </c>
      <c r="O685">
        <v>0</v>
      </c>
      <c r="P685">
        <f>Table1[[#This Row],[Shot]]*Table1[[#This Row],[Cav]]</f>
        <v>0</v>
      </c>
      <c r="Q685">
        <v>0</v>
      </c>
      <c r="R685">
        <f>(Table1[[#This Row],[Part Weight (gm)]]*Table1[[#This Row],[Finish Good]])/1000</f>
        <v>0</v>
      </c>
      <c r="S685">
        <v>0</v>
      </c>
      <c r="T685">
        <f>IF(Table1[[#This Row],[Qty Order]]="Sample","-",IF(Table1[[#This Row],[Qty Order]]="RTFN","-",Table1[[#This Row],[Qty Order]]-Table1[[#This Row],[Qty Accumulate]]))</f>
        <v>0</v>
      </c>
      <c r="U685">
        <f>((Table1[[#This Row],[Shift Output]]*Table1[[#This Row],[Part Weight (gm)]])/1000)+Table1[[#This Row],[Reject Startup (kg)]]+Table1[[#This Row],[Reject Purging (kg)]]+Table1[[#This Row],[Reject Preform (kg)]]</f>
        <v>0</v>
      </c>
      <c r="V685" s="37">
        <f>(Table1[[#This Row],[Gross Weight (gm)]]-Table1[[#This Row],[Part Weight (gm)]])*Table1[[#This Row],[Shift Output]]/1000</f>
        <v>0</v>
      </c>
      <c r="W685" s="3">
        <v>0</v>
      </c>
      <c r="X685" s="36" t="e">
        <f>Table1[[#This Row],[Reject Startup (kg)]]/Table1[[#This Row],[Material Used]]</f>
        <v>#DIV/0!</v>
      </c>
      <c r="Y685" s="3">
        <v>0</v>
      </c>
      <c r="Z685" s="36" t="e">
        <f>Table1[[#This Row],[Reject Prod (kg)]]/Table1[[#This Row],[Material Used]]</f>
        <v>#DIV/0!</v>
      </c>
      <c r="AA685" s="4">
        <v>0</v>
      </c>
      <c r="AB685" s="5">
        <v>0.42999999999999899</v>
      </c>
      <c r="AC685" s="4" cm="1">
        <f t="array" ref="AC685">IFERROR(INDEX(ReferenceCard, MATCH(1, (INDEX(ReferenceCard,,1)=Table1[[#This Row],[SAP No]]) * (INDEX(ReferenceCard,,2)=Table1[[#This Row],[Mould No]]), 0), 9),)</f>
        <v>55</v>
      </c>
      <c r="AD685" s="5">
        <v>11.57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t="s">
        <v>159</v>
      </c>
      <c r="AL685" s="2"/>
      <c r="AM685" s="2"/>
      <c r="AN685" s="3">
        <v>0</v>
      </c>
      <c r="AO685" s="3">
        <v>0</v>
      </c>
      <c r="AP68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686" spans="1:42" x14ac:dyDescent="0.35">
      <c r="A686" s="1">
        <v>46001</v>
      </c>
      <c r="B686">
        <v>2</v>
      </c>
      <c r="C686" t="s">
        <v>35</v>
      </c>
      <c r="D686" t="str" cm="1">
        <f t="array" ref="D686">IFERROR(INDEX(ReferenceCard, MATCH(1, (INDEX(ReferenceCard,,1)=Table1[[#This Row],[SAP No]]) * (INDEX(ReferenceCard,,2)=Table1[[#This Row],[Mould No]]), 0), 6),)</f>
        <v>PPSB520Y</v>
      </c>
      <c r="E686">
        <v>552181</v>
      </c>
      <c r="F686">
        <v>1</v>
      </c>
      <c r="G686" t="str" cm="1">
        <f t="array" ref="G686">IFERROR(INDEX(ReferenceCard, MATCH(1, (INDEX(ReferenceCard,,1)=Table1[[#This Row],[SAP No]]) * (INDEX(ReferenceCard,,2)=Table1[[#This Row],[Mould No]]), 0), 3),)</f>
        <v>BC28-0090-D-APH-5180-3538-PP-6 NOTCHES-MOLD1</v>
      </c>
      <c r="H686">
        <v>0</v>
      </c>
      <c r="I686" cm="1">
        <f t="array" ref="I686">IFERROR(INDEX(ReferenceCard, MATCH(1, (INDEX(ReferenceCard,,1)=Table1[[#This Row],[SAP No]]) * (INDEX(ReferenceCard,,2)=Table1[[#This Row],[Mould No]]), 0), 4),)</f>
        <v>6</v>
      </c>
      <c r="J686" s="4" cm="1">
        <f t="array" ref="J686">IFERROR(INDEX(ReferenceCard, MATCH(1, (INDEX(ReferenceCard,,1)=Table1[[#This Row],[SAP No]]) * (INDEX(ReferenceCard,,2)=Table1[[#This Row],[Mould No]]), 0), 9),)</f>
        <v>18.8</v>
      </c>
      <c r="K686" s="4" cm="1">
        <f t="array" ref="K686">IFERROR(INDEX(ReferenceCard, MATCH(1, (INDEX(ReferenceCard,,1)=Table1[[#This Row],[SAP No]]) * (INDEX(ReferenceCard,,2)=Table1[[#This Row],[Mould No]]), 0), 7),)</f>
        <v>18.8</v>
      </c>
      <c r="L686">
        <v>1430</v>
      </c>
      <c r="M686">
        <v>0</v>
      </c>
      <c r="N686">
        <v>0</v>
      </c>
      <c r="O686">
        <v>0</v>
      </c>
      <c r="P686">
        <f>Table1[[#This Row],[Shot]]*Table1[[#This Row],[Cav]]</f>
        <v>8580</v>
      </c>
      <c r="Q686">
        <v>0</v>
      </c>
      <c r="R686">
        <f>(Table1[[#This Row],[Part Weight (gm)]]*Table1[[#This Row],[Finish Good]])/1000</f>
        <v>0</v>
      </c>
      <c r="S686">
        <v>0</v>
      </c>
      <c r="T686">
        <f>IF(Table1[[#This Row],[Qty Order]]="Sample","-",IF(Table1[[#This Row],[Qty Order]]="RTFN","-",Table1[[#This Row],[Qty Order]]-Table1[[#This Row],[Qty Accumulate]]))</f>
        <v>0</v>
      </c>
      <c r="U686">
        <f>((Table1[[#This Row],[Shift Output]]*Table1[[#This Row],[Part Weight (gm)]])/1000)+Table1[[#This Row],[Reject Startup (kg)]]+Table1[[#This Row],[Reject Purging (kg)]]+Table1[[#This Row],[Reject Preform (kg)]]</f>
        <v>161.304</v>
      </c>
      <c r="V686" s="37">
        <f>(Table1[[#This Row],[Gross Weight (gm)]]-Table1[[#This Row],[Part Weight (gm)]])*Table1[[#This Row],[Shift Output]]/1000</f>
        <v>0</v>
      </c>
      <c r="W686" s="3">
        <v>0</v>
      </c>
      <c r="X686" s="36">
        <f>Table1[[#This Row],[Reject Startup (kg)]]/Table1[[#This Row],[Material Used]]</f>
        <v>0</v>
      </c>
      <c r="Y686" s="3">
        <v>3</v>
      </c>
      <c r="Z686" s="36">
        <f>Table1[[#This Row],[Reject Prod (kg)]]/Table1[[#This Row],[Material Used]]</f>
        <v>1.8598422853742004E-2</v>
      </c>
      <c r="AA686" s="4">
        <v>31.265676498413001</v>
      </c>
      <c r="AB686" s="5">
        <v>12</v>
      </c>
      <c r="AC686" s="4" cm="1">
        <f t="array" ref="AC686">IFERROR(INDEX(ReferenceCard, MATCH(1, (INDEX(ReferenceCard,,1)=Table1[[#This Row],[SAP No]]) * (INDEX(ReferenceCard,,2)=Table1[[#This Row],[Mould No]]), 0), 9),)</f>
        <v>18.8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L686" s="2"/>
      <c r="AM686" s="2"/>
      <c r="AN686" s="3">
        <v>0</v>
      </c>
      <c r="AO686" s="3">
        <v>0</v>
      </c>
      <c r="AP686" s="6">
        <f>((Table1[[#This Row],[Reject Startup (kg)]]+Table1[[#This Row],[Reject Prod (kg)]]+Table1[[#This Row],[Reject Purging (kg)]]+Table1[[#This Row],[Reject Preform (kg)]])/Table1[[#This Row],[Part Weight (gm)]])*1000</f>
        <v>159.57446808510636</v>
      </c>
    </row>
    <row r="687" spans="1:42" x14ac:dyDescent="0.35">
      <c r="A687" s="1">
        <v>46001</v>
      </c>
      <c r="B687">
        <v>2</v>
      </c>
      <c r="C687" t="s">
        <v>18</v>
      </c>
      <c r="D687" t="str" cm="1">
        <f t="array" ref="D687">IFERROR(INDEX(ReferenceCard, MATCH(1, (INDEX(ReferenceCard,,1)=Table1[[#This Row],[SAP No]]) * (INDEX(ReferenceCard,,2)=Table1[[#This Row],[Mould No]]), 0), 6),)</f>
        <v>PPSB520Y</v>
      </c>
      <c r="E687">
        <v>555979</v>
      </c>
      <c r="F687">
        <v>4</v>
      </c>
      <c r="G687" t="str" cm="1">
        <f t="array" ref="G687">IFERROR(INDEX(ReferenceCard, MATCH(1, (INDEX(ReferenceCard,,1)=Table1[[#This Row],[SAP No]]) * (INDEX(ReferenceCard,,2)=Table1[[#This Row],[Mould No]]), 0), 3),)</f>
        <v>BC28-0170-D-APH-5180-3539-PP-6 NOTCHES-MOLD4</v>
      </c>
      <c r="H687">
        <v>0</v>
      </c>
      <c r="I687" cm="1">
        <f t="array" ref="I687">IFERROR(INDEX(ReferenceCard, MATCH(1, (INDEX(ReferenceCard,,1)=Table1[[#This Row],[SAP No]]) * (INDEX(ReferenceCard,,2)=Table1[[#This Row],[Mould No]]), 0), 4),)</f>
        <v>6</v>
      </c>
      <c r="J687" s="4" cm="1">
        <f t="array" ref="J687">IFERROR(INDEX(ReferenceCard, MATCH(1, (INDEX(ReferenceCard,,1)=Table1[[#This Row],[SAP No]]) * (INDEX(ReferenceCard,,2)=Table1[[#This Row],[Mould No]]), 0), 9),)</f>
        <v>28</v>
      </c>
      <c r="K687" s="4" cm="1">
        <f t="array" ref="K687">IFERROR(INDEX(ReferenceCard, MATCH(1, (INDEX(ReferenceCard,,1)=Table1[[#This Row],[SAP No]]) * (INDEX(ReferenceCard,,2)=Table1[[#This Row],[Mould No]]), 0), 7),)</f>
        <v>28</v>
      </c>
      <c r="L687">
        <v>860</v>
      </c>
      <c r="M687">
        <v>0</v>
      </c>
      <c r="N687">
        <v>0</v>
      </c>
      <c r="O687">
        <v>0</v>
      </c>
      <c r="P687">
        <f>Table1[[#This Row],[Shot]]*Table1[[#This Row],[Cav]]</f>
        <v>5160</v>
      </c>
      <c r="Q687">
        <v>0</v>
      </c>
      <c r="R687">
        <f>(Table1[[#This Row],[Part Weight (gm)]]*Table1[[#This Row],[Finish Good]])/1000</f>
        <v>0</v>
      </c>
      <c r="S687">
        <v>0</v>
      </c>
      <c r="T687">
        <f>IF(Table1[[#This Row],[Qty Order]]="Sample","-",IF(Table1[[#This Row],[Qty Order]]="RTFN","-",Table1[[#This Row],[Qty Order]]-Table1[[#This Row],[Qty Accumulate]]))</f>
        <v>0</v>
      </c>
      <c r="U687">
        <f>((Table1[[#This Row],[Shift Output]]*Table1[[#This Row],[Part Weight (gm)]])/1000)+Table1[[#This Row],[Reject Startup (kg)]]+Table1[[#This Row],[Reject Purging (kg)]]+Table1[[#This Row],[Reject Preform (kg)]]</f>
        <v>144.47999999999999</v>
      </c>
      <c r="V687" s="37">
        <f>(Table1[[#This Row],[Gross Weight (gm)]]-Table1[[#This Row],[Part Weight (gm)]])*Table1[[#This Row],[Shift Output]]/1000</f>
        <v>0</v>
      </c>
      <c r="W687" s="3">
        <v>0</v>
      </c>
      <c r="X687" s="36">
        <f>Table1[[#This Row],[Reject Startup (kg)]]/Table1[[#This Row],[Material Used]]</f>
        <v>0</v>
      </c>
      <c r="Y687" s="3">
        <v>5</v>
      </c>
      <c r="Z687" s="36">
        <f>Table1[[#This Row],[Reject Prod (kg)]]/Table1[[#This Row],[Material Used]]</f>
        <v>3.4606866002214839E-2</v>
      </c>
      <c r="AA687" s="4">
        <v>43.5</v>
      </c>
      <c r="AB687" s="5">
        <v>10</v>
      </c>
      <c r="AC687" s="4" cm="1">
        <f t="array" ref="AC687">IFERROR(INDEX(ReferenceCard, MATCH(1, (INDEX(ReferenceCard,,1)=Table1[[#This Row],[SAP No]]) * (INDEX(ReferenceCard,,2)=Table1[[#This Row],[Mould No]]), 0), 9),)</f>
        <v>28</v>
      </c>
      <c r="AD687" s="5">
        <v>0</v>
      </c>
      <c r="AE687" s="5">
        <v>0</v>
      </c>
      <c r="AF687" s="5">
        <v>0</v>
      </c>
      <c r="AG687" s="5">
        <v>0</v>
      </c>
      <c r="AH687" s="5">
        <v>2</v>
      </c>
      <c r="AI687" s="5">
        <v>0</v>
      </c>
      <c r="AJ687" s="5">
        <v>0</v>
      </c>
      <c r="AK687" t="s">
        <v>160</v>
      </c>
      <c r="AL687" s="2"/>
      <c r="AM687" s="2"/>
      <c r="AN687" s="3">
        <v>0</v>
      </c>
      <c r="AO687" s="3">
        <v>0</v>
      </c>
      <c r="AP687" s="6">
        <f>((Table1[[#This Row],[Reject Startup (kg)]]+Table1[[#This Row],[Reject Prod (kg)]]+Table1[[#This Row],[Reject Purging (kg)]]+Table1[[#This Row],[Reject Preform (kg)]])/Table1[[#This Row],[Part Weight (gm)]])*1000</f>
        <v>178.57142857142858</v>
      </c>
    </row>
    <row r="688" spans="1:42" x14ac:dyDescent="0.35">
      <c r="A688" s="1">
        <v>46001</v>
      </c>
      <c r="B688">
        <v>1</v>
      </c>
      <c r="C688" t="s">
        <v>0</v>
      </c>
      <c r="D688" t="str" cm="1">
        <f t="array" ref="D688">IFERROR(INDEX(ReferenceCard, MATCH(1, (INDEX(ReferenceCard,,1)=Table1[[#This Row],[SAP No]]) * (INDEX(ReferenceCard,,2)=Table1[[#This Row],[Mould No]]), 0), 6),)</f>
        <v>PET</v>
      </c>
      <c r="E688">
        <v>369308</v>
      </c>
      <c r="F688">
        <v>0</v>
      </c>
      <c r="G688" t="str" cm="1">
        <f t="array" ref="G688">IFERROR(INDEX(ReferenceCard, MATCH(1, (INDEX(ReferenceCard,,1)=Table1[[#This Row],[SAP No]]) * (INDEX(ReferenceCard,,2)=Table1[[#This Row],[Mould No]]), 0), 3),)</f>
        <v>BW38-0280-LS-R-RED</v>
      </c>
      <c r="H688">
        <v>0</v>
      </c>
      <c r="I688" cm="1">
        <f t="array" ref="I688">IFERROR(INDEX(ReferenceCard, MATCH(1, (INDEX(ReferenceCard,,1)=Table1[[#This Row],[SAP No]]) * (INDEX(ReferenceCard,,2)=Table1[[#This Row],[Mould No]]), 0), 4),)</f>
        <v>4</v>
      </c>
      <c r="J688" s="4" cm="1">
        <f t="array" ref="J688">IFERROR(INDEX(ReferenceCard, MATCH(1, (INDEX(ReferenceCard,,1)=Table1[[#This Row],[SAP No]]) * (INDEX(ReferenceCard,,2)=Table1[[#This Row],[Mould No]]), 0), 9),)</f>
        <v>31</v>
      </c>
      <c r="K688" s="4" cm="1">
        <f t="array" ref="K688">IFERROR(INDEX(ReferenceCard, MATCH(1, (INDEX(ReferenceCard,,1)=Table1[[#This Row],[SAP No]]) * (INDEX(ReferenceCard,,2)=Table1[[#This Row],[Mould No]]), 0), 7),)</f>
        <v>31</v>
      </c>
      <c r="L688">
        <v>0</v>
      </c>
      <c r="M688">
        <v>0</v>
      </c>
      <c r="N688">
        <v>0</v>
      </c>
      <c r="O688">
        <v>0</v>
      </c>
      <c r="P688">
        <f>Table1[[#This Row],[Shot]]*Table1[[#This Row],[Cav]]</f>
        <v>0</v>
      </c>
      <c r="Q688">
        <v>0</v>
      </c>
      <c r="R688">
        <f>(Table1[[#This Row],[Part Weight (gm)]]*Table1[[#This Row],[Finish Good]])/1000</f>
        <v>0</v>
      </c>
      <c r="S688">
        <v>0</v>
      </c>
      <c r="T688">
        <f>IF(Table1[[#This Row],[Qty Order]]="Sample","-",IF(Table1[[#This Row],[Qty Order]]="RTFN","-",Table1[[#This Row],[Qty Order]]-Table1[[#This Row],[Qty Accumulate]]))</f>
        <v>0</v>
      </c>
      <c r="U688">
        <f>((Table1[[#This Row],[Shift Output]]*Table1[[#This Row],[Part Weight (gm)]])/1000)+Table1[[#This Row],[Reject Startup (kg)]]+Table1[[#This Row],[Reject Purging (kg)]]+Table1[[#This Row],[Reject Preform (kg)]]</f>
        <v>0</v>
      </c>
      <c r="V688" s="37">
        <f>(Table1[[#This Row],[Gross Weight (gm)]]-Table1[[#This Row],[Part Weight (gm)]])*Table1[[#This Row],[Shift Output]]/1000</f>
        <v>0</v>
      </c>
      <c r="W688" s="3">
        <v>0</v>
      </c>
      <c r="X688" s="36" t="e">
        <f>Table1[[#This Row],[Reject Startup (kg)]]/Table1[[#This Row],[Material Used]]</f>
        <v>#DIV/0!</v>
      </c>
      <c r="Y688" s="3">
        <v>3</v>
      </c>
      <c r="Z688" s="36" t="e">
        <f>Table1[[#This Row],[Reject Prod (kg)]]/Table1[[#This Row],[Material Used]]</f>
        <v>#DIV/0!</v>
      </c>
      <c r="AA688" s="4">
        <v>0</v>
      </c>
      <c r="AB688" s="5">
        <v>12</v>
      </c>
      <c r="AC688" s="4" cm="1">
        <f t="array" ref="AC688">IFERROR(INDEX(ReferenceCard, MATCH(1, (INDEX(ReferenceCard,,1)=Table1[[#This Row],[SAP No]]) * (INDEX(ReferenceCard,,2)=Table1[[#This Row],[Mould No]]), 0), 9),)</f>
        <v>31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L688" s="2"/>
      <c r="AM688" s="2"/>
      <c r="AN688" s="3">
        <v>0</v>
      </c>
      <c r="AO688" s="3">
        <v>0</v>
      </c>
      <c r="AP688" s="6">
        <f>((Table1[[#This Row],[Reject Startup (kg)]]+Table1[[#This Row],[Reject Prod (kg)]]+Table1[[#This Row],[Reject Purging (kg)]]+Table1[[#This Row],[Reject Preform (kg)]])/Table1[[#This Row],[Part Weight (gm)]])*1000</f>
        <v>96.774193548387089</v>
      </c>
    </row>
    <row r="689" spans="1:42" x14ac:dyDescent="0.35">
      <c r="A689" s="1">
        <v>46001</v>
      </c>
      <c r="B689">
        <v>1</v>
      </c>
      <c r="C689" t="s">
        <v>3</v>
      </c>
      <c r="D689" t="str" cm="1">
        <f t="array" ref="D689">IFERROR(INDEX(ReferenceCard, MATCH(1, (INDEX(ReferenceCard,,1)=Table1[[#This Row],[SAP No]]) * (INDEX(ReferenceCard,,2)=Table1[[#This Row],[Mould No]]), 0), 6),)</f>
        <v>PET</v>
      </c>
      <c r="E689">
        <v>324163</v>
      </c>
      <c r="F689">
        <v>0</v>
      </c>
      <c r="G689" t="str" cm="1">
        <f t="array" ref="G689">IFERROR(INDEX(ReferenceCard, MATCH(1, (INDEX(ReferenceCard,,1)=Table1[[#This Row],[SAP No]]) * (INDEX(ReferenceCard,,2)=Table1[[#This Row],[Mould No]]), 0), 3),)</f>
        <v>BC28-0265-A-Q-CL</v>
      </c>
      <c r="H689">
        <v>0</v>
      </c>
      <c r="I689" cm="1">
        <f t="array" ref="I689">IFERROR(INDEX(ReferenceCard, MATCH(1, (INDEX(ReferenceCard,,1)=Table1[[#This Row],[SAP No]]) * (INDEX(ReferenceCard,,2)=Table1[[#This Row],[Mould No]]), 0), 4),)</f>
        <v>4</v>
      </c>
      <c r="J689" s="4" cm="1">
        <f t="array" ref="J689">IFERROR(INDEX(ReferenceCard, MATCH(1, (INDEX(ReferenceCard,,1)=Table1[[#This Row],[SAP No]]) * (INDEX(ReferenceCard,,2)=Table1[[#This Row],[Mould No]]), 0), 9),)</f>
        <v>24</v>
      </c>
      <c r="K689" s="4" cm="1">
        <f t="array" ref="K689">IFERROR(INDEX(ReferenceCard, MATCH(1, (INDEX(ReferenceCard,,1)=Table1[[#This Row],[SAP No]]) * (INDEX(ReferenceCard,,2)=Table1[[#This Row],[Mould No]]), 0), 7),)</f>
        <v>23.5</v>
      </c>
      <c r="L689">
        <v>0</v>
      </c>
      <c r="M689">
        <v>0</v>
      </c>
      <c r="N689">
        <v>0</v>
      </c>
      <c r="O689">
        <v>0</v>
      </c>
      <c r="P689">
        <f>Table1[[#This Row],[Shot]]*Table1[[#This Row],[Cav]]</f>
        <v>0</v>
      </c>
      <c r="Q689">
        <v>0</v>
      </c>
      <c r="R689">
        <f>(Table1[[#This Row],[Part Weight (gm)]]*Table1[[#This Row],[Finish Good]])/1000</f>
        <v>0</v>
      </c>
      <c r="S689">
        <v>0</v>
      </c>
      <c r="T689">
        <f>IF(Table1[[#This Row],[Qty Order]]="Sample","-",IF(Table1[[#This Row],[Qty Order]]="RTFN","-",Table1[[#This Row],[Qty Order]]-Table1[[#This Row],[Qty Accumulate]]))</f>
        <v>0</v>
      </c>
      <c r="U689">
        <f>((Table1[[#This Row],[Shift Output]]*Table1[[#This Row],[Part Weight (gm)]])/1000)+Table1[[#This Row],[Reject Startup (kg)]]+Table1[[#This Row],[Reject Purging (kg)]]+Table1[[#This Row],[Reject Preform (kg)]]</f>
        <v>0</v>
      </c>
      <c r="V689" s="37">
        <f>(Table1[[#This Row],[Gross Weight (gm)]]-Table1[[#This Row],[Part Weight (gm)]])*Table1[[#This Row],[Shift Output]]/1000</f>
        <v>0</v>
      </c>
      <c r="W689" s="3">
        <v>0</v>
      </c>
      <c r="X689" s="36" t="e">
        <f>Table1[[#This Row],[Reject Startup (kg)]]/Table1[[#This Row],[Material Used]]</f>
        <v>#DIV/0!</v>
      </c>
      <c r="Y689" s="3">
        <v>2</v>
      </c>
      <c r="Z689" s="36" t="e">
        <f>Table1[[#This Row],[Reject Prod (kg)]]/Table1[[#This Row],[Material Used]]</f>
        <v>#DIV/0!</v>
      </c>
      <c r="AA689" s="4">
        <v>0</v>
      </c>
      <c r="AB689" s="5">
        <v>5.4</v>
      </c>
      <c r="AC689" s="4" cm="1">
        <f t="array" ref="AC689">IFERROR(INDEX(ReferenceCard, MATCH(1, (INDEX(ReferenceCard,,1)=Table1[[#This Row],[SAP No]]) * (INDEX(ReferenceCard,,2)=Table1[[#This Row],[Mould No]]), 0), 9),)</f>
        <v>24</v>
      </c>
      <c r="AD689" s="5">
        <v>0</v>
      </c>
      <c r="AE689" s="5">
        <v>0</v>
      </c>
      <c r="AF689" s="5">
        <v>0</v>
      </c>
      <c r="AG689" s="5">
        <v>0</v>
      </c>
      <c r="AH689" s="5">
        <v>6.5999999999999899</v>
      </c>
      <c r="AI689" s="5">
        <v>0</v>
      </c>
      <c r="AJ689" s="5">
        <v>0</v>
      </c>
      <c r="AL689" s="2"/>
      <c r="AM689" s="2"/>
      <c r="AN689" s="3">
        <v>0</v>
      </c>
      <c r="AO689" s="3">
        <v>0</v>
      </c>
      <c r="AP689" s="6">
        <f>((Table1[[#This Row],[Reject Startup (kg)]]+Table1[[#This Row],[Reject Prod (kg)]]+Table1[[#This Row],[Reject Purging (kg)]]+Table1[[#This Row],[Reject Preform (kg)]])/Table1[[#This Row],[Part Weight (gm)]])*1000</f>
        <v>85.106382978723403</v>
      </c>
    </row>
    <row r="690" spans="1:42" x14ac:dyDescent="0.35">
      <c r="A690" s="1">
        <v>46001</v>
      </c>
      <c r="B690">
        <v>1</v>
      </c>
      <c r="C690" t="s">
        <v>5</v>
      </c>
      <c r="D690" t="str" cm="1">
        <f t="array" ref="D690">IFERROR(INDEX(ReferenceCard, MATCH(1, (INDEX(ReferenceCard,,1)=Table1[[#This Row],[SAP No]]) * (INDEX(ReferenceCard,,2)=Table1[[#This Row],[Mould No]]), 0), 6),)</f>
        <v>PET</v>
      </c>
      <c r="E690">
        <v>543590</v>
      </c>
      <c r="F690">
        <v>0</v>
      </c>
      <c r="G690" t="str" cm="1">
        <f t="array" ref="G690">IFERROR(INDEX(ReferenceCard, MATCH(1, (INDEX(ReferenceCard,,1)=Table1[[#This Row],[SAP No]]) * (INDEX(ReferenceCard,,2)=Table1[[#This Row],[Mould No]]), 0), 3),)</f>
        <v>BC28-0130-R-R-AM</v>
      </c>
      <c r="H690">
        <v>0</v>
      </c>
      <c r="I690" cm="1">
        <f t="array" ref="I690">IFERROR(INDEX(ReferenceCard, MATCH(1, (INDEX(ReferenceCard,,1)=Table1[[#This Row],[SAP No]]) * (INDEX(ReferenceCard,,2)=Table1[[#This Row],[Mould No]]), 0), 4),)</f>
        <v>4</v>
      </c>
      <c r="J690" s="4" cm="1">
        <f t="array" ref="J690">IFERROR(INDEX(ReferenceCard, MATCH(1, (INDEX(ReferenceCard,,1)=Table1[[#This Row],[SAP No]]) * (INDEX(ReferenceCard,,2)=Table1[[#This Row],[Mould No]]), 0), 9),)</f>
        <v>19</v>
      </c>
      <c r="K690" s="4" cm="1">
        <f t="array" ref="K690">IFERROR(INDEX(ReferenceCard, MATCH(1, (INDEX(ReferenceCard,,1)=Table1[[#This Row],[SAP No]]) * (INDEX(ReferenceCard,,2)=Table1[[#This Row],[Mould No]]), 0), 7),)</f>
        <v>19</v>
      </c>
      <c r="L690">
        <v>8613</v>
      </c>
      <c r="M690">
        <v>0</v>
      </c>
      <c r="N690">
        <v>0</v>
      </c>
      <c r="O690">
        <v>0</v>
      </c>
      <c r="P690">
        <f>Table1[[#This Row],[Shot]]*Table1[[#This Row],[Cav]]</f>
        <v>34452</v>
      </c>
      <c r="Q690">
        <v>0</v>
      </c>
      <c r="R690">
        <f>(Table1[[#This Row],[Part Weight (gm)]]*Table1[[#This Row],[Finish Good]])/1000</f>
        <v>0</v>
      </c>
      <c r="S690">
        <v>0</v>
      </c>
      <c r="T690">
        <f>IF(Table1[[#This Row],[Qty Order]]="Sample","-",IF(Table1[[#This Row],[Qty Order]]="RTFN","-",Table1[[#This Row],[Qty Order]]-Table1[[#This Row],[Qty Accumulate]]))</f>
        <v>0</v>
      </c>
      <c r="U690">
        <f>((Table1[[#This Row],[Shift Output]]*Table1[[#This Row],[Part Weight (gm)]])/1000)+Table1[[#This Row],[Reject Startup (kg)]]+Table1[[#This Row],[Reject Purging (kg)]]+Table1[[#This Row],[Reject Preform (kg)]]</f>
        <v>654.58799999999997</v>
      </c>
      <c r="V690" s="37">
        <f>(Table1[[#This Row],[Gross Weight (gm)]]-Table1[[#This Row],[Part Weight (gm)]])*Table1[[#This Row],[Shift Output]]/1000</f>
        <v>0</v>
      </c>
      <c r="W690" s="3">
        <v>0</v>
      </c>
      <c r="X690" s="36">
        <f>Table1[[#This Row],[Reject Startup (kg)]]/Table1[[#This Row],[Material Used]]</f>
        <v>0</v>
      </c>
      <c r="Y690" s="3">
        <v>2</v>
      </c>
      <c r="Z690" s="36">
        <f>Table1[[#This Row],[Reject Prod (kg)]]/Table1[[#This Row],[Material Used]]</f>
        <v>3.0553569573533276E-3</v>
      </c>
      <c r="AA690" s="4">
        <v>0</v>
      </c>
      <c r="AB690" s="5">
        <v>12</v>
      </c>
      <c r="AC690" s="4" cm="1">
        <f t="array" ref="AC690">IFERROR(INDEX(ReferenceCard, MATCH(1, (INDEX(ReferenceCard,,1)=Table1[[#This Row],[SAP No]]) * (INDEX(ReferenceCard,,2)=Table1[[#This Row],[Mould No]]), 0), 9),)</f>
        <v>19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L690" s="2"/>
      <c r="AM690" s="2"/>
      <c r="AN690" s="3">
        <v>0</v>
      </c>
      <c r="AO690" s="3">
        <v>0</v>
      </c>
      <c r="AP690" s="6">
        <f>((Table1[[#This Row],[Reject Startup (kg)]]+Table1[[#This Row],[Reject Prod (kg)]]+Table1[[#This Row],[Reject Purging (kg)]]+Table1[[#This Row],[Reject Preform (kg)]])/Table1[[#This Row],[Part Weight (gm)]])*1000</f>
        <v>105.26315789473684</v>
      </c>
    </row>
    <row r="691" spans="1:42" x14ac:dyDescent="0.35">
      <c r="A691" s="1">
        <v>46001</v>
      </c>
      <c r="B691">
        <v>1</v>
      </c>
      <c r="C691" t="s">
        <v>7</v>
      </c>
      <c r="D691" t="str" cm="1">
        <f t="array" ref="D691">IFERROR(INDEX(ReferenceCard, MATCH(1, (INDEX(ReferenceCard,,1)=Table1[[#This Row],[SAP No]]) * (INDEX(ReferenceCard,,2)=Table1[[#This Row],[Mould No]]), 0), 6),)</f>
        <v>PET</v>
      </c>
      <c r="E691">
        <v>426555</v>
      </c>
      <c r="F691">
        <v>0</v>
      </c>
      <c r="G691" t="str" cm="1">
        <f t="array" ref="G691">IFERROR(INDEX(ReferenceCard, MATCH(1, (INDEX(ReferenceCard,,1)=Table1[[#This Row],[SAP No]]) * (INDEX(ReferenceCard,,2)=Table1[[#This Row],[Mould No]]), 0), 3),)</f>
        <v>BX38-0330-Z-S-CL-HW</v>
      </c>
      <c r="H691">
        <v>0</v>
      </c>
      <c r="I691" cm="1">
        <f t="array" ref="I691">IFERROR(INDEX(ReferenceCard, MATCH(1, (INDEX(ReferenceCard,,1)=Table1[[#This Row],[SAP No]]) * (INDEX(ReferenceCard,,2)=Table1[[#This Row],[Mould No]]), 0), 4),)</f>
        <v>4</v>
      </c>
      <c r="J691" s="4" cm="1">
        <f t="array" ref="J691">IFERROR(INDEX(ReferenceCard, MATCH(1, (INDEX(ReferenceCard,,1)=Table1[[#This Row],[SAP No]]) * (INDEX(ReferenceCard,,2)=Table1[[#This Row],[Mould No]]), 0), 9),)</f>
        <v>29</v>
      </c>
      <c r="K691" s="4" cm="1">
        <f t="array" ref="K691">IFERROR(INDEX(ReferenceCard, MATCH(1, (INDEX(ReferenceCard,,1)=Table1[[#This Row],[SAP No]]) * (INDEX(ReferenceCard,,2)=Table1[[#This Row],[Mould No]]), 0), 7),)</f>
        <v>29</v>
      </c>
      <c r="L691">
        <v>5330</v>
      </c>
      <c r="M691">
        <v>0</v>
      </c>
      <c r="N691">
        <v>0</v>
      </c>
      <c r="O691">
        <v>0</v>
      </c>
      <c r="P691">
        <f>Table1[[#This Row],[Shot]]*Table1[[#This Row],[Cav]]</f>
        <v>21320</v>
      </c>
      <c r="Q691">
        <v>0</v>
      </c>
      <c r="R691">
        <f>(Table1[[#This Row],[Part Weight (gm)]]*Table1[[#This Row],[Finish Good]])/1000</f>
        <v>0</v>
      </c>
      <c r="S691">
        <v>0</v>
      </c>
      <c r="T691">
        <f>IF(Table1[[#This Row],[Qty Order]]="Sample","-",IF(Table1[[#This Row],[Qty Order]]="RTFN","-",Table1[[#This Row],[Qty Order]]-Table1[[#This Row],[Qty Accumulate]]))</f>
        <v>0</v>
      </c>
      <c r="U691">
        <f>((Table1[[#This Row],[Shift Output]]*Table1[[#This Row],[Part Weight (gm)]])/1000)+Table1[[#This Row],[Reject Startup (kg)]]+Table1[[#This Row],[Reject Purging (kg)]]+Table1[[#This Row],[Reject Preform (kg)]]</f>
        <v>624.28</v>
      </c>
      <c r="V691" s="37">
        <f>(Table1[[#This Row],[Gross Weight (gm)]]-Table1[[#This Row],[Part Weight (gm)]])*Table1[[#This Row],[Shift Output]]/1000</f>
        <v>0</v>
      </c>
      <c r="W691" s="3">
        <v>6</v>
      </c>
      <c r="X691" s="36">
        <f>Table1[[#This Row],[Reject Startup (kg)]]/Table1[[#This Row],[Material Used]]</f>
        <v>9.6110719548920358E-3</v>
      </c>
      <c r="Y691" s="3">
        <v>1</v>
      </c>
      <c r="Z691" s="36">
        <f>Table1[[#This Row],[Reject Prod (kg)]]/Table1[[#This Row],[Material Used]]</f>
        <v>1.6018453258153393E-3</v>
      </c>
      <c r="AA691" s="4">
        <v>0</v>
      </c>
      <c r="AB691" s="5">
        <v>6.74</v>
      </c>
      <c r="AC691" s="4" cm="1">
        <f t="array" ref="AC691">IFERROR(INDEX(ReferenceCard, MATCH(1, (INDEX(ReferenceCard,,1)=Table1[[#This Row],[SAP No]]) * (INDEX(ReferenceCard,,2)=Table1[[#This Row],[Mould No]]), 0), 9),)</f>
        <v>29</v>
      </c>
      <c r="AD691" s="5">
        <v>0</v>
      </c>
      <c r="AE691" s="5">
        <v>0</v>
      </c>
      <c r="AF691" s="5">
        <v>3.08</v>
      </c>
      <c r="AG691" s="5">
        <v>8.99999999999999E-2</v>
      </c>
      <c r="AH691" s="5">
        <v>0</v>
      </c>
      <c r="AI691" s="5">
        <v>2.1</v>
      </c>
      <c r="AJ691" s="5">
        <v>0</v>
      </c>
      <c r="AK691" t="s">
        <v>161</v>
      </c>
      <c r="AL691" s="2" t="s">
        <v>162</v>
      </c>
      <c r="AM691" s="2" t="s">
        <v>163</v>
      </c>
      <c r="AN691" s="3"/>
      <c r="AO691" s="3"/>
      <c r="AP691" s="6">
        <f>((Table1[[#This Row],[Reject Startup (kg)]]+Table1[[#This Row],[Reject Prod (kg)]]+Table1[[#This Row],[Reject Purging (kg)]]+Table1[[#This Row],[Reject Preform (kg)]])/Table1[[#This Row],[Part Weight (gm)]])*1000</f>
        <v>241.37931034482759</v>
      </c>
    </row>
    <row r="692" spans="1:42" x14ac:dyDescent="0.35">
      <c r="A692" s="1">
        <v>46001</v>
      </c>
      <c r="B692">
        <v>1</v>
      </c>
      <c r="C692" t="s">
        <v>9</v>
      </c>
      <c r="D692" t="str" cm="1">
        <f t="array" ref="D692">IFERROR(INDEX(ReferenceCard, MATCH(1, (INDEX(ReferenceCard,,1)=Table1[[#This Row],[SAP No]]) * (INDEX(ReferenceCard,,2)=Table1[[#This Row],[Mould No]]), 0), 6),)</f>
        <v>rPET</v>
      </c>
      <c r="E692">
        <v>593537</v>
      </c>
      <c r="F692">
        <v>0</v>
      </c>
      <c r="G692" t="str" cm="1">
        <f t="array" ref="G692">IFERROR(INDEX(ReferenceCard, MATCH(1, (INDEX(ReferenceCard,,1)=Table1[[#This Row],[SAP No]]) * (INDEX(ReferenceCard,,2)=Table1[[#This Row],[Mould No]]), 0), 3),)</f>
        <v>BX38-1000-RN-R-CL-rPET</v>
      </c>
      <c r="H692">
        <v>0</v>
      </c>
      <c r="I692" cm="1">
        <f t="array" ref="I692">IFERROR(INDEX(ReferenceCard, MATCH(1, (INDEX(ReferenceCard,,1)=Table1[[#This Row],[SAP No]]) * (INDEX(ReferenceCard,,2)=Table1[[#This Row],[Mould No]]), 0), 4),)</f>
        <v>4</v>
      </c>
      <c r="J692" s="4" cm="1">
        <f t="array" ref="J692">IFERROR(INDEX(ReferenceCard, MATCH(1, (INDEX(ReferenceCard,,1)=Table1[[#This Row],[SAP No]]) * (INDEX(ReferenceCard,,2)=Table1[[#This Row],[Mould No]]), 0), 9),)</f>
        <v>56.5</v>
      </c>
      <c r="K692" s="4" cm="1">
        <f t="array" ref="K692">IFERROR(INDEX(ReferenceCard, MATCH(1, (INDEX(ReferenceCard,,1)=Table1[[#This Row],[SAP No]]) * (INDEX(ReferenceCard,,2)=Table1[[#This Row],[Mould No]]), 0), 7),)</f>
        <v>56.8</v>
      </c>
      <c r="L692">
        <v>10163</v>
      </c>
      <c r="M692">
        <v>0</v>
      </c>
      <c r="N692">
        <v>0</v>
      </c>
      <c r="O692">
        <v>0</v>
      </c>
      <c r="P692">
        <f>Table1[[#This Row],[Shot]]*Table1[[#This Row],[Cav]]</f>
        <v>40652</v>
      </c>
      <c r="Q692">
        <v>0</v>
      </c>
      <c r="R692">
        <f>(Table1[[#This Row],[Part Weight (gm)]]*Table1[[#This Row],[Finish Good]])/1000</f>
        <v>0</v>
      </c>
      <c r="S692">
        <v>0</v>
      </c>
      <c r="T692">
        <f>IF(Table1[[#This Row],[Qty Order]]="Sample","-",IF(Table1[[#This Row],[Qty Order]]="RTFN","-",Table1[[#This Row],[Qty Order]]-Table1[[#This Row],[Qty Accumulate]]))</f>
        <v>0</v>
      </c>
      <c r="U692">
        <f>((Table1[[#This Row],[Shift Output]]*Table1[[#This Row],[Part Weight (gm)]])/1000)+Table1[[#This Row],[Reject Startup (kg)]]+Table1[[#This Row],[Reject Purging (kg)]]+Table1[[#This Row],[Reject Preform (kg)]]</f>
        <v>2309.0336000000002</v>
      </c>
      <c r="V692" s="37">
        <f>(Table1[[#This Row],[Gross Weight (gm)]]-Table1[[#This Row],[Part Weight (gm)]])*Table1[[#This Row],[Shift Output]]/1000</f>
        <v>-12.195599999999883</v>
      </c>
      <c r="W692" s="3">
        <v>0</v>
      </c>
      <c r="X692" s="36">
        <f>Table1[[#This Row],[Reject Startup (kg)]]/Table1[[#This Row],[Material Used]]</f>
        <v>0</v>
      </c>
      <c r="Y692" s="3">
        <v>1</v>
      </c>
      <c r="Z692" s="36">
        <f>Table1[[#This Row],[Reject Prod (kg)]]/Table1[[#This Row],[Material Used]]</f>
        <v>4.3308161474999753E-4</v>
      </c>
      <c r="AA692" s="4">
        <v>0</v>
      </c>
      <c r="AB692" s="5">
        <v>12</v>
      </c>
      <c r="AC692" s="4" cm="1">
        <f t="array" ref="AC692">IFERROR(INDEX(ReferenceCard, MATCH(1, (INDEX(ReferenceCard,,1)=Table1[[#This Row],[SAP No]]) * (INDEX(ReferenceCard,,2)=Table1[[#This Row],[Mould No]]), 0), 9),)</f>
        <v>56.5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L692" s="2"/>
      <c r="AM692" s="2"/>
      <c r="AN692" s="3">
        <v>0</v>
      </c>
      <c r="AO692" s="3">
        <v>0</v>
      </c>
      <c r="AP692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693" spans="1:42" x14ac:dyDescent="0.35">
      <c r="A693" s="1">
        <v>46001</v>
      </c>
      <c r="B693">
        <v>1</v>
      </c>
      <c r="C693" t="s">
        <v>11</v>
      </c>
      <c r="D693" t="str" cm="1">
        <f t="array" ref="D693">IFERROR(INDEX(ReferenceCard, MATCH(1, (INDEX(ReferenceCard,,1)=Table1[[#This Row],[SAP No]]) * (INDEX(ReferenceCard,,2)=Table1[[#This Row],[Mould No]]), 0), 6),)</f>
        <v>rPET</v>
      </c>
      <c r="E693">
        <v>620994</v>
      </c>
      <c r="F693">
        <v>0</v>
      </c>
      <c r="G693" t="str" cm="1">
        <f t="array" ref="G693">IFERROR(INDEX(ReferenceCard, MATCH(1, (INDEX(ReferenceCard,,1)=Table1[[#This Row],[SAP No]]) * (INDEX(ReferenceCard,,2)=Table1[[#This Row],[Mould No]]), 0), 3),)</f>
        <v>JJ63-0400-SH-S-CL-rPET</v>
      </c>
      <c r="H693">
        <v>0</v>
      </c>
      <c r="I693" cm="1">
        <f t="array" ref="I693">IFERROR(INDEX(ReferenceCard, MATCH(1, (INDEX(ReferenceCard,,1)=Table1[[#This Row],[SAP No]]) * (INDEX(ReferenceCard,,2)=Table1[[#This Row],[Mould No]]), 0), 4),)</f>
        <v>4</v>
      </c>
      <c r="J693" s="4" cm="1">
        <f t="array" ref="J693">IFERROR(INDEX(ReferenceCard, MATCH(1, (INDEX(ReferenceCard,,1)=Table1[[#This Row],[SAP No]]) * (INDEX(ReferenceCard,,2)=Table1[[#This Row],[Mould No]]), 0), 9),)</f>
        <v>32.74</v>
      </c>
      <c r="K693" s="4" cm="1">
        <f t="array" ref="K693">IFERROR(INDEX(ReferenceCard, MATCH(1, (INDEX(ReferenceCard,,1)=Table1[[#This Row],[SAP No]]) * (INDEX(ReferenceCard,,2)=Table1[[#This Row],[Mould No]]), 0), 7),)</f>
        <v>33</v>
      </c>
      <c r="L693">
        <v>1569</v>
      </c>
      <c r="M693">
        <v>0</v>
      </c>
      <c r="N693">
        <v>0</v>
      </c>
      <c r="O693">
        <v>0</v>
      </c>
      <c r="P693">
        <f>Table1[[#This Row],[Shot]]*Table1[[#This Row],[Cav]]</f>
        <v>6276</v>
      </c>
      <c r="Q693">
        <v>0</v>
      </c>
      <c r="R693">
        <f>(Table1[[#This Row],[Part Weight (gm)]]*Table1[[#This Row],[Finish Good]])/1000</f>
        <v>0</v>
      </c>
      <c r="S693">
        <v>0</v>
      </c>
      <c r="T693">
        <f>IF(Table1[[#This Row],[Qty Order]]="Sample","-",IF(Table1[[#This Row],[Qty Order]]="RTFN","-",Table1[[#This Row],[Qty Order]]-Table1[[#This Row],[Qty Accumulate]]))</f>
        <v>0</v>
      </c>
      <c r="U693">
        <f>((Table1[[#This Row],[Shift Output]]*Table1[[#This Row],[Part Weight (gm)]])/1000)+Table1[[#This Row],[Reject Startup (kg)]]+Table1[[#This Row],[Reject Purging (kg)]]+Table1[[#This Row],[Reject Preform (kg)]]</f>
        <v>209.108</v>
      </c>
      <c r="V693" s="37">
        <f>(Table1[[#This Row],[Gross Weight (gm)]]-Table1[[#This Row],[Part Weight (gm)]])*Table1[[#This Row],[Shift Output]]/1000</f>
        <v>-1.6317599999999874</v>
      </c>
      <c r="W693" s="3">
        <v>0</v>
      </c>
      <c r="X693" s="36">
        <f>Table1[[#This Row],[Reject Startup (kg)]]/Table1[[#This Row],[Material Used]]</f>
        <v>0</v>
      </c>
      <c r="Y693" s="3">
        <v>1</v>
      </c>
      <c r="Z693" s="36">
        <f>Table1[[#This Row],[Reject Prod (kg)]]/Table1[[#This Row],[Material Used]]</f>
        <v>4.7822178013275434E-3</v>
      </c>
      <c r="AA693" s="4">
        <v>0</v>
      </c>
      <c r="AB693" s="5">
        <v>12</v>
      </c>
      <c r="AC693" s="4" cm="1">
        <f t="array" ref="AC693">IFERROR(INDEX(ReferenceCard, MATCH(1, (INDEX(ReferenceCard,,1)=Table1[[#This Row],[SAP No]]) * (INDEX(ReferenceCard,,2)=Table1[[#This Row],[Mould No]]), 0), 9),)</f>
        <v>32.74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L693" s="2"/>
      <c r="AM693" s="2"/>
      <c r="AN693" s="3">
        <v>0</v>
      </c>
      <c r="AO693" s="3">
        <v>2</v>
      </c>
      <c r="AP693" s="6">
        <f>((Table1[[#This Row],[Reject Startup (kg)]]+Table1[[#This Row],[Reject Prod (kg)]]+Table1[[#This Row],[Reject Purging (kg)]]+Table1[[#This Row],[Reject Preform (kg)]])/Table1[[#This Row],[Part Weight (gm)]])*1000</f>
        <v>90.909090909090907</v>
      </c>
    </row>
    <row r="694" spans="1:42" x14ac:dyDescent="0.35">
      <c r="A694" s="1">
        <v>46001</v>
      </c>
      <c r="B694">
        <v>1</v>
      </c>
      <c r="C694" t="s">
        <v>14</v>
      </c>
      <c r="D694" t="str" cm="1">
        <f t="array" ref="D694">IFERROR(INDEX(ReferenceCard, MATCH(1, (INDEX(ReferenceCard,,1)=Table1[[#This Row],[SAP No]]) * (INDEX(ReferenceCard,,2)=Table1[[#This Row],[Mould No]]), 0), 6),)</f>
        <v>PET</v>
      </c>
      <c r="E694">
        <v>324165</v>
      </c>
      <c r="F694">
        <v>0</v>
      </c>
      <c r="G694" t="str" cm="1">
        <f t="array" ref="G694">IFERROR(INDEX(ReferenceCard, MATCH(1, (INDEX(ReferenceCard,,1)=Table1[[#This Row],[SAP No]]) * (INDEX(ReferenceCard,,2)=Table1[[#This Row],[Mould No]]), 0), 3),)</f>
        <v>JJ63-0400-SH-S-WH</v>
      </c>
      <c r="H694">
        <v>0</v>
      </c>
      <c r="I694" cm="1">
        <f t="array" ref="I694">IFERROR(INDEX(ReferenceCard, MATCH(1, (INDEX(ReferenceCard,,1)=Table1[[#This Row],[SAP No]]) * (INDEX(ReferenceCard,,2)=Table1[[#This Row],[Mould No]]), 0), 4),)</f>
        <v>4</v>
      </c>
      <c r="J694" s="4" cm="1">
        <f t="array" ref="J694">IFERROR(INDEX(ReferenceCard, MATCH(1, (INDEX(ReferenceCard,,1)=Table1[[#This Row],[SAP No]]) * (INDEX(ReferenceCard,,2)=Table1[[#This Row],[Mould No]]), 0), 9),)</f>
        <v>32.56</v>
      </c>
      <c r="K694" s="4" cm="1">
        <f t="array" ref="K694">IFERROR(INDEX(ReferenceCard, MATCH(1, (INDEX(ReferenceCard,,1)=Table1[[#This Row],[SAP No]]) * (INDEX(ReferenceCard,,2)=Table1[[#This Row],[Mould No]]), 0), 7),)</f>
        <v>33</v>
      </c>
      <c r="L694">
        <v>14631</v>
      </c>
      <c r="M694">
        <v>0</v>
      </c>
      <c r="N694">
        <v>0</v>
      </c>
      <c r="O694">
        <v>0</v>
      </c>
      <c r="P694">
        <f>Table1[[#This Row],[Shot]]*Table1[[#This Row],[Cav]]</f>
        <v>58524</v>
      </c>
      <c r="Q694">
        <v>0</v>
      </c>
      <c r="R694">
        <f>(Table1[[#This Row],[Part Weight (gm)]]*Table1[[#This Row],[Finish Good]])/1000</f>
        <v>0</v>
      </c>
      <c r="S694">
        <v>0</v>
      </c>
      <c r="T694">
        <f>IF(Table1[[#This Row],[Qty Order]]="Sample","-",IF(Table1[[#This Row],[Qty Order]]="RTFN","-",Table1[[#This Row],[Qty Order]]-Table1[[#This Row],[Qty Accumulate]]))</f>
        <v>0</v>
      </c>
      <c r="U694">
        <f>((Table1[[#This Row],[Shift Output]]*Table1[[#This Row],[Part Weight (gm)]])/1000)+Table1[[#This Row],[Reject Startup (kg)]]+Table1[[#This Row],[Reject Purging (kg)]]+Table1[[#This Row],[Reject Preform (kg)]]</f>
        <v>1943.2919999999999</v>
      </c>
      <c r="V694" s="37">
        <f>(Table1[[#This Row],[Gross Weight (gm)]]-Table1[[#This Row],[Part Weight (gm)]])*Table1[[#This Row],[Shift Output]]/1000</f>
        <v>-25.750559999999865</v>
      </c>
      <c r="W694" s="3">
        <v>0</v>
      </c>
      <c r="X694" s="36">
        <f>Table1[[#This Row],[Reject Startup (kg)]]/Table1[[#This Row],[Material Used]]</f>
        <v>0</v>
      </c>
      <c r="Y694" s="3">
        <v>33</v>
      </c>
      <c r="Z694" s="36">
        <f>Table1[[#This Row],[Reject Prod (kg)]]/Table1[[#This Row],[Material Used]]</f>
        <v>1.6981493259890949E-2</v>
      </c>
      <c r="AA694" s="4">
        <v>0</v>
      </c>
      <c r="AB694" s="5">
        <v>10.19</v>
      </c>
      <c r="AC694" s="4" cm="1">
        <f t="array" ref="AC694">IFERROR(INDEX(ReferenceCard, MATCH(1, (INDEX(ReferenceCard,,1)=Table1[[#This Row],[SAP No]]) * (INDEX(ReferenceCard,,2)=Table1[[#This Row],[Mould No]]), 0), 9),)</f>
        <v>32.56</v>
      </c>
      <c r="AD694" s="5">
        <v>0</v>
      </c>
      <c r="AE694" s="5">
        <v>0</v>
      </c>
      <c r="AF694" s="5">
        <v>0</v>
      </c>
      <c r="AG694" s="5">
        <v>0</v>
      </c>
      <c r="AH694" s="5">
        <v>1.81</v>
      </c>
      <c r="AI694" s="5">
        <v>0</v>
      </c>
      <c r="AJ694" s="5">
        <v>0</v>
      </c>
      <c r="AL694" s="2"/>
      <c r="AM694" s="2"/>
      <c r="AN694" s="3">
        <v>5</v>
      </c>
      <c r="AO694" s="3">
        <v>7</v>
      </c>
      <c r="AP694" s="6">
        <f>((Table1[[#This Row],[Reject Startup (kg)]]+Table1[[#This Row],[Reject Prod (kg)]]+Table1[[#This Row],[Reject Purging (kg)]]+Table1[[#This Row],[Reject Preform (kg)]])/Table1[[#This Row],[Part Weight (gm)]])*1000</f>
        <v>1363.6363636363635</v>
      </c>
    </row>
    <row r="695" spans="1:42" x14ac:dyDescent="0.35">
      <c r="A695" s="1">
        <v>46001</v>
      </c>
      <c r="B695">
        <v>1</v>
      </c>
      <c r="C695" t="s">
        <v>16</v>
      </c>
      <c r="D695" t="str" cm="1">
        <f t="array" ref="D695">IFERROR(INDEX(ReferenceCard, MATCH(1, (INDEX(ReferenceCard,,1)=Table1[[#This Row],[SAP No]]) * (INDEX(ReferenceCard,,2)=Table1[[#This Row],[Mould No]]), 0), 6),)</f>
        <v>PET</v>
      </c>
      <c r="E695">
        <v>323092</v>
      </c>
      <c r="F695">
        <v>0</v>
      </c>
      <c r="G695" t="str" cm="1">
        <f t="array" ref="G695">IFERROR(INDEX(ReferenceCard, MATCH(1, (INDEX(ReferenceCard,,1)=Table1[[#This Row],[SAP No]]) * (INDEX(ReferenceCard,,2)=Table1[[#This Row],[Mould No]]), 0), 3),)</f>
        <v>BX38-1000-GH-R-CL(GREEN) (ASEM)</v>
      </c>
      <c r="H695">
        <v>0</v>
      </c>
      <c r="I695" cm="1">
        <f t="array" ref="I695">IFERROR(INDEX(ReferenceCard, MATCH(1, (INDEX(ReferenceCard,,1)=Table1[[#This Row],[SAP No]]) * (INDEX(ReferenceCard,,2)=Table1[[#This Row],[Mould No]]), 0), 4),)</f>
        <v>4</v>
      </c>
      <c r="J695" s="4" cm="1">
        <f t="array" ref="J695">IFERROR(INDEX(ReferenceCard, MATCH(1, (INDEX(ReferenceCard,,1)=Table1[[#This Row],[SAP No]]) * (INDEX(ReferenceCard,,2)=Table1[[#This Row],[Mould No]]), 0), 9),)</f>
        <v>48.9</v>
      </c>
      <c r="K695" s="4" cm="1">
        <f t="array" ref="K695">IFERROR(INDEX(ReferenceCard, MATCH(1, (INDEX(ReferenceCard,,1)=Table1[[#This Row],[SAP No]]) * (INDEX(ReferenceCard,,2)=Table1[[#This Row],[Mould No]]), 0), 7),)</f>
        <v>48.9</v>
      </c>
      <c r="L695">
        <v>9804</v>
      </c>
      <c r="M695">
        <v>0</v>
      </c>
      <c r="N695">
        <v>0</v>
      </c>
      <c r="O695">
        <v>0</v>
      </c>
      <c r="P695">
        <f>Table1[[#This Row],[Shot]]*Table1[[#This Row],[Cav]]</f>
        <v>39216</v>
      </c>
      <c r="Q695">
        <v>0</v>
      </c>
      <c r="R695">
        <f>(Table1[[#This Row],[Part Weight (gm)]]*Table1[[#This Row],[Finish Good]])/1000</f>
        <v>0</v>
      </c>
      <c r="S695">
        <v>0</v>
      </c>
      <c r="T695">
        <f>IF(Table1[[#This Row],[Qty Order]]="Sample","-",IF(Table1[[#This Row],[Qty Order]]="RTFN","-",Table1[[#This Row],[Qty Order]]-Table1[[#This Row],[Qty Accumulate]]))</f>
        <v>0</v>
      </c>
      <c r="U695">
        <f>((Table1[[#This Row],[Shift Output]]*Table1[[#This Row],[Part Weight (gm)]])/1000)+Table1[[#This Row],[Reject Startup (kg)]]+Table1[[#This Row],[Reject Purging (kg)]]+Table1[[#This Row],[Reject Preform (kg)]]</f>
        <v>1917.6623999999999</v>
      </c>
      <c r="V695" s="37">
        <f>(Table1[[#This Row],[Gross Weight (gm)]]-Table1[[#This Row],[Part Weight (gm)]])*Table1[[#This Row],[Shift Output]]/1000</f>
        <v>0</v>
      </c>
      <c r="W695" s="3">
        <v>0</v>
      </c>
      <c r="X695" s="36">
        <f>Table1[[#This Row],[Reject Startup (kg)]]/Table1[[#This Row],[Material Used]]</f>
        <v>0</v>
      </c>
      <c r="Y695" s="3">
        <v>1</v>
      </c>
      <c r="Z695" s="36">
        <f>Table1[[#This Row],[Reject Prod (kg)]]/Table1[[#This Row],[Material Used]]</f>
        <v>5.2146822089226973E-4</v>
      </c>
      <c r="AA695" s="4">
        <v>0</v>
      </c>
      <c r="AB695" s="5">
        <v>12</v>
      </c>
      <c r="AC695" s="4" cm="1">
        <f t="array" ref="AC695">IFERROR(INDEX(ReferenceCard, MATCH(1, (INDEX(ReferenceCard,,1)=Table1[[#This Row],[SAP No]]) * (INDEX(ReferenceCard,,2)=Table1[[#This Row],[Mould No]]), 0), 9),)</f>
        <v>48.9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L695" s="2"/>
      <c r="AM695" s="2"/>
      <c r="AN695" s="3">
        <v>0</v>
      </c>
      <c r="AO695" s="3">
        <v>0</v>
      </c>
      <c r="AP695" s="6">
        <f>((Table1[[#This Row],[Reject Startup (kg)]]+Table1[[#This Row],[Reject Prod (kg)]]+Table1[[#This Row],[Reject Purging (kg)]]+Table1[[#This Row],[Reject Preform (kg)]])/Table1[[#This Row],[Part Weight (gm)]])*1000</f>
        <v>20.449897750511248</v>
      </c>
    </row>
    <row r="696" spans="1:42" x14ac:dyDescent="0.35">
      <c r="A696" s="1">
        <v>46001</v>
      </c>
      <c r="B696">
        <v>1</v>
      </c>
      <c r="C696" t="s">
        <v>23</v>
      </c>
      <c r="D696" t="str" cm="1">
        <f t="array" ref="D696">IFERROR(INDEX(ReferenceCard, MATCH(1, (INDEX(ReferenceCard,,1)=Table1[[#This Row],[SAP No]]) * (INDEX(ReferenceCard,,2)=Table1[[#This Row],[Mould No]]), 0), 6),)</f>
        <v>PPSB520Y</v>
      </c>
      <c r="E696">
        <v>586276</v>
      </c>
      <c r="F696">
        <v>2</v>
      </c>
      <c r="G696" t="str" cm="1">
        <f t="array" ref="G696">IFERROR(INDEX(ReferenceCard, MATCH(1, (INDEX(ReferenceCard,,1)=Table1[[#This Row],[SAP No]]) * (INDEX(ReferenceCard,,2)=Table1[[#This Row],[Mould No]]), 0), 3),)</f>
        <v>BC28-0056-D-APH-LEB-604001-MOLD2</v>
      </c>
      <c r="H696">
        <v>0</v>
      </c>
      <c r="I696" cm="1">
        <f t="array" ref="I696">IFERROR(INDEX(ReferenceCard, MATCH(1, (INDEX(ReferenceCard,,1)=Table1[[#This Row],[SAP No]]) * (INDEX(ReferenceCard,,2)=Table1[[#This Row],[Mould No]]), 0), 4),)</f>
        <v>6</v>
      </c>
      <c r="J696" s="4" cm="1">
        <f t="array" ref="J696">IFERROR(INDEX(ReferenceCard, MATCH(1, (INDEX(ReferenceCard,,1)=Table1[[#This Row],[SAP No]]) * (INDEX(ReferenceCard,,2)=Table1[[#This Row],[Mould No]]), 0), 9),)</f>
        <v>12.3</v>
      </c>
      <c r="K696" s="4" cm="1">
        <f t="array" ref="K696">IFERROR(INDEX(ReferenceCard, MATCH(1, (INDEX(ReferenceCard,,1)=Table1[[#This Row],[SAP No]]) * (INDEX(ReferenceCard,,2)=Table1[[#This Row],[Mould No]]), 0), 7),)</f>
        <v>12.3</v>
      </c>
      <c r="L696">
        <v>735</v>
      </c>
      <c r="M696">
        <v>0</v>
      </c>
      <c r="N696">
        <v>0</v>
      </c>
      <c r="O696">
        <v>0</v>
      </c>
      <c r="P696">
        <f>Table1[[#This Row],[Shot]]*Table1[[#This Row],[Cav]]</f>
        <v>4410</v>
      </c>
      <c r="Q696">
        <v>0</v>
      </c>
      <c r="R696">
        <f>(Table1[[#This Row],[Part Weight (gm)]]*Table1[[#This Row],[Finish Good]])/1000</f>
        <v>0</v>
      </c>
      <c r="S696">
        <v>0</v>
      </c>
      <c r="T696">
        <f>IF(Table1[[#This Row],[Qty Order]]="Sample","-",IF(Table1[[#This Row],[Qty Order]]="RTFN","-",Table1[[#This Row],[Qty Order]]-Table1[[#This Row],[Qty Accumulate]]))</f>
        <v>0</v>
      </c>
      <c r="U696">
        <f>((Table1[[#This Row],[Shift Output]]*Table1[[#This Row],[Part Weight (gm)]])/1000)+Table1[[#This Row],[Reject Startup (kg)]]+Table1[[#This Row],[Reject Purging (kg)]]+Table1[[#This Row],[Reject Preform (kg)]]</f>
        <v>54.243000000000002</v>
      </c>
      <c r="V696" s="37">
        <f>(Table1[[#This Row],[Gross Weight (gm)]]-Table1[[#This Row],[Part Weight (gm)]])*Table1[[#This Row],[Shift Output]]/1000</f>
        <v>0</v>
      </c>
      <c r="W696" s="3">
        <v>0</v>
      </c>
      <c r="X696" s="36">
        <f>Table1[[#This Row],[Reject Startup (kg)]]/Table1[[#This Row],[Material Used]]</f>
        <v>0</v>
      </c>
      <c r="Y696" s="3">
        <v>2</v>
      </c>
      <c r="Z696" s="36">
        <f>Table1[[#This Row],[Reject Prod (kg)]]/Table1[[#This Row],[Material Used]]</f>
        <v>3.6871117010489833E-2</v>
      </c>
      <c r="AA696" s="4">
        <v>0</v>
      </c>
      <c r="AB696" s="5">
        <v>12</v>
      </c>
      <c r="AC696" s="4" cm="1">
        <f t="array" ref="AC696">IFERROR(INDEX(ReferenceCard, MATCH(1, (INDEX(ReferenceCard,,1)=Table1[[#This Row],[SAP No]]) * (INDEX(ReferenceCard,,2)=Table1[[#This Row],[Mould No]]), 0), 9),)</f>
        <v>12.3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L696" s="2"/>
      <c r="AM696" s="2"/>
      <c r="AN696" s="3">
        <v>0</v>
      </c>
      <c r="AO696" s="3">
        <v>0</v>
      </c>
      <c r="AP696" s="6">
        <f>((Table1[[#This Row],[Reject Startup (kg)]]+Table1[[#This Row],[Reject Prod (kg)]]+Table1[[#This Row],[Reject Purging (kg)]]+Table1[[#This Row],[Reject Preform (kg)]])/Table1[[#This Row],[Part Weight (gm)]])*1000</f>
        <v>162.60162601626016</v>
      </c>
    </row>
    <row r="697" spans="1:42" x14ac:dyDescent="0.35">
      <c r="A697" s="1">
        <v>46001</v>
      </c>
      <c r="B697">
        <v>1</v>
      </c>
      <c r="C697" t="s">
        <v>25</v>
      </c>
      <c r="D697" t="str" cm="1">
        <f t="array" ref="D697">IFERROR(INDEX(ReferenceCard, MATCH(1, (INDEX(ReferenceCard,,1)=Table1[[#This Row],[SAP No]]) * (INDEX(ReferenceCard,,2)=Table1[[#This Row],[Mould No]]), 0), 6),)</f>
        <v>PET</v>
      </c>
      <c r="E697">
        <v>323133</v>
      </c>
      <c r="F697">
        <v>0</v>
      </c>
      <c r="G697" t="str" cm="1">
        <f t="array" ref="G697">IFERROR(INDEX(ReferenceCard, MATCH(1, (INDEX(ReferenceCard,,1)=Table1[[#This Row],[SAP No]]) * (INDEX(ReferenceCard,,2)=Table1[[#This Row],[Mould No]]), 0), 3),)</f>
        <v>BX38-2000-RH-R-CL(GREEN) (ASEM)</v>
      </c>
      <c r="H697">
        <v>0</v>
      </c>
      <c r="I697" cm="1">
        <f t="array" ref="I697">IFERROR(INDEX(ReferenceCard, MATCH(1, (INDEX(ReferenceCard,,1)=Table1[[#This Row],[SAP No]]) * (INDEX(ReferenceCard,,2)=Table1[[#This Row],[Mould No]]), 0), 4),)</f>
        <v>4</v>
      </c>
      <c r="J697" s="4" cm="1">
        <f t="array" ref="J697">IFERROR(INDEX(ReferenceCard, MATCH(1, (INDEX(ReferenceCard,,1)=Table1[[#This Row],[SAP No]]) * (INDEX(ReferenceCard,,2)=Table1[[#This Row],[Mould No]]), 0), 9),)</f>
        <v>77</v>
      </c>
      <c r="K697" s="4" cm="1">
        <f t="array" ref="K697">IFERROR(INDEX(ReferenceCard, MATCH(1, (INDEX(ReferenceCard,,1)=Table1[[#This Row],[SAP No]]) * (INDEX(ReferenceCard,,2)=Table1[[#This Row],[Mould No]]), 0), 7),)</f>
        <v>77</v>
      </c>
      <c r="L697">
        <v>7586</v>
      </c>
      <c r="M697">
        <v>0</v>
      </c>
      <c r="N697">
        <v>0</v>
      </c>
      <c r="O697">
        <v>0</v>
      </c>
      <c r="P697">
        <f>Table1[[#This Row],[Shot]]*Table1[[#This Row],[Cav]]</f>
        <v>30344</v>
      </c>
      <c r="Q697">
        <v>0</v>
      </c>
      <c r="R697">
        <f>(Table1[[#This Row],[Part Weight (gm)]]*Table1[[#This Row],[Finish Good]])/1000</f>
        <v>0</v>
      </c>
      <c r="S697">
        <v>0</v>
      </c>
      <c r="T697">
        <f>IF(Table1[[#This Row],[Qty Order]]="Sample","-",IF(Table1[[#This Row],[Qty Order]]="RTFN","-",Table1[[#This Row],[Qty Order]]-Table1[[#This Row],[Qty Accumulate]]))</f>
        <v>0</v>
      </c>
      <c r="U697">
        <f>((Table1[[#This Row],[Shift Output]]*Table1[[#This Row],[Part Weight (gm)]])/1000)+Table1[[#This Row],[Reject Startup (kg)]]+Table1[[#This Row],[Reject Purging (kg)]]+Table1[[#This Row],[Reject Preform (kg)]]</f>
        <v>2338.4879999999998</v>
      </c>
      <c r="V697" s="37">
        <f>(Table1[[#This Row],[Gross Weight (gm)]]-Table1[[#This Row],[Part Weight (gm)]])*Table1[[#This Row],[Shift Output]]/1000</f>
        <v>0</v>
      </c>
      <c r="W697" s="3">
        <v>0</v>
      </c>
      <c r="X697" s="36">
        <f>Table1[[#This Row],[Reject Startup (kg)]]/Table1[[#This Row],[Material Used]]</f>
        <v>0</v>
      </c>
      <c r="Y697" s="3">
        <v>3</v>
      </c>
      <c r="Z697" s="36">
        <f>Table1[[#This Row],[Reject Prod (kg)]]/Table1[[#This Row],[Material Used]]</f>
        <v>1.2828802200396153E-3</v>
      </c>
      <c r="AA697" s="4">
        <v>0</v>
      </c>
      <c r="AB697" s="5">
        <v>12</v>
      </c>
      <c r="AC697" s="4" cm="1">
        <f t="array" ref="AC697">IFERROR(INDEX(ReferenceCard, MATCH(1, (INDEX(ReferenceCard,,1)=Table1[[#This Row],[SAP No]]) * (INDEX(ReferenceCard,,2)=Table1[[#This Row],[Mould No]]), 0), 9),)</f>
        <v>77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L697" s="2"/>
      <c r="AM697" s="2"/>
      <c r="AN697" s="3">
        <v>0</v>
      </c>
      <c r="AO697" s="3">
        <v>2</v>
      </c>
      <c r="AP697" s="6">
        <f>((Table1[[#This Row],[Reject Startup (kg)]]+Table1[[#This Row],[Reject Prod (kg)]]+Table1[[#This Row],[Reject Purging (kg)]]+Table1[[#This Row],[Reject Preform (kg)]])/Table1[[#This Row],[Part Weight (gm)]])*1000</f>
        <v>64.935064935064929</v>
      </c>
    </row>
    <row r="698" spans="1:42" x14ac:dyDescent="0.35">
      <c r="A698" s="1">
        <v>46001</v>
      </c>
      <c r="B698">
        <v>1</v>
      </c>
      <c r="C698" t="s">
        <v>27</v>
      </c>
      <c r="D698" t="str" cm="1">
        <f t="array" ref="D698">IFERROR(INDEX(ReferenceCard, MATCH(1, (INDEX(ReferenceCard,,1)=Table1[[#This Row],[SAP No]]) * (INDEX(ReferenceCard,,2)=Table1[[#This Row],[Mould No]]), 0), 6),)</f>
        <v>PPSB520Y</v>
      </c>
      <c r="E698">
        <v>552181</v>
      </c>
      <c r="F698">
        <v>4</v>
      </c>
      <c r="G698" t="str" cm="1">
        <f t="array" ref="G698">IFERROR(INDEX(ReferenceCard, MATCH(1, (INDEX(ReferenceCard,,1)=Table1[[#This Row],[SAP No]]) * (INDEX(ReferenceCard,,2)=Table1[[#This Row],[Mould No]]), 0), 3),)</f>
        <v>BC28-0090-D-APH-5180-3538-PP-6 NOTCHES-MOLD4</v>
      </c>
      <c r="H698">
        <v>0</v>
      </c>
      <c r="I698" cm="1">
        <f t="array" ref="I698">IFERROR(INDEX(ReferenceCard, MATCH(1, (INDEX(ReferenceCard,,1)=Table1[[#This Row],[SAP No]]) * (INDEX(ReferenceCard,,2)=Table1[[#This Row],[Mould No]]), 0), 4),)</f>
        <v>6</v>
      </c>
      <c r="J698" s="4" cm="1">
        <f t="array" ref="J698">IFERROR(INDEX(ReferenceCard, MATCH(1, (INDEX(ReferenceCard,,1)=Table1[[#This Row],[SAP No]]) * (INDEX(ReferenceCard,,2)=Table1[[#This Row],[Mould No]]), 0), 9),)</f>
        <v>18.8</v>
      </c>
      <c r="K698" s="4" cm="1">
        <f t="array" ref="K698">IFERROR(INDEX(ReferenceCard, MATCH(1, (INDEX(ReferenceCard,,1)=Table1[[#This Row],[SAP No]]) * (INDEX(ReferenceCard,,2)=Table1[[#This Row],[Mould No]]), 0), 7),)</f>
        <v>18.8</v>
      </c>
      <c r="L698">
        <v>0</v>
      </c>
      <c r="M698">
        <v>0</v>
      </c>
      <c r="N698">
        <v>0</v>
      </c>
      <c r="O698">
        <v>0</v>
      </c>
      <c r="P698">
        <f>Table1[[#This Row],[Shot]]*Table1[[#This Row],[Cav]]</f>
        <v>0</v>
      </c>
      <c r="Q698">
        <v>0</v>
      </c>
      <c r="R698">
        <f>(Table1[[#This Row],[Part Weight (gm)]]*Table1[[#This Row],[Finish Good]])/1000</f>
        <v>0</v>
      </c>
      <c r="S698">
        <v>0</v>
      </c>
      <c r="T698">
        <f>IF(Table1[[#This Row],[Qty Order]]="Sample","-",IF(Table1[[#This Row],[Qty Order]]="RTFN","-",Table1[[#This Row],[Qty Order]]-Table1[[#This Row],[Qty Accumulate]]))</f>
        <v>0</v>
      </c>
      <c r="U698">
        <f>((Table1[[#This Row],[Shift Output]]*Table1[[#This Row],[Part Weight (gm)]])/1000)+Table1[[#This Row],[Reject Startup (kg)]]+Table1[[#This Row],[Reject Purging (kg)]]+Table1[[#This Row],[Reject Preform (kg)]]</f>
        <v>0</v>
      </c>
      <c r="V698" s="37">
        <f>(Table1[[#This Row],[Gross Weight (gm)]]-Table1[[#This Row],[Part Weight (gm)]])*Table1[[#This Row],[Shift Output]]/1000</f>
        <v>0</v>
      </c>
      <c r="W698" s="3">
        <v>0</v>
      </c>
      <c r="X698" s="36" t="e">
        <f>Table1[[#This Row],[Reject Startup (kg)]]/Table1[[#This Row],[Material Used]]</f>
        <v>#DIV/0!</v>
      </c>
      <c r="Y698" s="3">
        <v>2</v>
      </c>
      <c r="Z698" s="36" t="e">
        <f>Table1[[#This Row],[Reject Prod (kg)]]/Table1[[#This Row],[Material Used]]</f>
        <v>#DIV/0!</v>
      </c>
      <c r="AA698" s="4">
        <v>0</v>
      </c>
      <c r="AB698" s="5">
        <v>12</v>
      </c>
      <c r="AC698" s="4" cm="1">
        <f t="array" ref="AC698">IFERROR(INDEX(ReferenceCard, MATCH(1, (INDEX(ReferenceCard,,1)=Table1[[#This Row],[SAP No]]) * (INDEX(ReferenceCard,,2)=Table1[[#This Row],[Mould No]]), 0), 9),)</f>
        <v>18.8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L698" s="2"/>
      <c r="AM698" s="2"/>
      <c r="AN698" s="3">
        <v>0</v>
      </c>
      <c r="AO698" s="3">
        <v>0</v>
      </c>
      <c r="AP698" s="6">
        <f>((Table1[[#This Row],[Reject Startup (kg)]]+Table1[[#This Row],[Reject Prod (kg)]]+Table1[[#This Row],[Reject Purging (kg)]]+Table1[[#This Row],[Reject Preform (kg)]])/Table1[[#This Row],[Part Weight (gm)]])*1000</f>
        <v>106.38297872340425</v>
      </c>
    </row>
    <row r="699" spans="1:42" x14ac:dyDescent="0.35">
      <c r="A699" s="1">
        <v>46001</v>
      </c>
      <c r="B699">
        <v>1</v>
      </c>
      <c r="C699" t="s">
        <v>29</v>
      </c>
      <c r="D699" t="str" cm="1">
        <f t="array" ref="D699">IFERROR(INDEX(ReferenceCard, MATCH(1, (INDEX(ReferenceCard,,1)=Table1[[#This Row],[SAP No]]) * (INDEX(ReferenceCard,,2)=Table1[[#This Row],[Mould No]]), 0), 6),)</f>
        <v>PET</v>
      </c>
      <c r="E699">
        <v>620599</v>
      </c>
      <c r="F699">
        <v>0</v>
      </c>
      <c r="G699" t="str" cm="1">
        <f t="array" ref="G699">IFERROR(INDEX(ReferenceCard, MATCH(1, (INDEX(ReferenceCard,,1)=Table1[[#This Row],[SAP No]]) * (INDEX(ReferenceCard,,2)=Table1[[#This Row],[Mould No]]), 0), 3),)</f>
        <v>BC28-0750-K4-R-CL (55g)</v>
      </c>
      <c r="H699">
        <v>0</v>
      </c>
      <c r="I699" cm="1">
        <f t="array" ref="I699">IFERROR(INDEX(ReferenceCard, MATCH(1, (INDEX(ReferenceCard,,1)=Table1[[#This Row],[SAP No]]) * (INDEX(ReferenceCard,,2)=Table1[[#This Row],[Mould No]]), 0), 4),)</f>
        <v>4</v>
      </c>
      <c r="J699" s="4" cm="1">
        <f t="array" ref="J699">IFERROR(INDEX(ReferenceCard, MATCH(1, (INDEX(ReferenceCard,,1)=Table1[[#This Row],[SAP No]]) * (INDEX(ReferenceCard,,2)=Table1[[#This Row],[Mould No]]), 0), 9),)</f>
        <v>55</v>
      </c>
      <c r="K699" s="4" cm="1">
        <f t="array" ref="K699">IFERROR(INDEX(ReferenceCard, MATCH(1, (INDEX(ReferenceCard,,1)=Table1[[#This Row],[SAP No]]) * (INDEX(ReferenceCard,,2)=Table1[[#This Row],[Mould No]]), 0), 7),)</f>
        <v>55</v>
      </c>
      <c r="L699">
        <v>11124</v>
      </c>
      <c r="M699">
        <v>0</v>
      </c>
      <c r="N699">
        <v>0</v>
      </c>
      <c r="O699">
        <v>0</v>
      </c>
      <c r="P699">
        <f>Table1[[#This Row],[Shot]]*Table1[[#This Row],[Cav]]</f>
        <v>44496</v>
      </c>
      <c r="Q699">
        <v>0</v>
      </c>
      <c r="R699">
        <f>(Table1[[#This Row],[Part Weight (gm)]]*Table1[[#This Row],[Finish Good]])/1000</f>
        <v>0</v>
      </c>
      <c r="S699">
        <v>0</v>
      </c>
      <c r="T699">
        <f>IF(Table1[[#This Row],[Qty Order]]="Sample","-",IF(Table1[[#This Row],[Qty Order]]="RTFN","-",Table1[[#This Row],[Qty Order]]-Table1[[#This Row],[Qty Accumulate]]))</f>
        <v>0</v>
      </c>
      <c r="U699">
        <f>((Table1[[#This Row],[Shift Output]]*Table1[[#This Row],[Part Weight (gm)]])/1000)+Table1[[#This Row],[Reject Startup (kg)]]+Table1[[#This Row],[Reject Purging (kg)]]+Table1[[#This Row],[Reject Preform (kg)]]</f>
        <v>2449.2800000000002</v>
      </c>
      <c r="V699" s="37">
        <f>(Table1[[#This Row],[Gross Weight (gm)]]-Table1[[#This Row],[Part Weight (gm)]])*Table1[[#This Row],[Shift Output]]/1000</f>
        <v>0</v>
      </c>
      <c r="W699" s="3">
        <v>0</v>
      </c>
      <c r="X699" s="36">
        <f>Table1[[#This Row],[Reject Startup (kg)]]/Table1[[#This Row],[Material Used]]</f>
        <v>0</v>
      </c>
      <c r="Y699" s="3">
        <v>6</v>
      </c>
      <c r="Z699" s="36">
        <f>Table1[[#This Row],[Reject Prod (kg)]]/Table1[[#This Row],[Material Used]]</f>
        <v>2.4496995035275669E-3</v>
      </c>
      <c r="AA699" s="4">
        <v>0</v>
      </c>
      <c r="AB699" s="5">
        <v>12</v>
      </c>
      <c r="AC699" s="4" cm="1">
        <f t="array" ref="AC699">IFERROR(INDEX(ReferenceCard, MATCH(1, (INDEX(ReferenceCard,,1)=Table1[[#This Row],[SAP No]]) * (INDEX(ReferenceCard,,2)=Table1[[#This Row],[Mould No]]), 0), 9),)</f>
        <v>55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t="s">
        <v>164</v>
      </c>
      <c r="AL699" s="2"/>
      <c r="AM699" s="2"/>
      <c r="AN699" s="3">
        <v>2</v>
      </c>
      <c r="AO699" s="3">
        <v>0</v>
      </c>
      <c r="AP699" s="6">
        <f>((Table1[[#This Row],[Reject Startup (kg)]]+Table1[[#This Row],[Reject Prod (kg)]]+Table1[[#This Row],[Reject Purging (kg)]]+Table1[[#This Row],[Reject Preform (kg)]])/Table1[[#This Row],[Part Weight (gm)]])*1000</f>
        <v>145.45454545454544</v>
      </c>
    </row>
    <row r="700" spans="1:42" x14ac:dyDescent="0.35">
      <c r="A700" s="1">
        <v>46001</v>
      </c>
      <c r="B700">
        <v>1</v>
      </c>
      <c r="C700" t="s">
        <v>31</v>
      </c>
      <c r="D700" t="str" cm="1">
        <f t="array" ref="D700">IFERROR(INDEX(ReferenceCard, MATCH(1, (INDEX(ReferenceCard,,1)=Table1[[#This Row],[SAP No]]) * (INDEX(ReferenceCard,,2)=Table1[[#This Row],[Mould No]]), 0), 6),)</f>
        <v>PPSB520Y</v>
      </c>
      <c r="E700">
        <v>586276</v>
      </c>
      <c r="F700">
        <v>4</v>
      </c>
      <c r="G700" t="str" cm="1">
        <f t="array" ref="G700">IFERROR(INDEX(ReferenceCard, MATCH(1, (INDEX(ReferenceCard,,1)=Table1[[#This Row],[SAP No]]) * (INDEX(ReferenceCard,,2)=Table1[[#This Row],[Mould No]]), 0), 3),)</f>
        <v>BC28-0056-D-APH-LEB-604001-MOLD4</v>
      </c>
      <c r="H700">
        <v>0</v>
      </c>
      <c r="I700" cm="1">
        <f t="array" ref="I700">IFERROR(INDEX(ReferenceCard, MATCH(1, (INDEX(ReferenceCard,,1)=Table1[[#This Row],[SAP No]]) * (INDEX(ReferenceCard,,2)=Table1[[#This Row],[Mould No]]), 0), 4),)</f>
        <v>6</v>
      </c>
      <c r="J700" s="4" cm="1">
        <f t="array" ref="J700">IFERROR(INDEX(ReferenceCard, MATCH(1, (INDEX(ReferenceCard,,1)=Table1[[#This Row],[SAP No]]) * (INDEX(ReferenceCard,,2)=Table1[[#This Row],[Mould No]]), 0), 9),)</f>
        <v>12.3</v>
      </c>
      <c r="K700" s="4" cm="1">
        <f t="array" ref="K700">IFERROR(INDEX(ReferenceCard, MATCH(1, (INDEX(ReferenceCard,,1)=Table1[[#This Row],[SAP No]]) * (INDEX(ReferenceCard,,2)=Table1[[#This Row],[Mould No]]), 0), 7),)</f>
        <v>12.3</v>
      </c>
      <c r="L700">
        <v>614</v>
      </c>
      <c r="M700">
        <v>0</v>
      </c>
      <c r="N700">
        <v>0</v>
      </c>
      <c r="O700">
        <v>0</v>
      </c>
      <c r="P700">
        <f>Table1[[#This Row],[Shot]]*Table1[[#This Row],[Cav]]</f>
        <v>3684</v>
      </c>
      <c r="Q700">
        <v>0</v>
      </c>
      <c r="R700">
        <f>(Table1[[#This Row],[Part Weight (gm)]]*Table1[[#This Row],[Finish Good]])/1000</f>
        <v>0</v>
      </c>
      <c r="S700">
        <v>0</v>
      </c>
      <c r="T700">
        <f>IF(Table1[[#This Row],[Qty Order]]="Sample","-",IF(Table1[[#This Row],[Qty Order]]="RTFN","-",Table1[[#This Row],[Qty Order]]-Table1[[#This Row],[Qty Accumulate]]))</f>
        <v>0</v>
      </c>
      <c r="U700">
        <f>((Table1[[#This Row],[Shift Output]]*Table1[[#This Row],[Part Weight (gm)]])/1000)+Table1[[#This Row],[Reject Startup (kg)]]+Table1[[#This Row],[Reject Purging (kg)]]+Table1[[#This Row],[Reject Preform (kg)]]</f>
        <v>50.313200000000002</v>
      </c>
      <c r="V700" s="37">
        <f>(Table1[[#This Row],[Gross Weight (gm)]]-Table1[[#This Row],[Part Weight (gm)]])*Table1[[#This Row],[Shift Output]]/1000</f>
        <v>0</v>
      </c>
      <c r="W700" s="3">
        <v>0</v>
      </c>
      <c r="X700" s="36">
        <f>Table1[[#This Row],[Reject Startup (kg)]]/Table1[[#This Row],[Material Used]]</f>
        <v>0</v>
      </c>
      <c r="Y700" s="3">
        <v>2</v>
      </c>
      <c r="Z700" s="36">
        <f>Table1[[#This Row],[Reject Prod (kg)]]/Table1[[#This Row],[Material Used]]</f>
        <v>3.97509997376434E-2</v>
      </c>
      <c r="AA700" s="4">
        <v>0</v>
      </c>
      <c r="AB700" s="5">
        <v>2.95</v>
      </c>
      <c r="AC700" s="4" cm="1">
        <f t="array" ref="AC700">IFERROR(INDEX(ReferenceCard, MATCH(1, (INDEX(ReferenceCard,,1)=Table1[[#This Row],[SAP No]]) * (INDEX(ReferenceCard,,2)=Table1[[#This Row],[Mould No]]), 0), 9),)</f>
        <v>12.3</v>
      </c>
      <c r="AD700" s="5">
        <v>0</v>
      </c>
      <c r="AE700" s="5">
        <v>0</v>
      </c>
      <c r="AF700" s="5">
        <v>0</v>
      </c>
      <c r="AG700" s="5">
        <v>7.0000000000000007E-2</v>
      </c>
      <c r="AH700" s="5">
        <v>8.98</v>
      </c>
      <c r="AI700" s="5">
        <v>0</v>
      </c>
      <c r="AJ700" s="5">
        <v>0</v>
      </c>
      <c r="AL700" s="2"/>
      <c r="AM700" s="2"/>
      <c r="AN700" s="3">
        <v>3</v>
      </c>
      <c r="AO700" s="3">
        <v>2</v>
      </c>
      <c r="AP700" s="6">
        <f>((Table1[[#This Row],[Reject Startup (kg)]]+Table1[[#This Row],[Reject Prod (kg)]]+Table1[[#This Row],[Reject Purging (kg)]]+Table1[[#This Row],[Reject Preform (kg)]])/Table1[[#This Row],[Part Weight (gm)]])*1000</f>
        <v>569.10569105691059</v>
      </c>
    </row>
    <row r="701" spans="1:42" x14ac:dyDescent="0.35">
      <c r="A701" s="1">
        <v>46001</v>
      </c>
      <c r="B701">
        <v>1</v>
      </c>
      <c r="C701" t="s">
        <v>33</v>
      </c>
      <c r="D701" t="str" cm="1">
        <f t="array" ref="D701">IFERROR(INDEX(ReferenceCard, MATCH(1, (INDEX(ReferenceCard,,1)=Table1[[#This Row],[SAP No]]) * (INDEX(ReferenceCard,,2)=Table1[[#This Row],[Mould No]]), 0), 6),)</f>
        <v>PET</v>
      </c>
      <c r="E701">
        <v>541381</v>
      </c>
      <c r="F701">
        <v>0</v>
      </c>
      <c r="G701" t="str" cm="1">
        <f t="array" ref="G701">IFERROR(INDEX(ReferenceCard, MATCH(1, (INDEX(ReferenceCard,,1)=Table1[[#This Row],[SAP No]]) * (INDEX(ReferenceCard,,2)=Table1[[#This Row],[Mould No]]), 0), 3),)</f>
        <v>BC28-1200-K-R-CL</v>
      </c>
      <c r="H701">
        <v>0</v>
      </c>
      <c r="I701" cm="1">
        <f t="array" ref="I701">IFERROR(INDEX(ReferenceCard, MATCH(1, (INDEX(ReferenceCard,,1)=Table1[[#This Row],[SAP No]]) * (INDEX(ReferenceCard,,2)=Table1[[#This Row],[Mould No]]), 0), 4),)</f>
        <v>4</v>
      </c>
      <c r="J701" s="4" cm="1">
        <f t="array" ref="J701">IFERROR(INDEX(ReferenceCard, MATCH(1, (INDEX(ReferenceCard,,1)=Table1[[#This Row],[SAP No]]) * (INDEX(ReferenceCard,,2)=Table1[[#This Row],[Mould No]]), 0), 9),)</f>
        <v>55</v>
      </c>
      <c r="K701" s="4" cm="1">
        <f t="array" ref="K701">IFERROR(INDEX(ReferenceCard, MATCH(1, (INDEX(ReferenceCard,,1)=Table1[[#This Row],[SAP No]]) * (INDEX(ReferenceCard,,2)=Table1[[#This Row],[Mould No]]), 0), 7),)</f>
        <v>55</v>
      </c>
      <c r="L701">
        <v>0</v>
      </c>
      <c r="M701">
        <v>0</v>
      </c>
      <c r="N701">
        <v>0</v>
      </c>
      <c r="O701">
        <v>0</v>
      </c>
      <c r="P701">
        <f>Table1[[#This Row],[Shot]]*Table1[[#This Row],[Cav]]</f>
        <v>0</v>
      </c>
      <c r="Q701">
        <v>0</v>
      </c>
      <c r="R701">
        <f>(Table1[[#This Row],[Part Weight (gm)]]*Table1[[#This Row],[Finish Good]])/1000</f>
        <v>0</v>
      </c>
      <c r="S701">
        <v>0</v>
      </c>
      <c r="T701">
        <f>IF(Table1[[#This Row],[Qty Order]]="Sample","-",IF(Table1[[#This Row],[Qty Order]]="RTFN","-",Table1[[#This Row],[Qty Order]]-Table1[[#This Row],[Qty Accumulate]]))</f>
        <v>0</v>
      </c>
      <c r="U701">
        <f>((Table1[[#This Row],[Shift Output]]*Table1[[#This Row],[Part Weight (gm)]])/1000)+Table1[[#This Row],[Reject Startup (kg)]]+Table1[[#This Row],[Reject Purging (kg)]]+Table1[[#This Row],[Reject Preform (kg)]]</f>
        <v>0</v>
      </c>
      <c r="V701" s="37">
        <f>(Table1[[#This Row],[Gross Weight (gm)]]-Table1[[#This Row],[Part Weight (gm)]])*Table1[[#This Row],[Shift Output]]/1000</f>
        <v>0</v>
      </c>
      <c r="W701" s="3">
        <v>0</v>
      </c>
      <c r="X701" s="36" t="e">
        <f>Table1[[#This Row],[Reject Startup (kg)]]/Table1[[#This Row],[Material Used]]</f>
        <v>#DIV/0!</v>
      </c>
      <c r="Y701" s="3">
        <v>0</v>
      </c>
      <c r="Z701" s="36" t="e">
        <f>Table1[[#This Row],[Reject Prod (kg)]]/Table1[[#This Row],[Material Used]]</f>
        <v>#DIV/0!</v>
      </c>
      <c r="AA701" s="4">
        <v>0</v>
      </c>
      <c r="AB701" s="5">
        <v>12</v>
      </c>
      <c r="AC701" s="4" cm="1">
        <f t="array" ref="AC701">IFERROR(INDEX(ReferenceCard, MATCH(1, (INDEX(ReferenceCard,,1)=Table1[[#This Row],[SAP No]]) * (INDEX(ReferenceCard,,2)=Table1[[#This Row],[Mould No]]), 0), 9),)</f>
        <v>55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t="s">
        <v>145</v>
      </c>
      <c r="AL701" s="2"/>
      <c r="AM701" s="2"/>
      <c r="AN701" s="3">
        <v>0</v>
      </c>
      <c r="AO701" s="3">
        <v>0</v>
      </c>
      <c r="AP70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02" spans="1:42" x14ac:dyDescent="0.35">
      <c r="A702" s="1">
        <v>46001</v>
      </c>
      <c r="B702">
        <v>1</v>
      </c>
      <c r="C702" t="s">
        <v>35</v>
      </c>
      <c r="D702" t="str" cm="1">
        <f t="array" ref="D702">IFERROR(INDEX(ReferenceCard, MATCH(1, (INDEX(ReferenceCard,,1)=Table1[[#This Row],[SAP No]]) * (INDEX(ReferenceCard,,2)=Table1[[#This Row],[Mould No]]), 0), 6),)</f>
        <v>PPSB520Y</v>
      </c>
      <c r="E702">
        <v>552181</v>
      </c>
      <c r="F702">
        <v>1</v>
      </c>
      <c r="G702" t="str" cm="1">
        <f t="array" ref="G702">IFERROR(INDEX(ReferenceCard, MATCH(1, (INDEX(ReferenceCard,,1)=Table1[[#This Row],[SAP No]]) * (INDEX(ReferenceCard,,2)=Table1[[#This Row],[Mould No]]), 0), 3),)</f>
        <v>BC28-0090-D-APH-5180-3538-PP-6 NOTCHES-MOLD1</v>
      </c>
      <c r="H702">
        <v>0</v>
      </c>
      <c r="I702" cm="1">
        <f t="array" ref="I702">IFERROR(INDEX(ReferenceCard, MATCH(1, (INDEX(ReferenceCard,,1)=Table1[[#This Row],[SAP No]]) * (INDEX(ReferenceCard,,2)=Table1[[#This Row],[Mould No]]), 0), 4),)</f>
        <v>6</v>
      </c>
      <c r="J702" s="4" cm="1">
        <f t="array" ref="J702">IFERROR(INDEX(ReferenceCard, MATCH(1, (INDEX(ReferenceCard,,1)=Table1[[#This Row],[SAP No]]) * (INDEX(ReferenceCard,,2)=Table1[[#This Row],[Mould No]]), 0), 9),)</f>
        <v>18.8</v>
      </c>
      <c r="K702" s="4" cm="1">
        <f t="array" ref="K702">IFERROR(INDEX(ReferenceCard, MATCH(1, (INDEX(ReferenceCard,,1)=Table1[[#This Row],[SAP No]]) * (INDEX(ReferenceCard,,2)=Table1[[#This Row],[Mould No]]), 0), 7),)</f>
        <v>18.8</v>
      </c>
      <c r="L702">
        <v>45</v>
      </c>
      <c r="M702">
        <v>0</v>
      </c>
      <c r="N702">
        <v>0</v>
      </c>
      <c r="O702">
        <v>0</v>
      </c>
      <c r="P702">
        <f>Table1[[#This Row],[Shot]]*Table1[[#This Row],[Cav]]</f>
        <v>270</v>
      </c>
      <c r="Q702">
        <v>0</v>
      </c>
      <c r="R702">
        <f>(Table1[[#This Row],[Part Weight (gm)]]*Table1[[#This Row],[Finish Good]])/1000</f>
        <v>0</v>
      </c>
      <c r="S702">
        <v>0</v>
      </c>
      <c r="T702">
        <f>IF(Table1[[#This Row],[Qty Order]]="Sample","-",IF(Table1[[#This Row],[Qty Order]]="RTFN","-",Table1[[#This Row],[Qty Order]]-Table1[[#This Row],[Qty Accumulate]]))</f>
        <v>0</v>
      </c>
      <c r="U702">
        <f>((Table1[[#This Row],[Shift Output]]*Table1[[#This Row],[Part Weight (gm)]])/1000)+Table1[[#This Row],[Reject Startup (kg)]]+Table1[[#This Row],[Reject Purging (kg)]]+Table1[[#This Row],[Reject Preform (kg)]]</f>
        <v>6.0759999999999996</v>
      </c>
      <c r="V702" s="37">
        <f>(Table1[[#This Row],[Gross Weight (gm)]]-Table1[[#This Row],[Part Weight (gm)]])*Table1[[#This Row],[Shift Output]]/1000</f>
        <v>0</v>
      </c>
      <c r="W702" s="3">
        <v>0</v>
      </c>
      <c r="X702" s="36">
        <f>Table1[[#This Row],[Reject Startup (kg)]]/Table1[[#This Row],[Material Used]]</f>
        <v>0</v>
      </c>
      <c r="Y702" s="3">
        <v>1</v>
      </c>
      <c r="Z702" s="36">
        <f>Table1[[#This Row],[Reject Prod (kg)]]/Table1[[#This Row],[Material Used]]</f>
        <v>0.16458196181698487</v>
      </c>
      <c r="AA702" s="4">
        <v>0</v>
      </c>
      <c r="AB702" s="5">
        <v>8.39</v>
      </c>
      <c r="AC702" s="4" cm="1">
        <f t="array" ref="AC702">IFERROR(INDEX(ReferenceCard, MATCH(1, (INDEX(ReferenceCard,,1)=Table1[[#This Row],[SAP No]]) * (INDEX(ReferenceCard,,2)=Table1[[#This Row],[Mould No]]), 0), 9),)</f>
        <v>18.8</v>
      </c>
      <c r="AD702" s="5">
        <v>0</v>
      </c>
      <c r="AE702" s="5">
        <v>0</v>
      </c>
      <c r="AF702" s="5">
        <v>0</v>
      </c>
      <c r="AG702" s="5">
        <v>3.6099999999999901</v>
      </c>
      <c r="AH702" s="5">
        <v>0</v>
      </c>
      <c r="AI702" s="5">
        <v>0</v>
      </c>
      <c r="AJ702" s="5">
        <v>0</v>
      </c>
      <c r="AL702" s="2"/>
      <c r="AM702" s="2"/>
      <c r="AN702" s="3">
        <v>1</v>
      </c>
      <c r="AO702" s="3">
        <v>0</v>
      </c>
      <c r="AP702" s="6">
        <f>((Table1[[#This Row],[Reject Startup (kg)]]+Table1[[#This Row],[Reject Prod (kg)]]+Table1[[#This Row],[Reject Purging (kg)]]+Table1[[#This Row],[Reject Preform (kg)]])/Table1[[#This Row],[Part Weight (gm)]])*1000</f>
        <v>106.38297872340425</v>
      </c>
    </row>
    <row r="703" spans="1:42" x14ac:dyDescent="0.35">
      <c r="A703" s="1">
        <v>46001</v>
      </c>
      <c r="B703">
        <v>1</v>
      </c>
      <c r="C703" t="s">
        <v>18</v>
      </c>
      <c r="D703" t="str" cm="1">
        <f t="array" ref="D703">IFERROR(INDEX(ReferenceCard, MATCH(1, (INDEX(ReferenceCard,,1)=Table1[[#This Row],[SAP No]]) * (INDEX(ReferenceCard,,2)=Table1[[#This Row],[Mould No]]), 0), 6),)</f>
        <v>PPSB520Y</v>
      </c>
      <c r="E703">
        <v>555979</v>
      </c>
      <c r="F703">
        <v>4</v>
      </c>
      <c r="G703" t="str" cm="1">
        <f t="array" ref="G703">IFERROR(INDEX(ReferenceCard, MATCH(1, (INDEX(ReferenceCard,,1)=Table1[[#This Row],[SAP No]]) * (INDEX(ReferenceCard,,2)=Table1[[#This Row],[Mould No]]), 0), 3),)</f>
        <v>BC28-0170-D-APH-5180-3539-PP-6 NOTCHES-MOLD4</v>
      </c>
      <c r="H703">
        <v>0</v>
      </c>
      <c r="I703" cm="1">
        <f t="array" ref="I703">IFERROR(INDEX(ReferenceCard, MATCH(1, (INDEX(ReferenceCard,,1)=Table1[[#This Row],[SAP No]]) * (INDEX(ReferenceCard,,2)=Table1[[#This Row],[Mould No]]), 0), 4),)</f>
        <v>6</v>
      </c>
      <c r="J703" s="4" cm="1">
        <f t="array" ref="J703">IFERROR(INDEX(ReferenceCard, MATCH(1, (INDEX(ReferenceCard,,1)=Table1[[#This Row],[SAP No]]) * (INDEX(ReferenceCard,,2)=Table1[[#This Row],[Mould No]]), 0), 9),)</f>
        <v>28</v>
      </c>
      <c r="K703" s="4" cm="1">
        <f t="array" ref="K703">IFERROR(INDEX(ReferenceCard, MATCH(1, (INDEX(ReferenceCard,,1)=Table1[[#This Row],[SAP No]]) * (INDEX(ReferenceCard,,2)=Table1[[#This Row],[Mould No]]), 0), 7),)</f>
        <v>28</v>
      </c>
      <c r="L703">
        <v>967</v>
      </c>
      <c r="M703">
        <v>0</v>
      </c>
      <c r="N703">
        <v>0</v>
      </c>
      <c r="O703">
        <v>0</v>
      </c>
      <c r="P703">
        <f>Table1[[#This Row],[Shot]]*Table1[[#This Row],[Cav]]</f>
        <v>5802</v>
      </c>
      <c r="Q703">
        <v>0</v>
      </c>
      <c r="R703">
        <f>(Table1[[#This Row],[Part Weight (gm)]]*Table1[[#This Row],[Finish Good]])/1000</f>
        <v>0</v>
      </c>
      <c r="S703">
        <v>0</v>
      </c>
      <c r="T703">
        <f>IF(Table1[[#This Row],[Qty Order]]="Sample","-",IF(Table1[[#This Row],[Qty Order]]="RTFN","-",Table1[[#This Row],[Qty Order]]-Table1[[#This Row],[Qty Accumulate]]))</f>
        <v>0</v>
      </c>
      <c r="U703">
        <f>((Table1[[#This Row],[Shift Output]]*Table1[[#This Row],[Part Weight (gm)]])/1000)+Table1[[#This Row],[Reject Startup (kg)]]+Table1[[#This Row],[Reject Purging (kg)]]+Table1[[#This Row],[Reject Preform (kg)]]</f>
        <v>164.45599999999999</v>
      </c>
      <c r="V703" s="37">
        <f>(Table1[[#This Row],[Gross Weight (gm)]]-Table1[[#This Row],[Part Weight (gm)]])*Table1[[#This Row],[Shift Output]]/1000</f>
        <v>0</v>
      </c>
      <c r="W703" s="3">
        <v>0</v>
      </c>
      <c r="X703" s="36">
        <f>Table1[[#This Row],[Reject Startup (kg)]]/Table1[[#This Row],[Material Used]]</f>
        <v>0</v>
      </c>
      <c r="Y703" s="3">
        <v>3</v>
      </c>
      <c r="Z703" s="36">
        <f>Table1[[#This Row],[Reject Prod (kg)]]/Table1[[#This Row],[Material Used]]</f>
        <v>1.8241961375687114E-2</v>
      </c>
      <c r="AA703" s="4">
        <v>43.5</v>
      </c>
      <c r="AB703" s="5">
        <v>12</v>
      </c>
      <c r="AC703" s="4" cm="1">
        <f t="array" ref="AC703">IFERROR(INDEX(ReferenceCard, MATCH(1, (INDEX(ReferenceCard,,1)=Table1[[#This Row],[SAP No]]) * (INDEX(ReferenceCard,,2)=Table1[[#This Row],[Mould No]]), 0), 9),)</f>
        <v>28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L703" s="2"/>
      <c r="AM703" s="2"/>
      <c r="AN703" s="3">
        <v>2</v>
      </c>
      <c r="AO703" s="3">
        <v>0</v>
      </c>
      <c r="AP703" s="6">
        <f>((Table1[[#This Row],[Reject Startup (kg)]]+Table1[[#This Row],[Reject Prod (kg)]]+Table1[[#This Row],[Reject Purging (kg)]]+Table1[[#This Row],[Reject Preform (kg)]])/Table1[[#This Row],[Part Weight (gm)]])*1000</f>
        <v>178.57142857142858</v>
      </c>
    </row>
    <row r="704" spans="1:42" x14ac:dyDescent="0.35">
      <c r="A704" s="1">
        <v>46000</v>
      </c>
      <c r="B704">
        <v>2</v>
      </c>
      <c r="C704" t="s">
        <v>0</v>
      </c>
      <c r="D704" t="str" cm="1">
        <f t="array" ref="D704">IFERROR(INDEX(ReferenceCard, MATCH(1, (INDEX(ReferenceCard,,1)=Table1[[#This Row],[SAP No]]) * (INDEX(ReferenceCard,,2)=Table1[[#This Row],[Mould No]]), 0), 6),)</f>
        <v>PET</v>
      </c>
      <c r="E704">
        <v>369308</v>
      </c>
      <c r="F704">
        <v>0</v>
      </c>
      <c r="G704" t="str" cm="1">
        <f t="array" ref="G704">IFERROR(INDEX(ReferenceCard, MATCH(1, (INDEX(ReferenceCard,,1)=Table1[[#This Row],[SAP No]]) * (INDEX(ReferenceCard,,2)=Table1[[#This Row],[Mould No]]), 0), 3),)</f>
        <v>BW38-0280-LS-R-RED</v>
      </c>
      <c r="H704">
        <v>0</v>
      </c>
      <c r="I704" cm="1">
        <f t="array" ref="I704">IFERROR(INDEX(ReferenceCard, MATCH(1, (INDEX(ReferenceCard,,1)=Table1[[#This Row],[SAP No]]) * (INDEX(ReferenceCard,,2)=Table1[[#This Row],[Mould No]]), 0), 4),)</f>
        <v>4</v>
      </c>
      <c r="J704" s="4" cm="1">
        <f t="array" ref="J704">IFERROR(INDEX(ReferenceCard, MATCH(1, (INDEX(ReferenceCard,,1)=Table1[[#This Row],[SAP No]]) * (INDEX(ReferenceCard,,2)=Table1[[#This Row],[Mould No]]), 0), 9),)</f>
        <v>31</v>
      </c>
      <c r="K704" s="4" cm="1">
        <f t="array" ref="K704">IFERROR(INDEX(ReferenceCard, MATCH(1, (INDEX(ReferenceCard,,1)=Table1[[#This Row],[SAP No]]) * (INDEX(ReferenceCard,,2)=Table1[[#This Row],[Mould No]]), 0), 7),)</f>
        <v>31</v>
      </c>
      <c r="L704">
        <v>1624</v>
      </c>
      <c r="M704">
        <v>0</v>
      </c>
      <c r="N704">
        <v>0</v>
      </c>
      <c r="O704">
        <v>0</v>
      </c>
      <c r="P704">
        <f>Table1[[#This Row],[Shot]]*Table1[[#This Row],[Cav]]</f>
        <v>6496</v>
      </c>
      <c r="Q704">
        <v>0</v>
      </c>
      <c r="R704">
        <f>(Table1[[#This Row],[Part Weight (gm)]]*Table1[[#This Row],[Finish Good]])/1000</f>
        <v>0</v>
      </c>
      <c r="S704">
        <v>0</v>
      </c>
      <c r="T704">
        <f>IF(Table1[[#This Row],[Qty Order]]="Sample","-",IF(Table1[[#This Row],[Qty Order]]="RTFN","-",Table1[[#This Row],[Qty Order]]-Table1[[#This Row],[Qty Accumulate]]))</f>
        <v>0</v>
      </c>
      <c r="U704">
        <f>((Table1[[#This Row],[Shift Output]]*Table1[[#This Row],[Part Weight (gm)]])/1000)+Table1[[#This Row],[Reject Startup (kg)]]+Table1[[#This Row],[Reject Purging (kg)]]+Table1[[#This Row],[Reject Preform (kg)]]</f>
        <v>201.376</v>
      </c>
      <c r="V704" s="37">
        <f>(Table1[[#This Row],[Gross Weight (gm)]]-Table1[[#This Row],[Part Weight (gm)]])*Table1[[#This Row],[Shift Output]]/1000</f>
        <v>0</v>
      </c>
      <c r="W704" s="3">
        <v>0</v>
      </c>
      <c r="X704" s="36">
        <f>Table1[[#This Row],[Reject Startup (kg)]]/Table1[[#This Row],[Material Used]]</f>
        <v>0</v>
      </c>
      <c r="Y704" s="3">
        <v>5</v>
      </c>
      <c r="Z704" s="36">
        <f>Table1[[#This Row],[Reject Prod (kg)]]/Table1[[#This Row],[Material Used]]</f>
        <v>2.4829175274114094E-2</v>
      </c>
      <c r="AA704" s="4">
        <v>26.596763610839801</v>
      </c>
      <c r="AB704" s="5">
        <v>12</v>
      </c>
      <c r="AC704" s="4" cm="1">
        <f t="array" ref="AC704">IFERROR(INDEX(ReferenceCard, MATCH(1, (INDEX(ReferenceCard,,1)=Table1[[#This Row],[SAP No]]) * (INDEX(ReferenceCard,,2)=Table1[[#This Row],[Mould No]]), 0), 9),)</f>
        <v>31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L704" s="2"/>
      <c r="AM704" s="2"/>
      <c r="AN704" s="3">
        <v>0</v>
      </c>
      <c r="AO704" s="3">
        <v>0</v>
      </c>
      <c r="AP704" s="6">
        <f>((Table1[[#This Row],[Reject Startup (kg)]]+Table1[[#This Row],[Reject Prod (kg)]]+Table1[[#This Row],[Reject Purging (kg)]]+Table1[[#This Row],[Reject Preform (kg)]])/Table1[[#This Row],[Part Weight (gm)]])*1000</f>
        <v>161.29032258064515</v>
      </c>
    </row>
    <row r="705" spans="1:42" x14ac:dyDescent="0.35">
      <c r="A705" s="1">
        <v>46000</v>
      </c>
      <c r="B705">
        <v>2</v>
      </c>
      <c r="C705" t="s">
        <v>3</v>
      </c>
      <c r="D705" t="str" cm="1">
        <f t="array" ref="D705">IFERROR(INDEX(ReferenceCard, MATCH(1, (INDEX(ReferenceCard,,1)=Table1[[#This Row],[SAP No]]) * (INDEX(ReferenceCard,,2)=Table1[[#This Row],[Mould No]]), 0), 6),)</f>
        <v>PET</v>
      </c>
      <c r="E705">
        <v>324163</v>
      </c>
      <c r="F705">
        <v>0</v>
      </c>
      <c r="G705" t="str" cm="1">
        <f t="array" ref="G705">IFERROR(INDEX(ReferenceCard, MATCH(1, (INDEX(ReferenceCard,,1)=Table1[[#This Row],[SAP No]]) * (INDEX(ReferenceCard,,2)=Table1[[#This Row],[Mould No]]), 0), 3),)</f>
        <v>BC28-0265-A-Q-CL</v>
      </c>
      <c r="H705">
        <v>0</v>
      </c>
      <c r="I705" cm="1">
        <f t="array" ref="I705">IFERROR(INDEX(ReferenceCard, MATCH(1, (INDEX(ReferenceCard,,1)=Table1[[#This Row],[SAP No]]) * (INDEX(ReferenceCard,,2)=Table1[[#This Row],[Mould No]]), 0), 4),)</f>
        <v>4</v>
      </c>
      <c r="J705" s="4" cm="1">
        <f t="array" ref="J705">IFERROR(INDEX(ReferenceCard, MATCH(1, (INDEX(ReferenceCard,,1)=Table1[[#This Row],[SAP No]]) * (INDEX(ReferenceCard,,2)=Table1[[#This Row],[Mould No]]), 0), 9),)</f>
        <v>24</v>
      </c>
      <c r="K705" s="4" cm="1">
        <f t="array" ref="K705">IFERROR(INDEX(ReferenceCard, MATCH(1, (INDEX(ReferenceCard,,1)=Table1[[#This Row],[SAP No]]) * (INDEX(ReferenceCard,,2)=Table1[[#This Row],[Mould No]]), 0), 7),)</f>
        <v>23.5</v>
      </c>
      <c r="L705">
        <v>1918</v>
      </c>
      <c r="M705">
        <v>0</v>
      </c>
      <c r="N705">
        <v>0</v>
      </c>
      <c r="O705">
        <v>0</v>
      </c>
      <c r="P705">
        <f>Table1[[#This Row],[Shot]]*Table1[[#This Row],[Cav]]</f>
        <v>7672</v>
      </c>
      <c r="Q705">
        <v>0</v>
      </c>
      <c r="R705">
        <f>(Table1[[#This Row],[Part Weight (gm)]]*Table1[[#This Row],[Finish Good]])/1000</f>
        <v>0</v>
      </c>
      <c r="S705">
        <v>0</v>
      </c>
      <c r="T705">
        <f>IF(Table1[[#This Row],[Qty Order]]="Sample","-",IF(Table1[[#This Row],[Qty Order]]="RTFN","-",Table1[[#This Row],[Qty Order]]-Table1[[#This Row],[Qty Accumulate]]))</f>
        <v>0</v>
      </c>
      <c r="U705">
        <f>((Table1[[#This Row],[Shift Output]]*Table1[[#This Row],[Part Weight (gm)]])/1000)+Table1[[#This Row],[Reject Startup (kg)]]+Table1[[#This Row],[Reject Purging (kg)]]+Table1[[#This Row],[Reject Preform (kg)]]</f>
        <v>180.292</v>
      </c>
      <c r="V705" s="37">
        <f>(Table1[[#This Row],[Gross Weight (gm)]]-Table1[[#This Row],[Part Weight (gm)]])*Table1[[#This Row],[Shift Output]]/1000</f>
        <v>3.8359999999999999</v>
      </c>
      <c r="W705" s="3">
        <v>0</v>
      </c>
      <c r="X705" s="36">
        <f>Table1[[#This Row],[Reject Startup (kg)]]/Table1[[#This Row],[Material Used]]</f>
        <v>0</v>
      </c>
      <c r="Y705" s="3">
        <v>10</v>
      </c>
      <c r="Z705" s="36">
        <f>Table1[[#This Row],[Reject Prod (kg)]]/Table1[[#This Row],[Material Used]]</f>
        <v>5.5465578062254564E-2</v>
      </c>
      <c r="AA705" s="4">
        <v>22.524602890014599</v>
      </c>
      <c r="AB705" s="5">
        <v>12</v>
      </c>
      <c r="AC705" s="4" cm="1">
        <f t="array" ref="AC705">IFERROR(INDEX(ReferenceCard, MATCH(1, (INDEX(ReferenceCard,,1)=Table1[[#This Row],[SAP No]]) * (INDEX(ReferenceCard,,2)=Table1[[#This Row],[Mould No]]), 0), 9),)</f>
        <v>24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L705" s="2"/>
      <c r="AM705" s="2"/>
      <c r="AN705" s="3">
        <v>0</v>
      </c>
      <c r="AO705" s="3">
        <v>0</v>
      </c>
      <c r="AP705" s="6">
        <f>((Table1[[#This Row],[Reject Startup (kg)]]+Table1[[#This Row],[Reject Prod (kg)]]+Table1[[#This Row],[Reject Purging (kg)]]+Table1[[#This Row],[Reject Preform (kg)]])/Table1[[#This Row],[Part Weight (gm)]])*1000</f>
        <v>425.531914893617</v>
      </c>
    </row>
    <row r="706" spans="1:42" x14ac:dyDescent="0.35">
      <c r="A706" s="1">
        <v>46000</v>
      </c>
      <c r="B706">
        <v>2</v>
      </c>
      <c r="C706" t="s">
        <v>5</v>
      </c>
      <c r="D706" t="str" cm="1">
        <f t="array" ref="D706">IFERROR(INDEX(ReferenceCard, MATCH(1, (INDEX(ReferenceCard,,1)=Table1[[#This Row],[SAP No]]) * (INDEX(ReferenceCard,,2)=Table1[[#This Row],[Mould No]]), 0), 6),)</f>
        <v>PET</v>
      </c>
      <c r="E706">
        <v>543590</v>
      </c>
      <c r="F706">
        <v>0</v>
      </c>
      <c r="G706" t="str" cm="1">
        <f t="array" ref="G706">IFERROR(INDEX(ReferenceCard, MATCH(1, (INDEX(ReferenceCard,,1)=Table1[[#This Row],[SAP No]]) * (INDEX(ReferenceCard,,2)=Table1[[#This Row],[Mould No]]), 0), 3),)</f>
        <v>BC28-0130-R-R-AM</v>
      </c>
      <c r="H706">
        <v>0</v>
      </c>
      <c r="I706" cm="1">
        <f t="array" ref="I706">IFERROR(INDEX(ReferenceCard, MATCH(1, (INDEX(ReferenceCard,,1)=Table1[[#This Row],[SAP No]]) * (INDEX(ReferenceCard,,2)=Table1[[#This Row],[Mould No]]), 0), 4),)</f>
        <v>4</v>
      </c>
      <c r="J706" s="4" cm="1">
        <f t="array" ref="J706">IFERROR(INDEX(ReferenceCard, MATCH(1, (INDEX(ReferenceCard,,1)=Table1[[#This Row],[SAP No]]) * (INDEX(ReferenceCard,,2)=Table1[[#This Row],[Mould No]]), 0), 9),)</f>
        <v>19</v>
      </c>
      <c r="K706" s="4" cm="1">
        <f t="array" ref="K706">IFERROR(INDEX(ReferenceCard, MATCH(1, (INDEX(ReferenceCard,,1)=Table1[[#This Row],[SAP No]]) * (INDEX(ReferenceCard,,2)=Table1[[#This Row],[Mould No]]), 0), 7),)</f>
        <v>19</v>
      </c>
      <c r="L706">
        <v>1917</v>
      </c>
      <c r="M706">
        <v>0</v>
      </c>
      <c r="N706">
        <v>0</v>
      </c>
      <c r="O706">
        <v>0</v>
      </c>
      <c r="P706">
        <f>Table1[[#This Row],[Shot]]*Table1[[#This Row],[Cav]]</f>
        <v>7668</v>
      </c>
      <c r="Q706">
        <v>0</v>
      </c>
      <c r="R706">
        <f>(Table1[[#This Row],[Part Weight (gm)]]*Table1[[#This Row],[Finish Good]])/1000</f>
        <v>0</v>
      </c>
      <c r="S706">
        <v>0</v>
      </c>
      <c r="T706">
        <f>IF(Table1[[#This Row],[Qty Order]]="Sample","-",IF(Table1[[#This Row],[Qty Order]]="RTFN","-",Table1[[#This Row],[Qty Order]]-Table1[[#This Row],[Qty Accumulate]]))</f>
        <v>0</v>
      </c>
      <c r="U706">
        <f>((Table1[[#This Row],[Shift Output]]*Table1[[#This Row],[Part Weight (gm)]])/1000)+Table1[[#This Row],[Reject Startup (kg)]]+Table1[[#This Row],[Reject Purging (kg)]]+Table1[[#This Row],[Reject Preform (kg)]]</f>
        <v>145.69200000000001</v>
      </c>
      <c r="V706" s="37">
        <f>(Table1[[#This Row],[Gross Weight (gm)]]-Table1[[#This Row],[Part Weight (gm)]])*Table1[[#This Row],[Shift Output]]/1000</f>
        <v>0</v>
      </c>
      <c r="W706" s="3">
        <v>0</v>
      </c>
      <c r="X706" s="36">
        <f>Table1[[#This Row],[Reject Startup (kg)]]/Table1[[#This Row],[Material Used]]</f>
        <v>0</v>
      </c>
      <c r="Y706" s="3">
        <v>4</v>
      </c>
      <c r="Z706" s="36">
        <f>Table1[[#This Row],[Reject Prod (kg)]]/Table1[[#This Row],[Material Used]]</f>
        <v>2.7455179419597506E-2</v>
      </c>
      <c r="AA706" s="4">
        <v>22.53413772583</v>
      </c>
      <c r="AB706" s="5">
        <v>12</v>
      </c>
      <c r="AC706" s="4" cm="1">
        <f t="array" ref="AC706">IFERROR(INDEX(ReferenceCard, MATCH(1, (INDEX(ReferenceCard,,1)=Table1[[#This Row],[SAP No]]) * (INDEX(ReferenceCard,,2)=Table1[[#This Row],[Mould No]]), 0), 9),)</f>
        <v>19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L706" s="2"/>
      <c r="AM706" s="2"/>
      <c r="AN706" s="3">
        <v>0</v>
      </c>
      <c r="AO706" s="3">
        <v>0</v>
      </c>
      <c r="AP706" s="6">
        <f>((Table1[[#This Row],[Reject Startup (kg)]]+Table1[[#This Row],[Reject Prod (kg)]]+Table1[[#This Row],[Reject Purging (kg)]]+Table1[[#This Row],[Reject Preform (kg)]])/Table1[[#This Row],[Part Weight (gm)]])*1000</f>
        <v>210.52631578947367</v>
      </c>
    </row>
    <row r="707" spans="1:42" x14ac:dyDescent="0.35">
      <c r="A707" s="1">
        <v>46000</v>
      </c>
      <c r="B707">
        <v>2</v>
      </c>
      <c r="C707" t="s">
        <v>7</v>
      </c>
      <c r="D707" t="str" cm="1">
        <f t="array" ref="D707">IFERROR(INDEX(ReferenceCard, MATCH(1, (INDEX(ReferenceCard,,1)=Table1[[#This Row],[SAP No]]) * (INDEX(ReferenceCard,,2)=Table1[[#This Row],[Mould No]]), 0), 6),)</f>
        <v>PET</v>
      </c>
      <c r="E707">
        <v>426555</v>
      </c>
      <c r="F707">
        <v>0</v>
      </c>
      <c r="G707" t="str" cm="1">
        <f t="array" ref="G707">IFERROR(INDEX(ReferenceCard, MATCH(1, (INDEX(ReferenceCard,,1)=Table1[[#This Row],[SAP No]]) * (INDEX(ReferenceCard,,2)=Table1[[#This Row],[Mould No]]), 0), 3),)</f>
        <v>BX38-0330-Z-S-CL-HW</v>
      </c>
      <c r="H707">
        <v>0</v>
      </c>
      <c r="I707" cm="1">
        <f t="array" ref="I707">IFERROR(INDEX(ReferenceCard, MATCH(1, (INDEX(ReferenceCard,,1)=Table1[[#This Row],[SAP No]]) * (INDEX(ReferenceCard,,2)=Table1[[#This Row],[Mould No]]), 0), 4),)</f>
        <v>4</v>
      </c>
      <c r="J707" s="4" cm="1">
        <f t="array" ref="J707">IFERROR(INDEX(ReferenceCard, MATCH(1, (INDEX(ReferenceCard,,1)=Table1[[#This Row],[SAP No]]) * (INDEX(ReferenceCard,,2)=Table1[[#This Row],[Mould No]]), 0), 9),)</f>
        <v>29</v>
      </c>
      <c r="K707" s="4" cm="1">
        <f t="array" ref="K707">IFERROR(INDEX(ReferenceCard, MATCH(1, (INDEX(ReferenceCard,,1)=Table1[[#This Row],[SAP No]]) * (INDEX(ReferenceCard,,2)=Table1[[#This Row],[Mould No]]), 0), 7),)</f>
        <v>29</v>
      </c>
      <c r="L707">
        <v>3138</v>
      </c>
      <c r="M707">
        <v>0</v>
      </c>
      <c r="N707">
        <v>0</v>
      </c>
      <c r="O707">
        <v>0</v>
      </c>
      <c r="P707">
        <f>Table1[[#This Row],[Shot]]*Table1[[#This Row],[Cav]]</f>
        <v>12552</v>
      </c>
      <c r="Q707">
        <v>0</v>
      </c>
      <c r="R707">
        <f>(Table1[[#This Row],[Part Weight (gm)]]*Table1[[#This Row],[Finish Good]])/1000</f>
        <v>0</v>
      </c>
      <c r="S707">
        <v>0</v>
      </c>
      <c r="T707">
        <f>IF(Table1[[#This Row],[Qty Order]]="Sample","-",IF(Table1[[#This Row],[Qty Order]]="RTFN","-",Table1[[#This Row],[Qty Order]]-Table1[[#This Row],[Qty Accumulate]]))</f>
        <v>0</v>
      </c>
      <c r="U707">
        <f>((Table1[[#This Row],[Shift Output]]*Table1[[#This Row],[Part Weight (gm)]])/1000)+Table1[[#This Row],[Reject Startup (kg)]]+Table1[[#This Row],[Reject Purging (kg)]]+Table1[[#This Row],[Reject Preform (kg)]]</f>
        <v>364.00799999999998</v>
      </c>
      <c r="V707" s="37">
        <f>(Table1[[#This Row],[Gross Weight (gm)]]-Table1[[#This Row],[Part Weight (gm)]])*Table1[[#This Row],[Shift Output]]/1000</f>
        <v>0</v>
      </c>
      <c r="W707" s="3">
        <v>0</v>
      </c>
      <c r="X707" s="36">
        <f>Table1[[#This Row],[Reject Startup (kg)]]/Table1[[#This Row],[Material Used]]</f>
        <v>0</v>
      </c>
      <c r="Y707" s="3">
        <v>4</v>
      </c>
      <c r="Z707" s="36">
        <f>Table1[[#This Row],[Reject Prod (kg)]]/Table1[[#This Row],[Material Used]]</f>
        <v>1.0988769477593899E-2</v>
      </c>
      <c r="AA707" s="4">
        <v>25.866264343261701</v>
      </c>
      <c r="AB707" s="5">
        <v>11.27</v>
      </c>
      <c r="AC707" s="4" cm="1">
        <f t="array" ref="AC707">IFERROR(INDEX(ReferenceCard, MATCH(1, (INDEX(ReferenceCard,,1)=Table1[[#This Row],[SAP No]]) * (INDEX(ReferenceCard,,2)=Table1[[#This Row],[Mould No]]), 0), 9),)</f>
        <v>29</v>
      </c>
      <c r="AD707" s="5">
        <v>0</v>
      </c>
      <c r="AE707" s="5">
        <v>0</v>
      </c>
      <c r="AF707" s="5">
        <v>0.72999999999999898</v>
      </c>
      <c r="AG707" s="5">
        <v>0</v>
      </c>
      <c r="AH707" s="5">
        <v>0</v>
      </c>
      <c r="AI707" s="5">
        <v>0</v>
      </c>
      <c r="AJ707" s="5">
        <v>0</v>
      </c>
      <c r="AK707" t="s">
        <v>165</v>
      </c>
      <c r="AL707" s="2"/>
      <c r="AM707" s="2"/>
      <c r="AN707" s="3">
        <v>0</v>
      </c>
      <c r="AO707" s="3">
        <v>0</v>
      </c>
      <c r="AP707" s="6">
        <f>((Table1[[#This Row],[Reject Startup (kg)]]+Table1[[#This Row],[Reject Prod (kg)]]+Table1[[#This Row],[Reject Purging (kg)]]+Table1[[#This Row],[Reject Preform (kg)]])/Table1[[#This Row],[Part Weight (gm)]])*1000</f>
        <v>137.93103448275861</v>
      </c>
    </row>
    <row r="708" spans="1:42" x14ac:dyDescent="0.35">
      <c r="A708" s="1">
        <v>46000</v>
      </c>
      <c r="B708">
        <v>2</v>
      </c>
      <c r="C708" t="s">
        <v>9</v>
      </c>
      <c r="D708" t="str" cm="1">
        <f t="array" ref="D708">IFERROR(INDEX(ReferenceCard, MATCH(1, (INDEX(ReferenceCard,,1)=Table1[[#This Row],[SAP No]]) * (INDEX(ReferenceCard,,2)=Table1[[#This Row],[Mould No]]), 0), 6),)</f>
        <v>rPET</v>
      </c>
      <c r="E708">
        <v>593537</v>
      </c>
      <c r="F708">
        <v>0</v>
      </c>
      <c r="G708" t="str" cm="1">
        <f t="array" ref="G708">IFERROR(INDEX(ReferenceCard, MATCH(1, (INDEX(ReferenceCard,,1)=Table1[[#This Row],[SAP No]]) * (INDEX(ReferenceCard,,2)=Table1[[#This Row],[Mould No]]), 0), 3),)</f>
        <v>BX38-1000-RN-R-CL-rPET</v>
      </c>
      <c r="H708">
        <v>0</v>
      </c>
      <c r="I708" cm="1">
        <f t="array" ref="I708">IFERROR(INDEX(ReferenceCard, MATCH(1, (INDEX(ReferenceCard,,1)=Table1[[#This Row],[SAP No]]) * (INDEX(ReferenceCard,,2)=Table1[[#This Row],[Mould No]]), 0), 4),)</f>
        <v>4</v>
      </c>
      <c r="J708" s="4" cm="1">
        <f t="array" ref="J708">IFERROR(INDEX(ReferenceCard, MATCH(1, (INDEX(ReferenceCard,,1)=Table1[[#This Row],[SAP No]]) * (INDEX(ReferenceCard,,2)=Table1[[#This Row],[Mould No]]), 0), 9),)</f>
        <v>56.5</v>
      </c>
      <c r="K708" s="4" cm="1">
        <f t="array" ref="K708">IFERROR(INDEX(ReferenceCard, MATCH(1, (INDEX(ReferenceCard,,1)=Table1[[#This Row],[SAP No]]) * (INDEX(ReferenceCard,,2)=Table1[[#This Row],[Mould No]]), 0), 7),)</f>
        <v>56.8</v>
      </c>
      <c r="L708">
        <v>1519</v>
      </c>
      <c r="M708">
        <v>0</v>
      </c>
      <c r="N708">
        <v>0</v>
      </c>
      <c r="O708">
        <v>0</v>
      </c>
      <c r="P708">
        <f>Table1[[#This Row],[Shot]]*Table1[[#This Row],[Cav]]</f>
        <v>6076</v>
      </c>
      <c r="Q708">
        <v>0</v>
      </c>
      <c r="R708">
        <f>(Table1[[#This Row],[Part Weight (gm)]]*Table1[[#This Row],[Finish Good]])/1000</f>
        <v>0</v>
      </c>
      <c r="S708">
        <v>0</v>
      </c>
      <c r="T708">
        <f>IF(Table1[[#This Row],[Qty Order]]="Sample","-",IF(Table1[[#This Row],[Qty Order]]="RTFN","-",Table1[[#This Row],[Qty Order]]-Table1[[#This Row],[Qty Accumulate]]))</f>
        <v>0</v>
      </c>
      <c r="U708">
        <f>((Table1[[#This Row],[Shift Output]]*Table1[[#This Row],[Part Weight (gm)]])/1000)+Table1[[#This Row],[Reject Startup (kg)]]+Table1[[#This Row],[Reject Purging (kg)]]+Table1[[#This Row],[Reject Preform (kg)]]</f>
        <v>345.11680000000001</v>
      </c>
      <c r="V708" s="37">
        <f>(Table1[[#This Row],[Gross Weight (gm)]]-Table1[[#This Row],[Part Weight (gm)]])*Table1[[#This Row],[Shift Output]]/1000</f>
        <v>-1.8227999999999827</v>
      </c>
      <c r="W708" s="3">
        <v>0</v>
      </c>
      <c r="X708" s="36">
        <f>Table1[[#This Row],[Reject Startup (kg)]]/Table1[[#This Row],[Material Used]]</f>
        <v>0</v>
      </c>
      <c r="Y708" s="3">
        <v>4</v>
      </c>
      <c r="Z708" s="36">
        <f>Table1[[#This Row],[Reject Prod (kg)]]/Table1[[#This Row],[Material Used]]</f>
        <v>1.1590279001196116E-2</v>
      </c>
      <c r="AA708" s="4">
        <v>28.4347610473632</v>
      </c>
      <c r="AB708" s="5">
        <v>12</v>
      </c>
      <c r="AC708" s="4" cm="1">
        <f t="array" ref="AC708">IFERROR(INDEX(ReferenceCard, MATCH(1, (INDEX(ReferenceCard,,1)=Table1[[#This Row],[SAP No]]) * (INDEX(ReferenceCard,,2)=Table1[[#This Row],[Mould No]]), 0), 9),)</f>
        <v>56.5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L708" s="2"/>
      <c r="AM708" s="2"/>
      <c r="AN708" s="3">
        <v>0</v>
      </c>
      <c r="AO708" s="3">
        <v>0</v>
      </c>
      <c r="AP708" s="6">
        <f>((Table1[[#This Row],[Reject Startup (kg)]]+Table1[[#This Row],[Reject Prod (kg)]]+Table1[[#This Row],[Reject Purging (kg)]]+Table1[[#This Row],[Reject Preform (kg)]])/Table1[[#This Row],[Part Weight (gm)]])*1000</f>
        <v>70.422535211267615</v>
      </c>
    </row>
    <row r="709" spans="1:42" x14ac:dyDescent="0.35">
      <c r="A709" s="1">
        <v>46000</v>
      </c>
      <c r="B709">
        <v>2</v>
      </c>
      <c r="C709" t="s">
        <v>11</v>
      </c>
      <c r="D709" t="str" cm="1">
        <f t="array" ref="D709">IFERROR(INDEX(ReferenceCard, MATCH(1, (INDEX(ReferenceCard,,1)=Table1[[#This Row],[SAP No]]) * (INDEX(ReferenceCard,,2)=Table1[[#This Row],[Mould No]]), 0), 6),)</f>
        <v>rPET</v>
      </c>
      <c r="E709">
        <v>620994</v>
      </c>
      <c r="F709">
        <v>0</v>
      </c>
      <c r="G709" t="str" cm="1">
        <f t="array" ref="G709">IFERROR(INDEX(ReferenceCard, MATCH(1, (INDEX(ReferenceCard,,1)=Table1[[#This Row],[SAP No]]) * (INDEX(ReferenceCard,,2)=Table1[[#This Row],[Mould No]]), 0), 3),)</f>
        <v>JJ63-0400-SH-S-CL-rPET</v>
      </c>
      <c r="H709">
        <v>0</v>
      </c>
      <c r="I709" cm="1">
        <f t="array" ref="I709">IFERROR(INDEX(ReferenceCard, MATCH(1, (INDEX(ReferenceCard,,1)=Table1[[#This Row],[SAP No]]) * (INDEX(ReferenceCard,,2)=Table1[[#This Row],[Mould No]]), 0), 4),)</f>
        <v>4</v>
      </c>
      <c r="J709" s="4" cm="1">
        <f t="array" ref="J709">IFERROR(INDEX(ReferenceCard, MATCH(1, (INDEX(ReferenceCard,,1)=Table1[[#This Row],[SAP No]]) * (INDEX(ReferenceCard,,2)=Table1[[#This Row],[Mould No]]), 0), 9),)</f>
        <v>32.74</v>
      </c>
      <c r="K709" s="4" cm="1">
        <f t="array" ref="K709">IFERROR(INDEX(ReferenceCard, MATCH(1, (INDEX(ReferenceCard,,1)=Table1[[#This Row],[SAP No]]) * (INDEX(ReferenceCard,,2)=Table1[[#This Row],[Mould No]]), 0), 7),)</f>
        <v>33</v>
      </c>
      <c r="L709">
        <v>3126</v>
      </c>
      <c r="M709">
        <v>0</v>
      </c>
      <c r="N709">
        <v>0</v>
      </c>
      <c r="O709">
        <v>0</v>
      </c>
      <c r="P709">
        <f>Table1[[#This Row],[Shot]]*Table1[[#This Row],[Cav]]</f>
        <v>12504</v>
      </c>
      <c r="Q709">
        <v>0</v>
      </c>
      <c r="R709">
        <f>(Table1[[#This Row],[Part Weight (gm)]]*Table1[[#This Row],[Finish Good]])/1000</f>
        <v>0</v>
      </c>
      <c r="S709">
        <v>0</v>
      </c>
      <c r="T709">
        <f>IF(Table1[[#This Row],[Qty Order]]="Sample","-",IF(Table1[[#This Row],[Qty Order]]="RTFN","-",Table1[[#This Row],[Qty Order]]-Table1[[#This Row],[Qty Accumulate]]))</f>
        <v>0</v>
      </c>
      <c r="U709">
        <f>((Table1[[#This Row],[Shift Output]]*Table1[[#This Row],[Part Weight (gm)]])/1000)+Table1[[#This Row],[Reject Startup (kg)]]+Table1[[#This Row],[Reject Purging (kg)]]+Table1[[#This Row],[Reject Preform (kg)]]</f>
        <v>412.63200000000001</v>
      </c>
      <c r="V709" s="37">
        <f>(Table1[[#This Row],[Gross Weight (gm)]]-Table1[[#This Row],[Part Weight (gm)]])*Table1[[#This Row],[Shift Output]]/1000</f>
        <v>-3.2510399999999748</v>
      </c>
      <c r="W709" s="3">
        <v>0</v>
      </c>
      <c r="X709" s="36">
        <f>Table1[[#This Row],[Reject Startup (kg)]]/Table1[[#This Row],[Material Used]]</f>
        <v>0</v>
      </c>
      <c r="Y709" s="3">
        <v>5</v>
      </c>
      <c r="Z709" s="36">
        <f>Table1[[#This Row],[Reject Prod (kg)]]/Table1[[#This Row],[Material Used]]</f>
        <v>1.2117334574148394E-2</v>
      </c>
      <c r="AA709" s="4">
        <v>23.885448455810501</v>
      </c>
      <c r="AB709" s="5">
        <v>11.98</v>
      </c>
      <c r="AC709" s="4" cm="1">
        <f t="array" ref="AC709">IFERROR(INDEX(ReferenceCard, MATCH(1, (INDEX(ReferenceCard,,1)=Table1[[#This Row],[SAP No]]) * (INDEX(ReferenceCard,,2)=Table1[[#This Row],[Mould No]]), 0), 9),)</f>
        <v>32.74</v>
      </c>
      <c r="AD709" s="5">
        <v>0</v>
      </c>
      <c r="AE709" s="5">
        <v>0</v>
      </c>
      <c r="AF709" s="5">
        <v>0</v>
      </c>
      <c r="AG709" s="5">
        <v>0</v>
      </c>
      <c r="AH709" s="5">
        <v>0.02</v>
      </c>
      <c r="AI709" s="5">
        <v>0</v>
      </c>
      <c r="AJ709" s="5">
        <v>0</v>
      </c>
      <c r="AL709" s="2"/>
      <c r="AM709" s="2"/>
      <c r="AN709" s="3">
        <v>0</v>
      </c>
      <c r="AO709" s="3">
        <v>0</v>
      </c>
      <c r="AP709" s="6">
        <f>((Table1[[#This Row],[Reject Startup (kg)]]+Table1[[#This Row],[Reject Prod (kg)]]+Table1[[#This Row],[Reject Purging (kg)]]+Table1[[#This Row],[Reject Preform (kg)]])/Table1[[#This Row],[Part Weight (gm)]])*1000</f>
        <v>151.51515151515153</v>
      </c>
    </row>
    <row r="710" spans="1:42" x14ac:dyDescent="0.35">
      <c r="A710" s="1">
        <v>46000</v>
      </c>
      <c r="B710">
        <v>2</v>
      </c>
      <c r="C710" t="s">
        <v>14</v>
      </c>
      <c r="D710" t="str" cm="1">
        <f t="array" ref="D710">IFERROR(INDEX(ReferenceCard, MATCH(1, (INDEX(ReferenceCard,,1)=Table1[[#This Row],[SAP No]]) * (INDEX(ReferenceCard,,2)=Table1[[#This Row],[Mould No]]), 0), 6),)</f>
        <v>PET</v>
      </c>
      <c r="E710">
        <v>324165</v>
      </c>
      <c r="F710">
        <v>0</v>
      </c>
      <c r="G710" t="str" cm="1">
        <f t="array" ref="G710">IFERROR(INDEX(ReferenceCard, MATCH(1, (INDEX(ReferenceCard,,1)=Table1[[#This Row],[SAP No]]) * (INDEX(ReferenceCard,,2)=Table1[[#This Row],[Mould No]]), 0), 3),)</f>
        <v>JJ63-0400-SH-S-WH</v>
      </c>
      <c r="H710">
        <v>0</v>
      </c>
      <c r="I710" cm="1">
        <f t="array" ref="I710">IFERROR(INDEX(ReferenceCard, MATCH(1, (INDEX(ReferenceCard,,1)=Table1[[#This Row],[SAP No]]) * (INDEX(ReferenceCard,,2)=Table1[[#This Row],[Mould No]]), 0), 4),)</f>
        <v>4</v>
      </c>
      <c r="J710" s="4" cm="1">
        <f t="array" ref="J710">IFERROR(INDEX(ReferenceCard, MATCH(1, (INDEX(ReferenceCard,,1)=Table1[[#This Row],[SAP No]]) * (INDEX(ReferenceCard,,2)=Table1[[#This Row],[Mould No]]), 0), 9),)</f>
        <v>32.56</v>
      </c>
      <c r="K710" s="4" cm="1">
        <f t="array" ref="K710">IFERROR(INDEX(ReferenceCard, MATCH(1, (INDEX(ReferenceCard,,1)=Table1[[#This Row],[SAP No]]) * (INDEX(ReferenceCard,,2)=Table1[[#This Row],[Mould No]]), 0), 7),)</f>
        <v>33</v>
      </c>
      <c r="L710">
        <v>3868</v>
      </c>
      <c r="M710">
        <v>0</v>
      </c>
      <c r="N710">
        <v>0</v>
      </c>
      <c r="O710">
        <v>0</v>
      </c>
      <c r="P710">
        <f>Table1[[#This Row],[Shot]]*Table1[[#This Row],[Cav]]</f>
        <v>15472</v>
      </c>
      <c r="Q710">
        <v>0</v>
      </c>
      <c r="R710">
        <f>(Table1[[#This Row],[Part Weight (gm)]]*Table1[[#This Row],[Finish Good]])/1000</f>
        <v>0</v>
      </c>
      <c r="S710">
        <v>0</v>
      </c>
      <c r="T710">
        <f>IF(Table1[[#This Row],[Qty Order]]="Sample","-",IF(Table1[[#This Row],[Qty Order]]="RTFN","-",Table1[[#This Row],[Qty Order]]-Table1[[#This Row],[Qty Accumulate]]))</f>
        <v>0</v>
      </c>
      <c r="U710">
        <f>((Table1[[#This Row],[Shift Output]]*Table1[[#This Row],[Part Weight (gm)]])/1000)+Table1[[#This Row],[Reject Startup (kg)]]+Table1[[#This Row],[Reject Purging (kg)]]+Table1[[#This Row],[Reject Preform (kg)]]</f>
        <v>528.57600000000002</v>
      </c>
      <c r="V710" s="37">
        <f>(Table1[[#This Row],[Gross Weight (gm)]]-Table1[[#This Row],[Part Weight (gm)]])*Table1[[#This Row],[Shift Output]]/1000</f>
        <v>-6.8076799999999649</v>
      </c>
      <c r="W710" s="3">
        <v>18</v>
      </c>
      <c r="X710" s="36">
        <f>Table1[[#This Row],[Reject Startup (kg)]]/Table1[[#This Row],[Material Used]]</f>
        <v>3.4053759535052672E-2</v>
      </c>
      <c r="Y710" s="3">
        <v>6</v>
      </c>
      <c r="Z710" s="36">
        <f>Table1[[#This Row],[Reject Prod (kg)]]/Table1[[#This Row],[Material Used]]</f>
        <v>1.135125317835089E-2</v>
      </c>
      <c r="AA710" s="4">
        <v>25.566026687621999</v>
      </c>
      <c r="AB710" s="5">
        <v>8.81</v>
      </c>
      <c r="AC710" s="4" cm="1">
        <f t="array" ref="AC710">IFERROR(INDEX(ReferenceCard, MATCH(1, (INDEX(ReferenceCard,,1)=Table1[[#This Row],[SAP No]]) * (INDEX(ReferenceCard,,2)=Table1[[#This Row],[Mould No]]), 0), 9),)</f>
        <v>32.56</v>
      </c>
      <c r="AD710" s="5">
        <v>0</v>
      </c>
      <c r="AE710" s="5">
        <v>0</v>
      </c>
      <c r="AF710" s="5">
        <v>0</v>
      </c>
      <c r="AG710" s="5">
        <v>0.56000000000000005</v>
      </c>
      <c r="AH710" s="5">
        <v>2.6299999999999901</v>
      </c>
      <c r="AI710" s="5">
        <v>0</v>
      </c>
      <c r="AJ710" s="5">
        <v>0</v>
      </c>
      <c r="AL710" s="2"/>
      <c r="AM710" s="2"/>
      <c r="AN710" s="3">
        <v>0</v>
      </c>
      <c r="AO710" s="3">
        <v>0</v>
      </c>
      <c r="AP710" s="6">
        <f>((Table1[[#This Row],[Reject Startup (kg)]]+Table1[[#This Row],[Reject Prod (kg)]]+Table1[[#This Row],[Reject Purging (kg)]]+Table1[[#This Row],[Reject Preform (kg)]])/Table1[[#This Row],[Part Weight (gm)]])*1000</f>
        <v>727.27272727272725</v>
      </c>
    </row>
    <row r="711" spans="1:42" x14ac:dyDescent="0.35">
      <c r="A711" s="1">
        <v>46000</v>
      </c>
      <c r="B711">
        <v>2</v>
      </c>
      <c r="C711" t="s">
        <v>16</v>
      </c>
      <c r="D711" t="str" cm="1">
        <f t="array" ref="D711">IFERROR(INDEX(ReferenceCard, MATCH(1, (INDEX(ReferenceCard,,1)=Table1[[#This Row],[SAP No]]) * (INDEX(ReferenceCard,,2)=Table1[[#This Row],[Mould No]]), 0), 6),)</f>
        <v>PET</v>
      </c>
      <c r="E711">
        <v>323092</v>
      </c>
      <c r="F711">
        <v>0</v>
      </c>
      <c r="G711" t="str" cm="1">
        <f t="array" ref="G711">IFERROR(INDEX(ReferenceCard, MATCH(1, (INDEX(ReferenceCard,,1)=Table1[[#This Row],[SAP No]]) * (INDEX(ReferenceCard,,2)=Table1[[#This Row],[Mould No]]), 0), 3),)</f>
        <v>BX38-1000-GH-R-CL(GREEN) (ASEM)</v>
      </c>
      <c r="H711">
        <v>0</v>
      </c>
      <c r="I711" cm="1">
        <f t="array" ref="I711">IFERROR(INDEX(ReferenceCard, MATCH(1, (INDEX(ReferenceCard,,1)=Table1[[#This Row],[SAP No]]) * (INDEX(ReferenceCard,,2)=Table1[[#This Row],[Mould No]]), 0), 4),)</f>
        <v>4</v>
      </c>
      <c r="J711" s="4" cm="1">
        <f t="array" ref="J711">IFERROR(INDEX(ReferenceCard, MATCH(1, (INDEX(ReferenceCard,,1)=Table1[[#This Row],[SAP No]]) * (INDEX(ReferenceCard,,2)=Table1[[#This Row],[Mould No]]), 0), 9),)</f>
        <v>48.9</v>
      </c>
      <c r="K711" s="4" cm="1">
        <f t="array" ref="K711">IFERROR(INDEX(ReferenceCard, MATCH(1, (INDEX(ReferenceCard,,1)=Table1[[#This Row],[SAP No]]) * (INDEX(ReferenceCard,,2)=Table1[[#This Row],[Mould No]]), 0), 7),)</f>
        <v>48.9</v>
      </c>
      <c r="L711">
        <v>2084</v>
      </c>
      <c r="M711">
        <v>0</v>
      </c>
      <c r="N711">
        <v>0</v>
      </c>
      <c r="O711">
        <v>0</v>
      </c>
      <c r="P711">
        <f>Table1[[#This Row],[Shot]]*Table1[[#This Row],[Cav]]</f>
        <v>8336</v>
      </c>
      <c r="Q711">
        <v>0</v>
      </c>
      <c r="R711">
        <f>(Table1[[#This Row],[Part Weight (gm)]]*Table1[[#This Row],[Finish Good]])/1000</f>
        <v>0</v>
      </c>
      <c r="S711">
        <v>0</v>
      </c>
      <c r="T711">
        <f>IF(Table1[[#This Row],[Qty Order]]="Sample","-",IF(Table1[[#This Row],[Qty Order]]="RTFN","-",Table1[[#This Row],[Qty Order]]-Table1[[#This Row],[Qty Accumulate]]))</f>
        <v>0</v>
      </c>
      <c r="U711">
        <f>((Table1[[#This Row],[Shift Output]]*Table1[[#This Row],[Part Weight (gm)]])/1000)+Table1[[#This Row],[Reject Startup (kg)]]+Table1[[#This Row],[Reject Purging (kg)]]+Table1[[#This Row],[Reject Preform (kg)]]</f>
        <v>407.63039999999995</v>
      </c>
      <c r="V711" s="37">
        <f>(Table1[[#This Row],[Gross Weight (gm)]]-Table1[[#This Row],[Part Weight (gm)]])*Table1[[#This Row],[Shift Output]]/1000</f>
        <v>0</v>
      </c>
      <c r="W711" s="3">
        <v>0</v>
      </c>
      <c r="X711" s="36">
        <f>Table1[[#This Row],[Reject Startup (kg)]]/Table1[[#This Row],[Material Used]]</f>
        <v>0</v>
      </c>
      <c r="Y711" s="3">
        <v>4</v>
      </c>
      <c r="Z711" s="36">
        <f>Table1[[#This Row],[Reject Prod (kg)]]/Table1[[#This Row],[Material Used]]</f>
        <v>9.812810820782749E-3</v>
      </c>
      <c r="AA711" s="4">
        <v>30.231710433959901</v>
      </c>
      <c r="AB711" s="5">
        <v>11.15</v>
      </c>
      <c r="AC711" s="4" cm="1">
        <f t="array" ref="AC711">IFERROR(INDEX(ReferenceCard, MATCH(1, (INDEX(ReferenceCard,,1)=Table1[[#This Row],[SAP No]]) * (INDEX(ReferenceCard,,2)=Table1[[#This Row],[Mould No]]), 0), 9),)</f>
        <v>48.9</v>
      </c>
      <c r="AD711" s="5">
        <v>0</v>
      </c>
      <c r="AE711" s="5">
        <v>0</v>
      </c>
      <c r="AF711" s="5">
        <v>0</v>
      </c>
      <c r="AG711" s="5">
        <v>0</v>
      </c>
      <c r="AH711" s="5">
        <v>0.84999999999999898</v>
      </c>
      <c r="AI711" s="5">
        <v>0</v>
      </c>
      <c r="AJ711" s="5">
        <v>0</v>
      </c>
      <c r="AK711" t="s">
        <v>166</v>
      </c>
      <c r="AL711" s="2"/>
      <c r="AM711" s="2"/>
      <c r="AN711" s="3">
        <v>0</v>
      </c>
      <c r="AO711" s="3">
        <v>0</v>
      </c>
      <c r="AP711" s="6">
        <f>((Table1[[#This Row],[Reject Startup (kg)]]+Table1[[#This Row],[Reject Prod (kg)]]+Table1[[#This Row],[Reject Purging (kg)]]+Table1[[#This Row],[Reject Preform (kg)]])/Table1[[#This Row],[Part Weight (gm)]])*1000</f>
        <v>81.799591002044991</v>
      </c>
    </row>
    <row r="712" spans="1:42" x14ac:dyDescent="0.35">
      <c r="A712" s="1">
        <v>46000</v>
      </c>
      <c r="B712">
        <v>2</v>
      </c>
      <c r="C712" t="s">
        <v>23</v>
      </c>
      <c r="D712" t="str" cm="1">
        <f t="array" ref="D712">IFERROR(INDEX(ReferenceCard, MATCH(1, (INDEX(ReferenceCard,,1)=Table1[[#This Row],[SAP No]]) * (INDEX(ReferenceCard,,2)=Table1[[#This Row],[Mould No]]), 0), 6),)</f>
        <v>PPSB520Y</v>
      </c>
      <c r="E712">
        <v>586276</v>
      </c>
      <c r="F712">
        <v>2</v>
      </c>
      <c r="G712" t="str" cm="1">
        <f t="array" ref="G712">IFERROR(INDEX(ReferenceCard, MATCH(1, (INDEX(ReferenceCard,,1)=Table1[[#This Row],[SAP No]]) * (INDEX(ReferenceCard,,2)=Table1[[#This Row],[Mould No]]), 0), 3),)</f>
        <v>BC28-0056-D-APH-LEB-604001-MOLD2</v>
      </c>
      <c r="H712">
        <v>0</v>
      </c>
      <c r="I712" cm="1">
        <f t="array" ref="I712">IFERROR(INDEX(ReferenceCard, MATCH(1, (INDEX(ReferenceCard,,1)=Table1[[#This Row],[SAP No]]) * (INDEX(ReferenceCard,,2)=Table1[[#This Row],[Mould No]]), 0), 4),)</f>
        <v>6</v>
      </c>
      <c r="J712" s="4" cm="1">
        <f t="array" ref="J712">IFERROR(INDEX(ReferenceCard, MATCH(1, (INDEX(ReferenceCard,,1)=Table1[[#This Row],[SAP No]]) * (INDEX(ReferenceCard,,2)=Table1[[#This Row],[Mould No]]), 0), 9),)</f>
        <v>12.3</v>
      </c>
      <c r="K712" s="4" cm="1">
        <f t="array" ref="K712">IFERROR(INDEX(ReferenceCard, MATCH(1, (INDEX(ReferenceCard,,1)=Table1[[#This Row],[SAP No]]) * (INDEX(ReferenceCard,,2)=Table1[[#This Row],[Mould No]]), 0), 7),)</f>
        <v>12.3</v>
      </c>
      <c r="L712">
        <v>1693</v>
      </c>
      <c r="M712">
        <v>0</v>
      </c>
      <c r="N712">
        <v>0</v>
      </c>
      <c r="O712">
        <v>0</v>
      </c>
      <c r="P712">
        <f>Table1[[#This Row],[Shot]]*Table1[[#This Row],[Cav]]</f>
        <v>10158</v>
      </c>
      <c r="Q712">
        <v>0</v>
      </c>
      <c r="R712">
        <f>(Table1[[#This Row],[Part Weight (gm)]]*Table1[[#This Row],[Finish Good]])/1000</f>
        <v>0</v>
      </c>
      <c r="S712">
        <v>0</v>
      </c>
      <c r="T712">
        <f>IF(Table1[[#This Row],[Qty Order]]="Sample","-",IF(Table1[[#This Row],[Qty Order]]="RTFN","-",Table1[[#This Row],[Qty Order]]-Table1[[#This Row],[Qty Accumulate]]))</f>
        <v>0</v>
      </c>
      <c r="U712">
        <f>((Table1[[#This Row],[Shift Output]]*Table1[[#This Row],[Part Weight (gm)]])/1000)+Table1[[#This Row],[Reject Startup (kg)]]+Table1[[#This Row],[Reject Purging (kg)]]+Table1[[#This Row],[Reject Preform (kg)]]</f>
        <v>124.94340000000001</v>
      </c>
      <c r="V712" s="37">
        <f>(Table1[[#This Row],[Gross Weight (gm)]]-Table1[[#This Row],[Part Weight (gm)]])*Table1[[#This Row],[Shift Output]]/1000</f>
        <v>0</v>
      </c>
      <c r="W712" s="3">
        <v>0</v>
      </c>
      <c r="X712" s="36">
        <f>Table1[[#This Row],[Reject Startup (kg)]]/Table1[[#This Row],[Material Used]]</f>
        <v>0</v>
      </c>
      <c r="Y712" s="3">
        <v>4</v>
      </c>
      <c r="Z712" s="36">
        <f>Table1[[#This Row],[Reject Prod (kg)]]/Table1[[#This Row],[Material Used]]</f>
        <v>3.2014496163862996E-2</v>
      </c>
      <c r="AA712" s="4">
        <v>25.514726638793899</v>
      </c>
      <c r="AB712" s="5">
        <v>12</v>
      </c>
      <c r="AC712" s="4" cm="1">
        <f t="array" ref="AC712">IFERROR(INDEX(ReferenceCard, MATCH(1, (INDEX(ReferenceCard,,1)=Table1[[#This Row],[SAP No]]) * (INDEX(ReferenceCard,,2)=Table1[[#This Row],[Mould No]]), 0), 9),)</f>
        <v>12.3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L712" s="2"/>
      <c r="AM712" s="2"/>
      <c r="AN712" s="3">
        <v>0</v>
      </c>
      <c r="AO712" s="3">
        <v>0</v>
      </c>
      <c r="AP712" s="6">
        <f>((Table1[[#This Row],[Reject Startup (kg)]]+Table1[[#This Row],[Reject Prod (kg)]]+Table1[[#This Row],[Reject Purging (kg)]]+Table1[[#This Row],[Reject Preform (kg)]])/Table1[[#This Row],[Part Weight (gm)]])*1000</f>
        <v>325.20325203252031</v>
      </c>
    </row>
    <row r="713" spans="1:42" x14ac:dyDescent="0.35">
      <c r="A713" s="1">
        <v>46000</v>
      </c>
      <c r="B713">
        <v>2</v>
      </c>
      <c r="C713" t="s">
        <v>25</v>
      </c>
      <c r="D713" t="str" cm="1">
        <f t="array" ref="D713">IFERROR(INDEX(ReferenceCard, MATCH(1, (INDEX(ReferenceCard,,1)=Table1[[#This Row],[SAP No]]) * (INDEX(ReferenceCard,,2)=Table1[[#This Row],[Mould No]]), 0), 6),)</f>
        <v>PET</v>
      </c>
      <c r="E713">
        <v>323133</v>
      </c>
      <c r="F713">
        <v>0</v>
      </c>
      <c r="G713" t="str" cm="1">
        <f t="array" ref="G713">IFERROR(INDEX(ReferenceCard, MATCH(1, (INDEX(ReferenceCard,,1)=Table1[[#This Row],[SAP No]]) * (INDEX(ReferenceCard,,2)=Table1[[#This Row],[Mould No]]), 0), 3),)</f>
        <v>BX38-2000-RH-R-CL(GREEN) (ASEM)</v>
      </c>
      <c r="H713">
        <v>0</v>
      </c>
      <c r="I713" cm="1">
        <f t="array" ref="I713">IFERROR(INDEX(ReferenceCard, MATCH(1, (INDEX(ReferenceCard,,1)=Table1[[#This Row],[SAP No]]) * (INDEX(ReferenceCard,,2)=Table1[[#This Row],[Mould No]]), 0), 4),)</f>
        <v>4</v>
      </c>
      <c r="J713" s="4" cm="1">
        <f t="array" ref="J713">IFERROR(INDEX(ReferenceCard, MATCH(1, (INDEX(ReferenceCard,,1)=Table1[[#This Row],[SAP No]]) * (INDEX(ReferenceCard,,2)=Table1[[#This Row],[Mould No]]), 0), 9),)</f>
        <v>77</v>
      </c>
      <c r="K713" s="4" cm="1">
        <f t="array" ref="K713">IFERROR(INDEX(ReferenceCard, MATCH(1, (INDEX(ReferenceCard,,1)=Table1[[#This Row],[SAP No]]) * (INDEX(ReferenceCard,,2)=Table1[[#This Row],[Mould No]]), 0), 7),)</f>
        <v>77</v>
      </c>
      <c r="L713">
        <v>3344</v>
      </c>
      <c r="M713">
        <v>0</v>
      </c>
      <c r="N713">
        <v>0</v>
      </c>
      <c r="O713">
        <v>0</v>
      </c>
      <c r="P713">
        <f>Table1[[#This Row],[Shot]]*Table1[[#This Row],[Cav]]</f>
        <v>13376</v>
      </c>
      <c r="Q713">
        <v>0</v>
      </c>
      <c r="R713">
        <f>(Table1[[#This Row],[Part Weight (gm)]]*Table1[[#This Row],[Finish Good]])/1000</f>
        <v>0</v>
      </c>
      <c r="S713">
        <v>0</v>
      </c>
      <c r="T713">
        <f>IF(Table1[[#This Row],[Qty Order]]="Sample","-",IF(Table1[[#This Row],[Qty Order]]="RTFN","-",Table1[[#This Row],[Qty Order]]-Table1[[#This Row],[Qty Accumulate]]))</f>
        <v>0</v>
      </c>
      <c r="U713">
        <f>((Table1[[#This Row],[Shift Output]]*Table1[[#This Row],[Part Weight (gm)]])/1000)+Table1[[#This Row],[Reject Startup (kg)]]+Table1[[#This Row],[Reject Purging (kg)]]+Table1[[#This Row],[Reject Preform (kg)]]</f>
        <v>1029.952</v>
      </c>
      <c r="V713" s="37">
        <f>(Table1[[#This Row],[Gross Weight (gm)]]-Table1[[#This Row],[Part Weight (gm)]])*Table1[[#This Row],[Shift Output]]/1000</f>
        <v>0</v>
      </c>
      <c r="W713" s="3">
        <v>0</v>
      </c>
      <c r="X713" s="36">
        <f>Table1[[#This Row],[Reject Startup (kg)]]/Table1[[#This Row],[Material Used]]</f>
        <v>0</v>
      </c>
      <c r="Y713" s="3">
        <v>8</v>
      </c>
      <c r="Z713" s="36">
        <f>Table1[[#This Row],[Reject Prod (kg)]]/Table1[[#This Row],[Material Used]]</f>
        <v>7.7673522649599203E-3</v>
      </c>
      <c r="AA713" s="4">
        <v>27.000301361083899</v>
      </c>
      <c r="AB713" s="5">
        <v>12</v>
      </c>
      <c r="AC713" s="4" cm="1">
        <f t="array" ref="AC713">IFERROR(INDEX(ReferenceCard, MATCH(1, (INDEX(ReferenceCard,,1)=Table1[[#This Row],[SAP No]]) * (INDEX(ReferenceCard,,2)=Table1[[#This Row],[Mould No]]), 0), 9),)</f>
        <v>77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L713" s="2"/>
      <c r="AM713" s="2"/>
      <c r="AN713" s="3">
        <v>0</v>
      </c>
      <c r="AO713" s="3">
        <v>0</v>
      </c>
      <c r="AP713" s="6">
        <f>((Table1[[#This Row],[Reject Startup (kg)]]+Table1[[#This Row],[Reject Prod (kg)]]+Table1[[#This Row],[Reject Purging (kg)]]+Table1[[#This Row],[Reject Preform (kg)]])/Table1[[#This Row],[Part Weight (gm)]])*1000</f>
        <v>103.89610389610391</v>
      </c>
    </row>
    <row r="714" spans="1:42" x14ac:dyDescent="0.35">
      <c r="A714" s="1">
        <v>46000</v>
      </c>
      <c r="B714">
        <v>2</v>
      </c>
      <c r="C714" t="s">
        <v>27</v>
      </c>
      <c r="D714" t="str" cm="1">
        <f t="array" ref="D714">IFERROR(INDEX(ReferenceCard, MATCH(1, (INDEX(ReferenceCard,,1)=Table1[[#This Row],[SAP No]]) * (INDEX(ReferenceCard,,2)=Table1[[#This Row],[Mould No]]), 0), 6),)</f>
        <v>PPSB520Y</v>
      </c>
      <c r="E714">
        <v>552181</v>
      </c>
      <c r="F714">
        <v>4</v>
      </c>
      <c r="G714" t="str" cm="1">
        <f t="array" ref="G714">IFERROR(INDEX(ReferenceCard, MATCH(1, (INDEX(ReferenceCard,,1)=Table1[[#This Row],[SAP No]]) * (INDEX(ReferenceCard,,2)=Table1[[#This Row],[Mould No]]), 0), 3),)</f>
        <v>BC28-0090-D-APH-5180-3538-PP-6 NOTCHES-MOLD4</v>
      </c>
      <c r="H714">
        <v>0</v>
      </c>
      <c r="I714" cm="1">
        <f t="array" ref="I714">IFERROR(INDEX(ReferenceCard, MATCH(1, (INDEX(ReferenceCard,,1)=Table1[[#This Row],[SAP No]]) * (INDEX(ReferenceCard,,2)=Table1[[#This Row],[Mould No]]), 0), 4),)</f>
        <v>6</v>
      </c>
      <c r="J714" s="4" cm="1">
        <f t="array" ref="J714">IFERROR(INDEX(ReferenceCard, MATCH(1, (INDEX(ReferenceCard,,1)=Table1[[#This Row],[SAP No]]) * (INDEX(ReferenceCard,,2)=Table1[[#This Row],[Mould No]]), 0), 9),)</f>
        <v>18.8</v>
      </c>
      <c r="K714" s="4" cm="1">
        <f t="array" ref="K714">IFERROR(INDEX(ReferenceCard, MATCH(1, (INDEX(ReferenceCard,,1)=Table1[[#This Row],[SAP No]]) * (INDEX(ReferenceCard,,2)=Table1[[#This Row],[Mould No]]), 0), 7),)</f>
        <v>18.8</v>
      </c>
      <c r="L714">
        <v>1853</v>
      </c>
      <c r="M714">
        <v>0</v>
      </c>
      <c r="N714">
        <v>0</v>
      </c>
      <c r="O714">
        <v>0</v>
      </c>
      <c r="P714">
        <f>Table1[[#This Row],[Shot]]*Table1[[#This Row],[Cav]]</f>
        <v>11118</v>
      </c>
      <c r="Q714">
        <v>0</v>
      </c>
      <c r="R714">
        <f>(Table1[[#This Row],[Part Weight (gm)]]*Table1[[#This Row],[Finish Good]])/1000</f>
        <v>0</v>
      </c>
      <c r="S714">
        <v>0</v>
      </c>
      <c r="T714">
        <f>IF(Table1[[#This Row],[Qty Order]]="Sample","-",IF(Table1[[#This Row],[Qty Order]]="RTFN","-",Table1[[#This Row],[Qty Order]]-Table1[[#This Row],[Qty Accumulate]]))</f>
        <v>0</v>
      </c>
      <c r="U714">
        <f>((Table1[[#This Row],[Shift Output]]*Table1[[#This Row],[Part Weight (gm)]])/1000)+Table1[[#This Row],[Reject Startup (kg)]]+Table1[[#This Row],[Reject Purging (kg)]]+Table1[[#This Row],[Reject Preform (kg)]]</f>
        <v>241.01839999999999</v>
      </c>
      <c r="V714" s="37">
        <f>(Table1[[#This Row],[Gross Weight (gm)]]-Table1[[#This Row],[Part Weight (gm)]])*Table1[[#This Row],[Shift Output]]/1000</f>
        <v>0</v>
      </c>
      <c r="W714" s="3">
        <v>32</v>
      </c>
      <c r="X714" s="36">
        <f>Table1[[#This Row],[Reject Startup (kg)]]/Table1[[#This Row],[Material Used]]</f>
        <v>0.13276994619497931</v>
      </c>
      <c r="Y714" s="3">
        <v>0</v>
      </c>
      <c r="Z714" s="36">
        <f>Table1[[#This Row],[Reject Prod (kg)]]/Table1[[#This Row],[Material Used]]</f>
        <v>0</v>
      </c>
      <c r="AA714" s="4">
        <v>0</v>
      </c>
      <c r="AB714" s="5">
        <v>4.71</v>
      </c>
      <c r="AC714" s="4" cm="1">
        <f t="array" ref="AC714">IFERROR(INDEX(ReferenceCard, MATCH(1, (INDEX(ReferenceCard,,1)=Table1[[#This Row],[SAP No]]) * (INDEX(ReferenceCard,,2)=Table1[[#This Row],[Mould No]]), 0), 9),)</f>
        <v>18.8</v>
      </c>
      <c r="AD714" s="5">
        <v>0</v>
      </c>
      <c r="AE714" s="5">
        <v>0</v>
      </c>
      <c r="AF714" s="5">
        <v>0</v>
      </c>
      <c r="AG714" s="5">
        <v>0</v>
      </c>
      <c r="AH714" s="5">
        <v>7.29</v>
      </c>
      <c r="AI714" s="5">
        <v>0</v>
      </c>
      <c r="AJ714" s="5">
        <v>0</v>
      </c>
      <c r="AL714" s="2"/>
      <c r="AM714" s="2"/>
      <c r="AN714" s="3">
        <v>0</v>
      </c>
      <c r="AO714" s="3">
        <v>0</v>
      </c>
      <c r="AP714" s="6">
        <f>((Table1[[#This Row],[Reject Startup (kg)]]+Table1[[#This Row],[Reject Prod (kg)]]+Table1[[#This Row],[Reject Purging (kg)]]+Table1[[#This Row],[Reject Preform (kg)]])/Table1[[#This Row],[Part Weight (gm)]])*1000</f>
        <v>1702.127659574468</v>
      </c>
    </row>
    <row r="715" spans="1:42" x14ac:dyDescent="0.35">
      <c r="A715" s="1">
        <v>46000</v>
      </c>
      <c r="B715">
        <v>2</v>
      </c>
      <c r="C715" t="s">
        <v>29</v>
      </c>
      <c r="D715" t="str" cm="1">
        <f t="array" ref="D715">IFERROR(INDEX(ReferenceCard, MATCH(1, (INDEX(ReferenceCard,,1)=Table1[[#This Row],[SAP No]]) * (INDEX(ReferenceCard,,2)=Table1[[#This Row],[Mould No]]), 0), 6),)</f>
        <v>PET</v>
      </c>
      <c r="E715">
        <v>620599</v>
      </c>
      <c r="F715">
        <v>0</v>
      </c>
      <c r="G715" t="str" cm="1">
        <f t="array" ref="G715">IFERROR(INDEX(ReferenceCard, MATCH(1, (INDEX(ReferenceCard,,1)=Table1[[#This Row],[SAP No]]) * (INDEX(ReferenceCard,,2)=Table1[[#This Row],[Mould No]]), 0), 3),)</f>
        <v>BC28-0750-K4-R-CL (55g)</v>
      </c>
      <c r="H715">
        <v>0</v>
      </c>
      <c r="I715" cm="1">
        <f t="array" ref="I715">IFERROR(INDEX(ReferenceCard, MATCH(1, (INDEX(ReferenceCard,,1)=Table1[[#This Row],[SAP No]]) * (INDEX(ReferenceCard,,2)=Table1[[#This Row],[Mould No]]), 0), 4),)</f>
        <v>4</v>
      </c>
      <c r="J715" s="4" cm="1">
        <f t="array" ref="J715">IFERROR(INDEX(ReferenceCard, MATCH(1, (INDEX(ReferenceCard,,1)=Table1[[#This Row],[SAP No]]) * (INDEX(ReferenceCard,,2)=Table1[[#This Row],[Mould No]]), 0), 9),)</f>
        <v>55</v>
      </c>
      <c r="K715" s="4" cm="1">
        <f t="array" ref="K715">IFERROR(INDEX(ReferenceCard, MATCH(1, (INDEX(ReferenceCard,,1)=Table1[[#This Row],[SAP No]]) * (INDEX(ReferenceCard,,2)=Table1[[#This Row],[Mould No]]), 0), 7),)</f>
        <v>55</v>
      </c>
      <c r="L715">
        <v>1513</v>
      </c>
      <c r="M715">
        <v>0</v>
      </c>
      <c r="N715">
        <v>0</v>
      </c>
      <c r="O715">
        <v>0</v>
      </c>
      <c r="P715">
        <f>Table1[[#This Row],[Shot]]*Table1[[#This Row],[Cav]]</f>
        <v>6052</v>
      </c>
      <c r="Q715">
        <v>0</v>
      </c>
      <c r="R715">
        <f>(Table1[[#This Row],[Part Weight (gm)]]*Table1[[#This Row],[Finish Good]])/1000</f>
        <v>0</v>
      </c>
      <c r="S715">
        <v>0</v>
      </c>
      <c r="T715">
        <f>IF(Table1[[#This Row],[Qty Order]]="Sample","-",IF(Table1[[#This Row],[Qty Order]]="RTFN","-",Table1[[#This Row],[Qty Order]]-Table1[[#This Row],[Qty Accumulate]]))</f>
        <v>0</v>
      </c>
      <c r="U715">
        <f>((Table1[[#This Row],[Shift Output]]*Table1[[#This Row],[Part Weight (gm)]])/1000)+Table1[[#This Row],[Reject Startup (kg)]]+Table1[[#This Row],[Reject Purging (kg)]]+Table1[[#This Row],[Reject Preform (kg)]]</f>
        <v>332.86</v>
      </c>
      <c r="V715" s="37">
        <f>(Table1[[#This Row],[Gross Weight (gm)]]-Table1[[#This Row],[Part Weight (gm)]])*Table1[[#This Row],[Shift Output]]/1000</f>
        <v>0</v>
      </c>
      <c r="W715" s="3">
        <v>0</v>
      </c>
      <c r="X715" s="36">
        <f>Table1[[#This Row],[Reject Startup (kg)]]/Table1[[#This Row],[Material Used]]</f>
        <v>0</v>
      </c>
      <c r="Y715" s="3">
        <v>11</v>
      </c>
      <c r="Z715" s="36">
        <f>Table1[[#This Row],[Reject Prod (kg)]]/Table1[[#This Row],[Material Used]]</f>
        <v>3.3046926635822864E-2</v>
      </c>
      <c r="AA715" s="4">
        <v>28.527217864990199</v>
      </c>
      <c r="AB715" s="5">
        <v>12</v>
      </c>
      <c r="AC715" s="4" cm="1">
        <f t="array" ref="AC715">IFERROR(INDEX(ReferenceCard, MATCH(1, (INDEX(ReferenceCard,,1)=Table1[[#This Row],[SAP No]]) * (INDEX(ReferenceCard,,2)=Table1[[#This Row],[Mould No]]), 0), 9),)</f>
        <v>55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L715" s="2"/>
      <c r="AM715" s="2"/>
      <c r="AN715" s="3">
        <v>0</v>
      </c>
      <c r="AO715" s="3">
        <v>0</v>
      </c>
      <c r="AP715" s="6">
        <f>((Table1[[#This Row],[Reject Startup (kg)]]+Table1[[#This Row],[Reject Prod (kg)]]+Table1[[#This Row],[Reject Purging (kg)]]+Table1[[#This Row],[Reject Preform (kg)]])/Table1[[#This Row],[Part Weight (gm)]])*1000</f>
        <v>200</v>
      </c>
    </row>
    <row r="716" spans="1:42" x14ac:dyDescent="0.35">
      <c r="A716" s="1">
        <v>46000</v>
      </c>
      <c r="B716">
        <v>2</v>
      </c>
      <c r="C716" t="s">
        <v>31</v>
      </c>
      <c r="D716" t="str" cm="1">
        <f t="array" ref="D716">IFERROR(INDEX(ReferenceCard, MATCH(1, (INDEX(ReferenceCard,,1)=Table1[[#This Row],[SAP No]]) * (INDEX(ReferenceCard,,2)=Table1[[#This Row],[Mould No]]), 0), 6),)</f>
        <v>PPSB520Y</v>
      </c>
      <c r="E716">
        <v>586276</v>
      </c>
      <c r="F716">
        <v>4</v>
      </c>
      <c r="G716" t="str" cm="1">
        <f t="array" ref="G716">IFERROR(INDEX(ReferenceCard, MATCH(1, (INDEX(ReferenceCard,,1)=Table1[[#This Row],[SAP No]]) * (INDEX(ReferenceCard,,2)=Table1[[#This Row],[Mould No]]), 0), 3),)</f>
        <v>BC28-0056-D-APH-LEB-604001-MOLD4</v>
      </c>
      <c r="H716">
        <v>0</v>
      </c>
      <c r="I716" cm="1">
        <f t="array" ref="I716">IFERROR(INDEX(ReferenceCard, MATCH(1, (INDEX(ReferenceCard,,1)=Table1[[#This Row],[SAP No]]) * (INDEX(ReferenceCard,,2)=Table1[[#This Row],[Mould No]]), 0), 4),)</f>
        <v>6</v>
      </c>
      <c r="J716" s="4" cm="1">
        <f t="array" ref="J716">IFERROR(INDEX(ReferenceCard, MATCH(1, (INDEX(ReferenceCard,,1)=Table1[[#This Row],[SAP No]]) * (INDEX(ReferenceCard,,2)=Table1[[#This Row],[Mould No]]), 0), 9),)</f>
        <v>12.3</v>
      </c>
      <c r="K716" s="4" cm="1">
        <f t="array" ref="K716">IFERROR(INDEX(ReferenceCard, MATCH(1, (INDEX(ReferenceCard,,1)=Table1[[#This Row],[SAP No]]) * (INDEX(ReferenceCard,,2)=Table1[[#This Row],[Mould No]]), 0), 7),)</f>
        <v>12.3</v>
      </c>
      <c r="L716">
        <v>4986</v>
      </c>
      <c r="M716">
        <v>0</v>
      </c>
      <c r="N716">
        <v>0</v>
      </c>
      <c r="O716">
        <v>0</v>
      </c>
      <c r="P716">
        <f>Table1[[#This Row],[Shot]]*Table1[[#This Row],[Cav]]</f>
        <v>29916</v>
      </c>
      <c r="Q716">
        <v>0</v>
      </c>
      <c r="R716">
        <f>(Table1[[#This Row],[Part Weight (gm)]]*Table1[[#This Row],[Finish Good]])/1000</f>
        <v>0</v>
      </c>
      <c r="S716">
        <v>0</v>
      </c>
      <c r="T716">
        <f>IF(Table1[[#This Row],[Qty Order]]="Sample","-",IF(Table1[[#This Row],[Qty Order]]="RTFN","-",Table1[[#This Row],[Qty Order]]-Table1[[#This Row],[Qty Accumulate]]))</f>
        <v>0</v>
      </c>
      <c r="U716">
        <f>((Table1[[#This Row],[Shift Output]]*Table1[[#This Row],[Part Weight (gm)]])/1000)+Table1[[#This Row],[Reject Startup (kg)]]+Table1[[#This Row],[Reject Purging (kg)]]+Table1[[#This Row],[Reject Preform (kg)]]</f>
        <v>367.96680000000003</v>
      </c>
      <c r="V716" s="37">
        <f>(Table1[[#This Row],[Gross Weight (gm)]]-Table1[[#This Row],[Part Weight (gm)]])*Table1[[#This Row],[Shift Output]]/1000</f>
        <v>0</v>
      </c>
      <c r="W716" s="3">
        <v>0</v>
      </c>
      <c r="X716" s="36">
        <f>Table1[[#This Row],[Reject Startup (kg)]]/Table1[[#This Row],[Material Used]]</f>
        <v>0</v>
      </c>
      <c r="Y716" s="3">
        <v>11</v>
      </c>
      <c r="Z716" s="36">
        <f>Table1[[#This Row],[Reject Prod (kg)]]/Table1[[#This Row],[Material Used]]</f>
        <v>2.9894001306639616E-2</v>
      </c>
      <c r="AA716" s="4">
        <v>0</v>
      </c>
      <c r="AB716" s="5">
        <v>9.4600000000000009</v>
      </c>
      <c r="AC716" s="4" cm="1">
        <f t="array" ref="AC716">IFERROR(INDEX(ReferenceCard, MATCH(1, (INDEX(ReferenceCard,,1)=Table1[[#This Row],[SAP No]]) * (INDEX(ReferenceCard,,2)=Table1[[#This Row],[Mould No]]), 0), 9),)</f>
        <v>12.3</v>
      </c>
      <c r="AD716" s="5">
        <v>0</v>
      </c>
      <c r="AE716" s="5">
        <v>0</v>
      </c>
      <c r="AF716" s="5">
        <v>0</v>
      </c>
      <c r="AG716" s="5">
        <v>0</v>
      </c>
      <c r="AH716" s="5">
        <v>2.54</v>
      </c>
      <c r="AI716" s="5">
        <v>0</v>
      </c>
      <c r="AJ716" s="5">
        <v>0</v>
      </c>
      <c r="AL716" s="2"/>
      <c r="AM716" s="2"/>
      <c r="AN716" s="3">
        <v>0</v>
      </c>
      <c r="AO716" s="3">
        <v>0</v>
      </c>
      <c r="AP716" s="6">
        <f>((Table1[[#This Row],[Reject Startup (kg)]]+Table1[[#This Row],[Reject Prod (kg)]]+Table1[[#This Row],[Reject Purging (kg)]]+Table1[[#This Row],[Reject Preform (kg)]])/Table1[[#This Row],[Part Weight (gm)]])*1000</f>
        <v>894.30894308943084</v>
      </c>
    </row>
    <row r="717" spans="1:42" x14ac:dyDescent="0.35">
      <c r="A717" s="1">
        <v>46000</v>
      </c>
      <c r="B717">
        <v>2</v>
      </c>
      <c r="C717" t="s">
        <v>33</v>
      </c>
      <c r="D717" t="str" cm="1">
        <f t="array" ref="D717">IFERROR(INDEX(ReferenceCard, MATCH(1, (INDEX(ReferenceCard,,1)=Table1[[#This Row],[SAP No]]) * (INDEX(ReferenceCard,,2)=Table1[[#This Row],[Mould No]]), 0), 6),)</f>
        <v>PET</v>
      </c>
      <c r="E717">
        <v>541381</v>
      </c>
      <c r="F717">
        <v>0</v>
      </c>
      <c r="G717" t="str" cm="1">
        <f t="array" ref="G717">IFERROR(INDEX(ReferenceCard, MATCH(1, (INDEX(ReferenceCard,,1)=Table1[[#This Row],[SAP No]]) * (INDEX(ReferenceCard,,2)=Table1[[#This Row],[Mould No]]), 0), 3),)</f>
        <v>BC28-1200-K-R-CL</v>
      </c>
      <c r="H717">
        <v>0</v>
      </c>
      <c r="I717" cm="1">
        <f t="array" ref="I717">IFERROR(INDEX(ReferenceCard, MATCH(1, (INDEX(ReferenceCard,,1)=Table1[[#This Row],[SAP No]]) * (INDEX(ReferenceCard,,2)=Table1[[#This Row],[Mould No]]), 0), 4),)</f>
        <v>4</v>
      </c>
      <c r="J717" s="4" cm="1">
        <f t="array" ref="J717">IFERROR(INDEX(ReferenceCard, MATCH(1, (INDEX(ReferenceCard,,1)=Table1[[#This Row],[SAP No]]) * (INDEX(ReferenceCard,,2)=Table1[[#This Row],[Mould No]]), 0), 9),)</f>
        <v>55</v>
      </c>
      <c r="K717" s="4" cm="1">
        <f t="array" ref="K717">IFERROR(INDEX(ReferenceCard, MATCH(1, (INDEX(ReferenceCard,,1)=Table1[[#This Row],[SAP No]]) * (INDEX(ReferenceCard,,2)=Table1[[#This Row],[Mould No]]), 0), 7),)</f>
        <v>55</v>
      </c>
      <c r="L717">
        <v>0</v>
      </c>
      <c r="M717">
        <v>0</v>
      </c>
      <c r="N717">
        <v>0</v>
      </c>
      <c r="O717">
        <v>0</v>
      </c>
      <c r="P717">
        <f>Table1[[#This Row],[Shot]]*Table1[[#This Row],[Cav]]</f>
        <v>0</v>
      </c>
      <c r="Q717">
        <v>0</v>
      </c>
      <c r="R717">
        <f>(Table1[[#This Row],[Part Weight (gm)]]*Table1[[#This Row],[Finish Good]])/1000</f>
        <v>0</v>
      </c>
      <c r="S717">
        <v>0</v>
      </c>
      <c r="T717">
        <f>IF(Table1[[#This Row],[Qty Order]]="Sample","-",IF(Table1[[#This Row],[Qty Order]]="RTFN","-",Table1[[#This Row],[Qty Order]]-Table1[[#This Row],[Qty Accumulate]]))</f>
        <v>0</v>
      </c>
      <c r="U717">
        <f>((Table1[[#This Row],[Shift Output]]*Table1[[#This Row],[Part Weight (gm)]])/1000)+Table1[[#This Row],[Reject Startup (kg)]]+Table1[[#This Row],[Reject Purging (kg)]]+Table1[[#This Row],[Reject Preform (kg)]]</f>
        <v>0</v>
      </c>
      <c r="V717" s="37">
        <f>(Table1[[#This Row],[Gross Weight (gm)]]-Table1[[#This Row],[Part Weight (gm)]])*Table1[[#This Row],[Shift Output]]/1000</f>
        <v>0</v>
      </c>
      <c r="W717" s="3">
        <v>0</v>
      </c>
      <c r="X717" s="36" t="e">
        <f>Table1[[#This Row],[Reject Startup (kg)]]/Table1[[#This Row],[Material Used]]</f>
        <v>#DIV/0!</v>
      </c>
      <c r="Y717" s="3">
        <v>0</v>
      </c>
      <c r="Z717" s="36" t="e">
        <f>Table1[[#This Row],[Reject Prod (kg)]]/Table1[[#This Row],[Material Used]]</f>
        <v>#DIV/0!</v>
      </c>
      <c r="AA717" s="4">
        <v>0</v>
      </c>
      <c r="AB717" s="5">
        <v>0</v>
      </c>
      <c r="AC717" s="4" cm="1">
        <f t="array" ref="AC717">IFERROR(INDEX(ReferenceCard, MATCH(1, (INDEX(ReferenceCard,,1)=Table1[[#This Row],[SAP No]]) * (INDEX(ReferenceCard,,2)=Table1[[#This Row],[Mould No]]), 0), 9),)</f>
        <v>55</v>
      </c>
      <c r="AD717" s="5">
        <v>12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t="s">
        <v>144</v>
      </c>
      <c r="AL717" s="2"/>
      <c r="AM717" s="2"/>
      <c r="AN717" s="3">
        <v>0</v>
      </c>
      <c r="AO717" s="3">
        <v>0</v>
      </c>
      <c r="AP71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18" spans="1:42" x14ac:dyDescent="0.35">
      <c r="A718" s="1">
        <v>46000</v>
      </c>
      <c r="B718">
        <v>2</v>
      </c>
      <c r="C718" t="s">
        <v>35</v>
      </c>
      <c r="D718" t="str" cm="1">
        <f t="array" ref="D718">IFERROR(INDEX(ReferenceCard, MATCH(1, (INDEX(ReferenceCard,,1)=Table1[[#This Row],[SAP No]]) * (INDEX(ReferenceCard,,2)=Table1[[#This Row],[Mould No]]), 0), 6),)</f>
        <v>PPSB520Y</v>
      </c>
      <c r="E718">
        <v>552181</v>
      </c>
      <c r="F718">
        <v>1</v>
      </c>
      <c r="G718" t="str" cm="1">
        <f t="array" ref="G718">IFERROR(INDEX(ReferenceCard, MATCH(1, (INDEX(ReferenceCard,,1)=Table1[[#This Row],[SAP No]]) * (INDEX(ReferenceCard,,2)=Table1[[#This Row],[Mould No]]), 0), 3),)</f>
        <v>BC28-0090-D-APH-5180-3538-PP-6 NOTCHES-MOLD1</v>
      </c>
      <c r="H718">
        <v>0</v>
      </c>
      <c r="I718" cm="1">
        <f t="array" ref="I718">IFERROR(INDEX(ReferenceCard, MATCH(1, (INDEX(ReferenceCard,,1)=Table1[[#This Row],[SAP No]]) * (INDEX(ReferenceCard,,2)=Table1[[#This Row],[Mould No]]), 0), 4),)</f>
        <v>6</v>
      </c>
      <c r="J718" s="4" cm="1">
        <f t="array" ref="J718">IFERROR(INDEX(ReferenceCard, MATCH(1, (INDEX(ReferenceCard,,1)=Table1[[#This Row],[SAP No]]) * (INDEX(ReferenceCard,,2)=Table1[[#This Row],[Mould No]]), 0), 9),)</f>
        <v>18.8</v>
      </c>
      <c r="K718" s="4" cm="1">
        <f t="array" ref="K718">IFERROR(INDEX(ReferenceCard, MATCH(1, (INDEX(ReferenceCard,,1)=Table1[[#This Row],[SAP No]]) * (INDEX(ReferenceCard,,2)=Table1[[#This Row],[Mould No]]), 0), 7),)</f>
        <v>18.8</v>
      </c>
      <c r="L718">
        <v>1381</v>
      </c>
      <c r="M718">
        <v>0</v>
      </c>
      <c r="N718">
        <v>0</v>
      </c>
      <c r="O718">
        <v>0</v>
      </c>
      <c r="P718">
        <f>Table1[[#This Row],[Shot]]*Table1[[#This Row],[Cav]]</f>
        <v>8286</v>
      </c>
      <c r="Q718">
        <v>0</v>
      </c>
      <c r="R718">
        <f>(Table1[[#This Row],[Part Weight (gm)]]*Table1[[#This Row],[Finish Good]])/1000</f>
        <v>0</v>
      </c>
      <c r="S718">
        <v>0</v>
      </c>
      <c r="T718">
        <f>IF(Table1[[#This Row],[Qty Order]]="Sample","-",IF(Table1[[#This Row],[Qty Order]]="RTFN","-",Table1[[#This Row],[Qty Order]]-Table1[[#This Row],[Qty Accumulate]]))</f>
        <v>0</v>
      </c>
      <c r="U718">
        <f>((Table1[[#This Row],[Shift Output]]*Table1[[#This Row],[Part Weight (gm)]])/1000)+Table1[[#This Row],[Reject Startup (kg)]]+Table1[[#This Row],[Reject Purging (kg)]]+Table1[[#This Row],[Reject Preform (kg)]]</f>
        <v>155.77680000000001</v>
      </c>
      <c r="V718" s="37">
        <f>(Table1[[#This Row],[Gross Weight (gm)]]-Table1[[#This Row],[Part Weight (gm)]])*Table1[[#This Row],[Shift Output]]/1000</f>
        <v>0</v>
      </c>
      <c r="W718" s="3">
        <v>0</v>
      </c>
      <c r="X718" s="36">
        <f>Table1[[#This Row],[Reject Startup (kg)]]/Table1[[#This Row],[Material Used]]</f>
        <v>0</v>
      </c>
      <c r="Y718" s="3">
        <v>1</v>
      </c>
      <c r="Z718" s="36">
        <f>Table1[[#This Row],[Reject Prod (kg)]]/Table1[[#This Row],[Material Used]]</f>
        <v>6.4194411491313207E-3</v>
      </c>
      <c r="AA718" s="4">
        <v>31.272899627685501</v>
      </c>
      <c r="AB718" s="5">
        <v>12</v>
      </c>
      <c r="AC718" s="4" cm="1">
        <f t="array" ref="AC718">IFERROR(INDEX(ReferenceCard, MATCH(1, (INDEX(ReferenceCard,,1)=Table1[[#This Row],[SAP No]]) * (INDEX(ReferenceCard,,2)=Table1[[#This Row],[Mould No]]), 0), 9),)</f>
        <v>18.8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L718" s="2"/>
      <c r="AM718" s="2"/>
      <c r="AN718" s="3">
        <v>0</v>
      </c>
      <c r="AO718" s="3">
        <v>0</v>
      </c>
      <c r="AP718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719" spans="1:42" x14ac:dyDescent="0.35">
      <c r="A719" s="1">
        <v>46000</v>
      </c>
      <c r="B719">
        <v>2</v>
      </c>
      <c r="C719" t="s">
        <v>18</v>
      </c>
      <c r="D719" t="str" cm="1">
        <f t="array" ref="D719">IFERROR(INDEX(ReferenceCard, MATCH(1, (INDEX(ReferenceCard,,1)=Table1[[#This Row],[SAP No]]) * (INDEX(ReferenceCard,,2)=Table1[[#This Row],[Mould No]]), 0), 6),)</f>
        <v>PPSB520Y</v>
      </c>
      <c r="E719">
        <v>555979</v>
      </c>
      <c r="F719">
        <v>4</v>
      </c>
      <c r="G719" t="str" cm="1">
        <f t="array" ref="G719">IFERROR(INDEX(ReferenceCard, MATCH(1, (INDEX(ReferenceCard,,1)=Table1[[#This Row],[SAP No]]) * (INDEX(ReferenceCard,,2)=Table1[[#This Row],[Mould No]]), 0), 3),)</f>
        <v>BC28-0170-D-APH-5180-3539-PP-6 NOTCHES-MOLD4</v>
      </c>
      <c r="H719">
        <v>0</v>
      </c>
      <c r="I719" cm="1">
        <f t="array" ref="I719">IFERROR(INDEX(ReferenceCard, MATCH(1, (INDEX(ReferenceCard,,1)=Table1[[#This Row],[SAP No]]) * (INDEX(ReferenceCard,,2)=Table1[[#This Row],[Mould No]]), 0), 4),)</f>
        <v>6</v>
      </c>
      <c r="J719" s="4" cm="1">
        <f t="array" ref="J719">IFERROR(INDEX(ReferenceCard, MATCH(1, (INDEX(ReferenceCard,,1)=Table1[[#This Row],[SAP No]]) * (INDEX(ReferenceCard,,2)=Table1[[#This Row],[Mould No]]), 0), 9),)</f>
        <v>28</v>
      </c>
      <c r="K719" s="4" cm="1">
        <f t="array" ref="K719">IFERROR(INDEX(ReferenceCard, MATCH(1, (INDEX(ReferenceCard,,1)=Table1[[#This Row],[SAP No]]) * (INDEX(ReferenceCard,,2)=Table1[[#This Row],[Mould No]]), 0), 7),)</f>
        <v>28</v>
      </c>
      <c r="L719">
        <v>990</v>
      </c>
      <c r="M719">
        <v>0</v>
      </c>
      <c r="N719">
        <v>0</v>
      </c>
      <c r="O719">
        <v>0</v>
      </c>
      <c r="P719">
        <f>Table1[[#This Row],[Shot]]*Table1[[#This Row],[Cav]]</f>
        <v>5940</v>
      </c>
      <c r="Q719">
        <v>0</v>
      </c>
      <c r="R719">
        <f>(Table1[[#This Row],[Part Weight (gm)]]*Table1[[#This Row],[Finish Good]])/1000</f>
        <v>0</v>
      </c>
      <c r="S719">
        <v>0</v>
      </c>
      <c r="T719">
        <f>IF(Table1[[#This Row],[Qty Order]]="Sample","-",IF(Table1[[#This Row],[Qty Order]]="RTFN","-",Table1[[#This Row],[Qty Order]]-Table1[[#This Row],[Qty Accumulate]]))</f>
        <v>0</v>
      </c>
      <c r="U719">
        <f>((Table1[[#This Row],[Shift Output]]*Table1[[#This Row],[Part Weight (gm)]])/1000)+Table1[[#This Row],[Reject Startup (kg)]]+Table1[[#This Row],[Reject Purging (kg)]]+Table1[[#This Row],[Reject Preform (kg)]]</f>
        <v>166.32</v>
      </c>
      <c r="V719" s="37">
        <f>(Table1[[#This Row],[Gross Weight (gm)]]-Table1[[#This Row],[Part Weight (gm)]])*Table1[[#This Row],[Shift Output]]/1000</f>
        <v>0</v>
      </c>
      <c r="W719" s="3">
        <v>0</v>
      </c>
      <c r="X719" s="36">
        <f>Table1[[#This Row],[Reject Startup (kg)]]/Table1[[#This Row],[Material Used]]</f>
        <v>0</v>
      </c>
      <c r="Y719" s="3">
        <v>1</v>
      </c>
      <c r="Z719" s="36">
        <f>Table1[[#This Row],[Reject Prod (kg)]]/Table1[[#This Row],[Material Used]]</f>
        <v>6.0125060125060126E-3</v>
      </c>
      <c r="AA719" s="4">
        <v>43.5</v>
      </c>
      <c r="AB719" s="5">
        <v>12</v>
      </c>
      <c r="AC719" s="4" cm="1">
        <f t="array" ref="AC719">IFERROR(INDEX(ReferenceCard, MATCH(1, (INDEX(ReferenceCard,,1)=Table1[[#This Row],[SAP No]]) * (INDEX(ReferenceCard,,2)=Table1[[#This Row],[Mould No]]), 0), 9),)</f>
        <v>28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L719" s="2"/>
      <c r="AM719" s="2"/>
      <c r="AN719" s="3">
        <v>0</v>
      </c>
      <c r="AO719" s="3">
        <v>0</v>
      </c>
      <c r="AP719" s="6">
        <f>((Table1[[#This Row],[Reject Startup (kg)]]+Table1[[#This Row],[Reject Prod (kg)]]+Table1[[#This Row],[Reject Purging (kg)]]+Table1[[#This Row],[Reject Preform (kg)]])/Table1[[#This Row],[Part Weight (gm)]])*1000</f>
        <v>35.714285714285715</v>
      </c>
    </row>
    <row r="720" spans="1:42" x14ac:dyDescent="0.35">
      <c r="A720" s="1">
        <v>46000</v>
      </c>
      <c r="B720">
        <v>1</v>
      </c>
      <c r="C720" t="s">
        <v>18</v>
      </c>
      <c r="D720" t="str" cm="1">
        <f t="array" ref="D720">IFERROR(INDEX(ReferenceCard, MATCH(1, (INDEX(ReferenceCard,,1)=Table1[[#This Row],[SAP No]]) * (INDEX(ReferenceCard,,2)=Table1[[#This Row],[Mould No]]), 0), 6),)</f>
        <v>PPSB520Y</v>
      </c>
      <c r="E720">
        <v>555979</v>
      </c>
      <c r="F720">
        <v>4</v>
      </c>
      <c r="G720" t="str" cm="1">
        <f t="array" ref="G720">IFERROR(INDEX(ReferenceCard, MATCH(1, (INDEX(ReferenceCard,,1)=Table1[[#This Row],[SAP No]]) * (INDEX(ReferenceCard,,2)=Table1[[#This Row],[Mould No]]), 0), 3),)</f>
        <v>BC28-0170-D-APH-5180-3539-PP-6 NOTCHES-MOLD4</v>
      </c>
      <c r="H720">
        <v>0</v>
      </c>
      <c r="I720" cm="1">
        <f t="array" ref="I720">IFERROR(INDEX(ReferenceCard, MATCH(1, (INDEX(ReferenceCard,,1)=Table1[[#This Row],[SAP No]]) * (INDEX(ReferenceCard,,2)=Table1[[#This Row],[Mould No]]), 0), 4),)</f>
        <v>6</v>
      </c>
      <c r="J720" s="4" cm="1">
        <f t="array" ref="J720">IFERROR(INDEX(ReferenceCard, MATCH(1, (INDEX(ReferenceCard,,1)=Table1[[#This Row],[SAP No]]) * (INDEX(ReferenceCard,,2)=Table1[[#This Row],[Mould No]]), 0), 9),)</f>
        <v>28</v>
      </c>
      <c r="K720" s="4" cm="1">
        <f t="array" ref="K720">IFERROR(INDEX(ReferenceCard, MATCH(1, (INDEX(ReferenceCard,,1)=Table1[[#This Row],[SAP No]]) * (INDEX(ReferenceCard,,2)=Table1[[#This Row],[Mould No]]), 0), 7),)</f>
        <v>28</v>
      </c>
      <c r="L720">
        <v>939</v>
      </c>
      <c r="M720">
        <v>0</v>
      </c>
      <c r="N720">
        <v>0</v>
      </c>
      <c r="O720">
        <v>0</v>
      </c>
      <c r="P720">
        <f>Table1[[#This Row],[Shot]]*Table1[[#This Row],[Cav]]</f>
        <v>5634</v>
      </c>
      <c r="Q720">
        <v>0</v>
      </c>
      <c r="R720">
        <f>(Table1[[#This Row],[Part Weight (gm)]]*Table1[[#This Row],[Finish Good]])/1000</f>
        <v>0</v>
      </c>
      <c r="S720">
        <v>0</v>
      </c>
      <c r="T720">
        <f>IF(Table1[[#This Row],[Qty Order]]="Sample","-",IF(Table1[[#This Row],[Qty Order]]="RTFN","-",Table1[[#This Row],[Qty Order]]-Table1[[#This Row],[Qty Accumulate]]))</f>
        <v>0</v>
      </c>
      <c r="U720">
        <f>((Table1[[#This Row],[Shift Output]]*Table1[[#This Row],[Part Weight (gm)]])/1000)+Table1[[#This Row],[Reject Startup (kg)]]+Table1[[#This Row],[Reject Purging (kg)]]+Table1[[#This Row],[Reject Preform (kg)]]</f>
        <v>157.75200000000001</v>
      </c>
      <c r="V720" s="37">
        <f>(Table1[[#This Row],[Gross Weight (gm)]]-Table1[[#This Row],[Part Weight (gm)]])*Table1[[#This Row],[Shift Output]]/1000</f>
        <v>0</v>
      </c>
      <c r="W720" s="3">
        <v>0</v>
      </c>
      <c r="X720" s="36">
        <f>Table1[[#This Row],[Reject Startup (kg)]]/Table1[[#This Row],[Material Used]]</f>
        <v>0</v>
      </c>
      <c r="Y720" s="3">
        <v>1</v>
      </c>
      <c r="Z720" s="36">
        <f>Table1[[#This Row],[Reject Prod (kg)]]/Table1[[#This Row],[Material Used]]</f>
        <v>6.3390638470510671E-3</v>
      </c>
      <c r="AA720" s="4">
        <v>43.5</v>
      </c>
      <c r="AB720" s="5">
        <v>12</v>
      </c>
      <c r="AC720" s="4" cm="1">
        <f t="array" ref="AC720">IFERROR(INDEX(ReferenceCard, MATCH(1, (INDEX(ReferenceCard,,1)=Table1[[#This Row],[SAP No]]) * (INDEX(ReferenceCard,,2)=Table1[[#This Row],[Mould No]]), 0), 9),)</f>
        <v>28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L720" s="2"/>
      <c r="AM720" s="2"/>
      <c r="AN720" s="3">
        <v>0</v>
      </c>
      <c r="AO720" s="3">
        <v>0</v>
      </c>
      <c r="AP720" s="6">
        <f>((Table1[[#This Row],[Reject Startup (kg)]]+Table1[[#This Row],[Reject Prod (kg)]]+Table1[[#This Row],[Reject Purging (kg)]]+Table1[[#This Row],[Reject Preform (kg)]])/Table1[[#This Row],[Part Weight (gm)]])*1000</f>
        <v>35.714285714285715</v>
      </c>
    </row>
    <row r="721" spans="1:42" x14ac:dyDescent="0.35">
      <c r="A721" s="1">
        <v>46000</v>
      </c>
      <c r="B721">
        <v>1</v>
      </c>
      <c r="C721" t="s">
        <v>35</v>
      </c>
      <c r="D721" t="str" cm="1">
        <f t="array" ref="D721">IFERROR(INDEX(ReferenceCard, MATCH(1, (INDEX(ReferenceCard,,1)=Table1[[#This Row],[SAP No]]) * (INDEX(ReferenceCard,,2)=Table1[[#This Row],[Mould No]]), 0), 6),)</f>
        <v>PPSB520Y</v>
      </c>
      <c r="E721">
        <v>552181</v>
      </c>
      <c r="F721">
        <v>1</v>
      </c>
      <c r="G721" t="str" cm="1">
        <f t="array" ref="G721">IFERROR(INDEX(ReferenceCard, MATCH(1, (INDEX(ReferenceCard,,1)=Table1[[#This Row],[SAP No]]) * (INDEX(ReferenceCard,,2)=Table1[[#This Row],[Mould No]]), 0), 3),)</f>
        <v>BC28-0090-D-APH-5180-3538-PP-6 NOTCHES-MOLD1</v>
      </c>
      <c r="H721">
        <v>0</v>
      </c>
      <c r="I721" cm="1">
        <f t="array" ref="I721">IFERROR(INDEX(ReferenceCard, MATCH(1, (INDEX(ReferenceCard,,1)=Table1[[#This Row],[SAP No]]) * (INDEX(ReferenceCard,,2)=Table1[[#This Row],[Mould No]]), 0), 4),)</f>
        <v>6</v>
      </c>
      <c r="J721" s="4" cm="1">
        <f t="array" ref="J721">IFERROR(INDEX(ReferenceCard, MATCH(1, (INDEX(ReferenceCard,,1)=Table1[[#This Row],[SAP No]]) * (INDEX(ReferenceCard,,2)=Table1[[#This Row],[Mould No]]), 0), 9),)</f>
        <v>18.8</v>
      </c>
      <c r="K721" s="4" cm="1">
        <f t="array" ref="K721">IFERROR(INDEX(ReferenceCard, MATCH(1, (INDEX(ReferenceCard,,1)=Table1[[#This Row],[SAP No]]) * (INDEX(ReferenceCard,,2)=Table1[[#This Row],[Mould No]]), 0), 7),)</f>
        <v>18.8</v>
      </c>
      <c r="L721">
        <v>2602</v>
      </c>
      <c r="M721">
        <v>0</v>
      </c>
      <c r="N721">
        <v>0</v>
      </c>
      <c r="O721">
        <v>0</v>
      </c>
      <c r="P721">
        <f>Table1[[#This Row],[Shot]]*Table1[[#This Row],[Cav]]</f>
        <v>15612</v>
      </c>
      <c r="Q721">
        <v>0</v>
      </c>
      <c r="R721">
        <f>(Table1[[#This Row],[Part Weight (gm)]]*Table1[[#This Row],[Finish Good]])/1000</f>
        <v>0</v>
      </c>
      <c r="S721">
        <v>0</v>
      </c>
      <c r="T721">
        <f>IF(Table1[[#This Row],[Qty Order]]="Sample","-",IF(Table1[[#This Row],[Qty Order]]="RTFN","-",Table1[[#This Row],[Qty Order]]-Table1[[#This Row],[Qty Accumulate]]))</f>
        <v>0</v>
      </c>
      <c r="U721">
        <f>((Table1[[#This Row],[Shift Output]]*Table1[[#This Row],[Part Weight (gm)]])/1000)+Table1[[#This Row],[Reject Startup (kg)]]+Table1[[#This Row],[Reject Purging (kg)]]+Table1[[#This Row],[Reject Preform (kg)]]</f>
        <v>293.50560000000002</v>
      </c>
      <c r="V721" s="37">
        <f>(Table1[[#This Row],[Gross Weight (gm)]]-Table1[[#This Row],[Part Weight (gm)]])*Table1[[#This Row],[Shift Output]]/1000</f>
        <v>0</v>
      </c>
      <c r="W721" s="3">
        <v>0</v>
      </c>
      <c r="X721" s="36">
        <f>Table1[[#This Row],[Reject Startup (kg)]]/Table1[[#This Row],[Material Used]]</f>
        <v>0</v>
      </c>
      <c r="Y721" s="3">
        <v>1</v>
      </c>
      <c r="Z721" s="36">
        <f>Table1[[#This Row],[Reject Prod (kg)]]/Table1[[#This Row],[Material Used]]</f>
        <v>3.4070900180439485E-3</v>
      </c>
      <c r="AA721" s="4">
        <v>31.276540756225501</v>
      </c>
      <c r="AB721" s="5">
        <v>8.83</v>
      </c>
      <c r="AC721" s="4" cm="1">
        <f t="array" ref="AC721">IFERROR(INDEX(ReferenceCard, MATCH(1, (INDEX(ReferenceCard,,1)=Table1[[#This Row],[SAP No]]) * (INDEX(ReferenceCard,,2)=Table1[[#This Row],[Mould No]]), 0), 9),)</f>
        <v>18.8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L721" s="2"/>
      <c r="AM721" s="2"/>
      <c r="AN721" s="3">
        <v>0</v>
      </c>
      <c r="AO721" s="3">
        <v>0</v>
      </c>
      <c r="AP721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722" spans="1:42" x14ac:dyDescent="0.35">
      <c r="A722" s="1">
        <v>46000</v>
      </c>
      <c r="B722">
        <v>1</v>
      </c>
      <c r="C722" t="s">
        <v>33</v>
      </c>
      <c r="D722" t="str" cm="1">
        <f t="array" ref="D722">IFERROR(INDEX(ReferenceCard, MATCH(1, (INDEX(ReferenceCard,,1)=Table1[[#This Row],[SAP No]]) * (INDEX(ReferenceCard,,2)=Table1[[#This Row],[Mould No]]), 0), 6),)</f>
        <v>PET</v>
      </c>
      <c r="E722">
        <v>541381</v>
      </c>
      <c r="F722">
        <v>0</v>
      </c>
      <c r="G722" t="str" cm="1">
        <f t="array" ref="G722">IFERROR(INDEX(ReferenceCard, MATCH(1, (INDEX(ReferenceCard,,1)=Table1[[#This Row],[SAP No]]) * (INDEX(ReferenceCard,,2)=Table1[[#This Row],[Mould No]]), 0), 3),)</f>
        <v>BC28-1200-K-R-CL</v>
      </c>
      <c r="H722">
        <v>0</v>
      </c>
      <c r="I722" cm="1">
        <f t="array" ref="I722">IFERROR(INDEX(ReferenceCard, MATCH(1, (INDEX(ReferenceCard,,1)=Table1[[#This Row],[SAP No]]) * (INDEX(ReferenceCard,,2)=Table1[[#This Row],[Mould No]]), 0), 4),)</f>
        <v>4</v>
      </c>
      <c r="J722" s="4" cm="1">
        <f t="array" ref="J722">IFERROR(INDEX(ReferenceCard, MATCH(1, (INDEX(ReferenceCard,,1)=Table1[[#This Row],[SAP No]]) * (INDEX(ReferenceCard,,2)=Table1[[#This Row],[Mould No]]), 0), 9),)</f>
        <v>55</v>
      </c>
      <c r="K722" s="4" cm="1">
        <f t="array" ref="K722">IFERROR(INDEX(ReferenceCard, MATCH(1, (INDEX(ReferenceCard,,1)=Table1[[#This Row],[SAP No]]) * (INDEX(ReferenceCard,,2)=Table1[[#This Row],[Mould No]]), 0), 7),)</f>
        <v>55</v>
      </c>
      <c r="L722">
        <v>0</v>
      </c>
      <c r="M722">
        <v>0</v>
      </c>
      <c r="N722">
        <v>0</v>
      </c>
      <c r="O722">
        <v>0</v>
      </c>
      <c r="P722">
        <f>Table1[[#This Row],[Shot]]*Table1[[#This Row],[Cav]]</f>
        <v>0</v>
      </c>
      <c r="Q722">
        <v>0</v>
      </c>
      <c r="R722">
        <f>(Table1[[#This Row],[Part Weight (gm)]]*Table1[[#This Row],[Finish Good]])/1000</f>
        <v>0</v>
      </c>
      <c r="S722">
        <v>0</v>
      </c>
      <c r="T722">
        <f>IF(Table1[[#This Row],[Qty Order]]="Sample","-",IF(Table1[[#This Row],[Qty Order]]="RTFN","-",Table1[[#This Row],[Qty Order]]-Table1[[#This Row],[Qty Accumulate]]))</f>
        <v>0</v>
      </c>
      <c r="U722">
        <f>((Table1[[#This Row],[Shift Output]]*Table1[[#This Row],[Part Weight (gm)]])/1000)+Table1[[#This Row],[Reject Startup (kg)]]+Table1[[#This Row],[Reject Purging (kg)]]+Table1[[#This Row],[Reject Preform (kg)]]</f>
        <v>0</v>
      </c>
      <c r="V722" s="37">
        <f>(Table1[[#This Row],[Gross Weight (gm)]]-Table1[[#This Row],[Part Weight (gm)]])*Table1[[#This Row],[Shift Output]]/1000</f>
        <v>0</v>
      </c>
      <c r="W722" s="3">
        <v>0</v>
      </c>
      <c r="X722" s="36" t="e">
        <f>Table1[[#This Row],[Reject Startup (kg)]]/Table1[[#This Row],[Material Used]]</f>
        <v>#DIV/0!</v>
      </c>
      <c r="Y722" s="3">
        <v>0</v>
      </c>
      <c r="Z722" s="36" t="e">
        <f>Table1[[#This Row],[Reject Prod (kg)]]/Table1[[#This Row],[Material Used]]</f>
        <v>#DIV/0!</v>
      </c>
      <c r="AA722" s="4">
        <v>0</v>
      </c>
      <c r="AB722" s="5">
        <v>0</v>
      </c>
      <c r="AC722" s="4" cm="1">
        <f t="array" ref="AC722">IFERROR(INDEX(ReferenceCard, MATCH(1, (INDEX(ReferenceCard,,1)=Table1[[#This Row],[SAP No]]) * (INDEX(ReferenceCard,,2)=Table1[[#This Row],[Mould No]]), 0), 9),)</f>
        <v>55</v>
      </c>
      <c r="AD722" s="5">
        <v>4.54</v>
      </c>
      <c r="AE722" s="5">
        <v>0</v>
      </c>
      <c r="AF722" s="5">
        <v>0</v>
      </c>
      <c r="AG722" s="5">
        <v>4.29</v>
      </c>
      <c r="AH722" s="5">
        <v>0</v>
      </c>
      <c r="AI722" s="5">
        <v>0</v>
      </c>
      <c r="AJ722" s="5">
        <v>0</v>
      </c>
      <c r="AK722" t="s">
        <v>168</v>
      </c>
      <c r="AL722" s="2" t="s">
        <v>169</v>
      </c>
      <c r="AM722" s="2" t="s">
        <v>167</v>
      </c>
      <c r="AN722" s="3"/>
      <c r="AO722" s="3"/>
      <c r="AP72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23" spans="1:42" x14ac:dyDescent="0.35">
      <c r="A723" s="1">
        <v>46000</v>
      </c>
      <c r="B723">
        <v>1</v>
      </c>
      <c r="C723" t="s">
        <v>31</v>
      </c>
      <c r="D723" t="str" cm="1">
        <f t="array" ref="D723">IFERROR(INDEX(ReferenceCard, MATCH(1, (INDEX(ReferenceCard,,1)=Table1[[#This Row],[SAP No]]) * (INDEX(ReferenceCard,,2)=Table1[[#This Row],[Mould No]]), 0), 6),)</f>
        <v>PPSB520Y</v>
      </c>
      <c r="E723">
        <v>586276</v>
      </c>
      <c r="F723">
        <v>4</v>
      </c>
      <c r="G723" t="str" cm="1">
        <f t="array" ref="G723">IFERROR(INDEX(ReferenceCard, MATCH(1, (INDEX(ReferenceCard,,1)=Table1[[#This Row],[SAP No]]) * (INDEX(ReferenceCard,,2)=Table1[[#This Row],[Mould No]]), 0), 3),)</f>
        <v>BC28-0056-D-APH-LEB-604001-MOLD4</v>
      </c>
      <c r="H723">
        <v>0</v>
      </c>
      <c r="I723" cm="1">
        <f t="array" ref="I723">IFERROR(INDEX(ReferenceCard, MATCH(1, (INDEX(ReferenceCard,,1)=Table1[[#This Row],[SAP No]]) * (INDEX(ReferenceCard,,2)=Table1[[#This Row],[Mould No]]), 0), 4),)</f>
        <v>6</v>
      </c>
      <c r="J723" s="4" cm="1">
        <f t="array" ref="J723">IFERROR(INDEX(ReferenceCard, MATCH(1, (INDEX(ReferenceCard,,1)=Table1[[#This Row],[SAP No]]) * (INDEX(ReferenceCard,,2)=Table1[[#This Row],[Mould No]]), 0), 9),)</f>
        <v>12.3</v>
      </c>
      <c r="K723" s="4" cm="1">
        <f t="array" ref="K723">IFERROR(INDEX(ReferenceCard, MATCH(1, (INDEX(ReferenceCard,,1)=Table1[[#This Row],[SAP No]]) * (INDEX(ReferenceCard,,2)=Table1[[#This Row],[Mould No]]), 0), 7),)</f>
        <v>12.3</v>
      </c>
      <c r="L723">
        <v>6</v>
      </c>
      <c r="M723">
        <v>0</v>
      </c>
      <c r="N723">
        <v>0</v>
      </c>
      <c r="O723">
        <v>0</v>
      </c>
      <c r="P723">
        <f>Table1[[#This Row],[Shot]]*Table1[[#This Row],[Cav]]</f>
        <v>36</v>
      </c>
      <c r="Q723">
        <v>0</v>
      </c>
      <c r="R723">
        <f>(Table1[[#This Row],[Part Weight (gm)]]*Table1[[#This Row],[Finish Good]])/1000</f>
        <v>0</v>
      </c>
      <c r="S723">
        <v>0</v>
      </c>
      <c r="T723">
        <f>IF(Table1[[#This Row],[Qty Order]]="Sample","-",IF(Table1[[#This Row],[Qty Order]]="RTFN","-",Table1[[#This Row],[Qty Order]]-Table1[[#This Row],[Qty Accumulate]]))</f>
        <v>0</v>
      </c>
      <c r="U723">
        <f>((Table1[[#This Row],[Shift Output]]*Table1[[#This Row],[Part Weight (gm)]])/1000)+Table1[[#This Row],[Reject Startup (kg)]]+Table1[[#This Row],[Reject Purging (kg)]]+Table1[[#This Row],[Reject Preform (kg)]]</f>
        <v>2.4428000000000001</v>
      </c>
      <c r="V723" s="37">
        <f>(Table1[[#This Row],[Gross Weight (gm)]]-Table1[[#This Row],[Part Weight (gm)]])*Table1[[#This Row],[Shift Output]]/1000</f>
        <v>0</v>
      </c>
      <c r="W723" s="3">
        <v>0</v>
      </c>
      <c r="X723" s="36">
        <f>Table1[[#This Row],[Reject Startup (kg)]]/Table1[[#This Row],[Material Used]]</f>
        <v>0</v>
      </c>
      <c r="Y723" s="3">
        <v>0</v>
      </c>
      <c r="Z723" s="36">
        <f>Table1[[#This Row],[Reject Prod (kg)]]/Table1[[#This Row],[Material Used]]</f>
        <v>0</v>
      </c>
      <c r="AA723" s="4">
        <v>44.169181823730398</v>
      </c>
      <c r="AB723" s="5">
        <v>7.0000000000000007E-2</v>
      </c>
      <c r="AC723" s="4" cm="1">
        <f t="array" ref="AC723">IFERROR(INDEX(ReferenceCard, MATCH(1, (INDEX(ReferenceCard,,1)=Table1[[#This Row],[SAP No]]) * (INDEX(ReferenceCard,,2)=Table1[[#This Row],[Mould No]]), 0), 9),)</f>
        <v>12.3</v>
      </c>
      <c r="AD723" s="5">
        <v>0</v>
      </c>
      <c r="AE723" s="5">
        <v>0</v>
      </c>
      <c r="AF723" s="5">
        <v>0</v>
      </c>
      <c r="AG723" s="5">
        <v>0</v>
      </c>
      <c r="AH723" s="5">
        <v>8.7599999999999891</v>
      </c>
      <c r="AI723" s="5">
        <v>0</v>
      </c>
      <c r="AJ723" s="5">
        <v>0</v>
      </c>
      <c r="AL723" s="2"/>
      <c r="AM723" s="2"/>
      <c r="AN723" s="3">
        <v>1</v>
      </c>
      <c r="AO723" s="3">
        <v>1</v>
      </c>
      <c r="AP723" s="6">
        <f>((Table1[[#This Row],[Reject Startup (kg)]]+Table1[[#This Row],[Reject Prod (kg)]]+Table1[[#This Row],[Reject Purging (kg)]]+Table1[[#This Row],[Reject Preform (kg)]])/Table1[[#This Row],[Part Weight (gm)]])*1000</f>
        <v>162.60162601626016</v>
      </c>
    </row>
    <row r="724" spans="1:42" x14ac:dyDescent="0.35">
      <c r="A724" s="1">
        <v>46000</v>
      </c>
      <c r="B724">
        <v>1</v>
      </c>
      <c r="C724" t="s">
        <v>29</v>
      </c>
      <c r="D724" t="str" cm="1">
        <f t="array" ref="D724">IFERROR(INDEX(ReferenceCard, MATCH(1, (INDEX(ReferenceCard,,1)=Table1[[#This Row],[SAP No]]) * (INDEX(ReferenceCard,,2)=Table1[[#This Row],[Mould No]]), 0), 6),)</f>
        <v>PET</v>
      </c>
      <c r="E724">
        <v>620599</v>
      </c>
      <c r="F724">
        <v>0</v>
      </c>
      <c r="G724" t="str" cm="1">
        <f t="array" ref="G724">IFERROR(INDEX(ReferenceCard, MATCH(1, (INDEX(ReferenceCard,,1)=Table1[[#This Row],[SAP No]]) * (INDEX(ReferenceCard,,2)=Table1[[#This Row],[Mould No]]), 0), 3),)</f>
        <v>BC28-0750-K4-R-CL (55g)</v>
      </c>
      <c r="H724">
        <v>0</v>
      </c>
      <c r="I724" cm="1">
        <f t="array" ref="I724">IFERROR(INDEX(ReferenceCard, MATCH(1, (INDEX(ReferenceCard,,1)=Table1[[#This Row],[SAP No]]) * (INDEX(ReferenceCard,,2)=Table1[[#This Row],[Mould No]]), 0), 4),)</f>
        <v>4</v>
      </c>
      <c r="J724" s="4" cm="1">
        <f t="array" ref="J724">IFERROR(INDEX(ReferenceCard, MATCH(1, (INDEX(ReferenceCard,,1)=Table1[[#This Row],[SAP No]]) * (INDEX(ReferenceCard,,2)=Table1[[#This Row],[Mould No]]), 0), 9),)</f>
        <v>55</v>
      </c>
      <c r="K724" s="4" cm="1">
        <f t="array" ref="K724">IFERROR(INDEX(ReferenceCard, MATCH(1, (INDEX(ReferenceCard,,1)=Table1[[#This Row],[SAP No]]) * (INDEX(ReferenceCard,,2)=Table1[[#This Row],[Mould No]]), 0), 7),)</f>
        <v>55</v>
      </c>
      <c r="L724">
        <v>2866</v>
      </c>
      <c r="M724">
        <v>0</v>
      </c>
      <c r="N724">
        <v>0</v>
      </c>
      <c r="O724">
        <v>0</v>
      </c>
      <c r="P724">
        <f>Table1[[#This Row],[Shot]]*Table1[[#This Row],[Cav]]</f>
        <v>11464</v>
      </c>
      <c r="Q724">
        <v>0</v>
      </c>
      <c r="R724">
        <f>(Table1[[#This Row],[Part Weight (gm)]]*Table1[[#This Row],[Finish Good]])/1000</f>
        <v>0</v>
      </c>
      <c r="S724">
        <v>0</v>
      </c>
      <c r="T724">
        <f>IF(Table1[[#This Row],[Qty Order]]="Sample","-",IF(Table1[[#This Row],[Qty Order]]="RTFN","-",Table1[[#This Row],[Qty Order]]-Table1[[#This Row],[Qty Accumulate]]))</f>
        <v>0</v>
      </c>
      <c r="U724">
        <f>((Table1[[#This Row],[Shift Output]]*Table1[[#This Row],[Part Weight (gm)]])/1000)+Table1[[#This Row],[Reject Startup (kg)]]+Table1[[#This Row],[Reject Purging (kg)]]+Table1[[#This Row],[Reject Preform (kg)]]</f>
        <v>630.52</v>
      </c>
      <c r="V724" s="37">
        <f>(Table1[[#This Row],[Gross Weight (gm)]]-Table1[[#This Row],[Part Weight (gm)]])*Table1[[#This Row],[Shift Output]]/1000</f>
        <v>0</v>
      </c>
      <c r="W724" s="3">
        <v>0</v>
      </c>
      <c r="X724" s="36">
        <f>Table1[[#This Row],[Reject Startup (kg)]]/Table1[[#This Row],[Material Used]]</f>
        <v>0</v>
      </c>
      <c r="Y724" s="3">
        <v>11</v>
      </c>
      <c r="Z724" s="36">
        <f>Table1[[#This Row],[Reject Prod (kg)]]/Table1[[#This Row],[Material Used]]</f>
        <v>1.7445917655268667E-2</v>
      </c>
      <c r="AA724" s="4">
        <v>28.446607589721602</v>
      </c>
      <c r="AB724" s="5">
        <v>8.83</v>
      </c>
      <c r="AC724" s="4" cm="1">
        <f t="array" ref="AC724">IFERROR(INDEX(ReferenceCard, MATCH(1, (INDEX(ReferenceCard,,1)=Table1[[#This Row],[SAP No]]) * (INDEX(ReferenceCard,,2)=Table1[[#This Row],[Mould No]]), 0), 9),)</f>
        <v>55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L724" s="2"/>
      <c r="AM724" s="2"/>
      <c r="AN724" s="3">
        <v>0</v>
      </c>
      <c r="AO724" s="3">
        <v>0</v>
      </c>
      <c r="AP724" s="6">
        <f>((Table1[[#This Row],[Reject Startup (kg)]]+Table1[[#This Row],[Reject Prod (kg)]]+Table1[[#This Row],[Reject Purging (kg)]]+Table1[[#This Row],[Reject Preform (kg)]])/Table1[[#This Row],[Part Weight (gm)]])*1000</f>
        <v>200</v>
      </c>
    </row>
    <row r="725" spans="1:42" x14ac:dyDescent="0.35">
      <c r="A725" s="1">
        <v>46000</v>
      </c>
      <c r="B725">
        <v>1</v>
      </c>
      <c r="C725" t="s">
        <v>27</v>
      </c>
      <c r="D725" t="str" cm="1">
        <f t="array" ref="D725">IFERROR(INDEX(ReferenceCard, MATCH(1, (INDEX(ReferenceCard,,1)=Table1[[#This Row],[SAP No]]) * (INDEX(ReferenceCard,,2)=Table1[[#This Row],[Mould No]]), 0), 6),)</f>
        <v>PPSB520Y</v>
      </c>
      <c r="E725">
        <v>552181</v>
      </c>
      <c r="F725">
        <v>4</v>
      </c>
      <c r="G725" t="str" cm="1">
        <f t="array" ref="G725">IFERROR(INDEX(ReferenceCard, MATCH(1, (INDEX(ReferenceCard,,1)=Table1[[#This Row],[SAP No]]) * (INDEX(ReferenceCard,,2)=Table1[[#This Row],[Mould No]]), 0), 3),)</f>
        <v>BC28-0090-D-APH-5180-3538-PP-6 NOTCHES-MOLD4</v>
      </c>
      <c r="H725">
        <v>0</v>
      </c>
      <c r="I725" cm="1">
        <f t="array" ref="I725">IFERROR(INDEX(ReferenceCard, MATCH(1, (INDEX(ReferenceCard,,1)=Table1[[#This Row],[SAP No]]) * (INDEX(ReferenceCard,,2)=Table1[[#This Row],[Mould No]]), 0), 4),)</f>
        <v>6</v>
      </c>
      <c r="J725" s="4" cm="1">
        <f t="array" ref="J725">IFERROR(INDEX(ReferenceCard, MATCH(1, (INDEX(ReferenceCard,,1)=Table1[[#This Row],[SAP No]]) * (INDEX(ReferenceCard,,2)=Table1[[#This Row],[Mould No]]), 0), 9),)</f>
        <v>18.8</v>
      </c>
      <c r="K725" s="4" cm="1">
        <f t="array" ref="K725">IFERROR(INDEX(ReferenceCard, MATCH(1, (INDEX(ReferenceCard,,1)=Table1[[#This Row],[SAP No]]) * (INDEX(ReferenceCard,,2)=Table1[[#This Row],[Mould No]]), 0), 7),)</f>
        <v>18.8</v>
      </c>
      <c r="L725">
        <v>2301</v>
      </c>
      <c r="M725">
        <v>0</v>
      </c>
      <c r="N725">
        <v>0</v>
      </c>
      <c r="O725">
        <v>0</v>
      </c>
      <c r="P725">
        <f>Table1[[#This Row],[Shot]]*Table1[[#This Row],[Cav]]</f>
        <v>13806</v>
      </c>
      <c r="Q725">
        <v>0</v>
      </c>
      <c r="R725">
        <f>(Table1[[#This Row],[Part Weight (gm)]]*Table1[[#This Row],[Finish Good]])/1000</f>
        <v>0</v>
      </c>
      <c r="S725">
        <v>0</v>
      </c>
      <c r="T725">
        <f>IF(Table1[[#This Row],[Qty Order]]="Sample","-",IF(Table1[[#This Row],[Qty Order]]="RTFN","-",Table1[[#This Row],[Qty Order]]-Table1[[#This Row],[Qty Accumulate]]))</f>
        <v>0</v>
      </c>
      <c r="U725">
        <f>((Table1[[#This Row],[Shift Output]]*Table1[[#This Row],[Part Weight (gm)]])/1000)+Table1[[#This Row],[Reject Startup (kg)]]+Table1[[#This Row],[Reject Purging (kg)]]+Table1[[#This Row],[Reject Preform (kg)]]</f>
        <v>293.55279999999999</v>
      </c>
      <c r="V725" s="37">
        <f>(Table1[[#This Row],[Gross Weight (gm)]]-Table1[[#This Row],[Part Weight (gm)]])*Table1[[#This Row],[Shift Output]]/1000</f>
        <v>0</v>
      </c>
      <c r="W725" s="3">
        <v>34</v>
      </c>
      <c r="X725" s="36">
        <f>Table1[[#This Row],[Reject Startup (kg)]]/Table1[[#This Row],[Material Used]]</f>
        <v>0.11582243466933377</v>
      </c>
      <c r="Y725" s="3">
        <v>0</v>
      </c>
      <c r="Z725" s="36">
        <f>Table1[[#This Row],[Reject Prod (kg)]]/Table1[[#This Row],[Material Used]]</f>
        <v>0</v>
      </c>
      <c r="AA725" s="4">
        <v>0</v>
      </c>
      <c r="AB725" s="5">
        <v>0</v>
      </c>
      <c r="AC725" s="4" cm="1">
        <f t="array" ref="AC725">IFERROR(INDEX(ReferenceCard, MATCH(1, (INDEX(ReferenceCard,,1)=Table1[[#This Row],[SAP No]]) * (INDEX(ReferenceCard,,2)=Table1[[#This Row],[Mould No]]), 0), 9),)</f>
        <v>18.8</v>
      </c>
      <c r="AD725" s="5">
        <v>0</v>
      </c>
      <c r="AE725" s="5">
        <v>0</v>
      </c>
      <c r="AF725" s="5">
        <v>0</v>
      </c>
      <c r="AG725" s="5">
        <v>0</v>
      </c>
      <c r="AH725" s="5">
        <v>8.83</v>
      </c>
      <c r="AI725" s="5">
        <v>0</v>
      </c>
      <c r="AJ725" s="5">
        <v>0</v>
      </c>
      <c r="AL725" s="2"/>
      <c r="AM725" s="2"/>
      <c r="AN725" s="3">
        <v>0</v>
      </c>
      <c r="AO725" s="3">
        <v>0</v>
      </c>
      <c r="AP725" s="6">
        <f>((Table1[[#This Row],[Reject Startup (kg)]]+Table1[[#This Row],[Reject Prod (kg)]]+Table1[[#This Row],[Reject Purging (kg)]]+Table1[[#This Row],[Reject Preform (kg)]])/Table1[[#This Row],[Part Weight (gm)]])*1000</f>
        <v>1808.5106382978722</v>
      </c>
    </row>
    <row r="726" spans="1:42" x14ac:dyDescent="0.35">
      <c r="A726" s="1">
        <v>46000</v>
      </c>
      <c r="B726">
        <v>1</v>
      </c>
      <c r="C726" t="s">
        <v>25</v>
      </c>
      <c r="D726" t="str" cm="1">
        <f t="array" ref="D726">IFERROR(INDEX(ReferenceCard, MATCH(1, (INDEX(ReferenceCard,,1)=Table1[[#This Row],[SAP No]]) * (INDEX(ReferenceCard,,2)=Table1[[#This Row],[Mould No]]), 0), 6),)</f>
        <v>PET</v>
      </c>
      <c r="E726">
        <v>323133</v>
      </c>
      <c r="F726">
        <v>0</v>
      </c>
      <c r="G726" t="str" cm="1">
        <f t="array" ref="G726">IFERROR(INDEX(ReferenceCard, MATCH(1, (INDEX(ReferenceCard,,1)=Table1[[#This Row],[SAP No]]) * (INDEX(ReferenceCard,,2)=Table1[[#This Row],[Mould No]]), 0), 3),)</f>
        <v>BX38-2000-RH-R-CL(GREEN) (ASEM)</v>
      </c>
      <c r="H726">
        <v>0</v>
      </c>
      <c r="I726" cm="1">
        <f t="array" ref="I726">IFERROR(INDEX(ReferenceCard, MATCH(1, (INDEX(ReferenceCard,,1)=Table1[[#This Row],[SAP No]]) * (INDEX(ReferenceCard,,2)=Table1[[#This Row],[Mould No]]), 0), 4),)</f>
        <v>4</v>
      </c>
      <c r="J726" s="4" cm="1">
        <f t="array" ref="J726">IFERROR(INDEX(ReferenceCard, MATCH(1, (INDEX(ReferenceCard,,1)=Table1[[#This Row],[SAP No]]) * (INDEX(ReferenceCard,,2)=Table1[[#This Row],[Mould No]]), 0), 9),)</f>
        <v>77</v>
      </c>
      <c r="K726" s="4" cm="1">
        <f t="array" ref="K726">IFERROR(INDEX(ReferenceCard, MATCH(1, (INDEX(ReferenceCard,,1)=Table1[[#This Row],[SAP No]]) * (INDEX(ReferenceCard,,2)=Table1[[#This Row],[Mould No]]), 0), 7),)</f>
        <v>77</v>
      </c>
      <c r="L726">
        <v>7533</v>
      </c>
      <c r="M726">
        <v>0</v>
      </c>
      <c r="N726">
        <v>0</v>
      </c>
      <c r="O726">
        <v>0</v>
      </c>
      <c r="P726">
        <f>Table1[[#This Row],[Shot]]*Table1[[#This Row],[Cav]]</f>
        <v>30132</v>
      </c>
      <c r="Q726">
        <v>0</v>
      </c>
      <c r="R726">
        <f>(Table1[[#This Row],[Part Weight (gm)]]*Table1[[#This Row],[Finish Good]])/1000</f>
        <v>0</v>
      </c>
      <c r="S726">
        <v>0</v>
      </c>
      <c r="T726">
        <f>IF(Table1[[#This Row],[Qty Order]]="Sample","-",IF(Table1[[#This Row],[Qty Order]]="RTFN","-",Table1[[#This Row],[Qty Order]]-Table1[[#This Row],[Qty Accumulate]]))</f>
        <v>0</v>
      </c>
      <c r="U726">
        <f>((Table1[[#This Row],[Shift Output]]*Table1[[#This Row],[Part Weight (gm)]])/1000)+Table1[[#This Row],[Reject Startup (kg)]]+Table1[[#This Row],[Reject Purging (kg)]]+Table1[[#This Row],[Reject Preform (kg)]]</f>
        <v>2330.1640000000002</v>
      </c>
      <c r="V726" s="37">
        <f>(Table1[[#This Row],[Gross Weight (gm)]]-Table1[[#This Row],[Part Weight (gm)]])*Table1[[#This Row],[Shift Output]]/1000</f>
        <v>0</v>
      </c>
      <c r="W726" s="3">
        <v>0</v>
      </c>
      <c r="X726" s="36">
        <f>Table1[[#This Row],[Reject Startup (kg)]]/Table1[[#This Row],[Material Used]]</f>
        <v>0</v>
      </c>
      <c r="Y726" s="3">
        <v>29</v>
      </c>
      <c r="Z726" s="36">
        <f>Table1[[#This Row],[Reject Prod (kg)]]/Table1[[#This Row],[Material Used]]</f>
        <v>1.2445475940749233E-2</v>
      </c>
      <c r="AA726" s="4">
        <v>26.422300338745099</v>
      </c>
      <c r="AB726" s="5">
        <v>7.03</v>
      </c>
      <c r="AC726" s="4" cm="1">
        <f t="array" ref="AC726">IFERROR(INDEX(ReferenceCard, MATCH(1, (INDEX(ReferenceCard,,1)=Table1[[#This Row],[SAP No]]) * (INDEX(ReferenceCard,,2)=Table1[[#This Row],[Mould No]]), 0), 9),)</f>
        <v>77</v>
      </c>
      <c r="AD726" s="5">
        <v>0</v>
      </c>
      <c r="AE726" s="5">
        <v>0</v>
      </c>
      <c r="AF726" s="5">
        <v>0</v>
      </c>
      <c r="AG726" s="5">
        <v>0</v>
      </c>
      <c r="AH726" s="5">
        <v>1.8</v>
      </c>
      <c r="AI726" s="5">
        <v>0</v>
      </c>
      <c r="AJ726" s="5">
        <v>0</v>
      </c>
      <c r="AL726" s="2"/>
      <c r="AM726" s="2"/>
      <c r="AN726" s="3">
        <v>5</v>
      </c>
      <c r="AO726" s="3">
        <v>5</v>
      </c>
      <c r="AP726" s="6">
        <f>((Table1[[#This Row],[Reject Startup (kg)]]+Table1[[#This Row],[Reject Prod (kg)]]+Table1[[#This Row],[Reject Purging (kg)]]+Table1[[#This Row],[Reject Preform (kg)]])/Table1[[#This Row],[Part Weight (gm)]])*1000</f>
        <v>506.49350649350646</v>
      </c>
    </row>
    <row r="727" spans="1:42" x14ac:dyDescent="0.35">
      <c r="A727" s="1">
        <v>46000</v>
      </c>
      <c r="B727">
        <v>1</v>
      </c>
      <c r="C727" t="s">
        <v>23</v>
      </c>
      <c r="D727" t="str" cm="1">
        <f t="array" ref="D727">IFERROR(INDEX(ReferenceCard, MATCH(1, (INDEX(ReferenceCard,,1)=Table1[[#This Row],[SAP No]]) * (INDEX(ReferenceCard,,2)=Table1[[#This Row],[Mould No]]), 0), 6),)</f>
        <v>PPSB520Y</v>
      </c>
      <c r="E727">
        <v>586276</v>
      </c>
      <c r="F727">
        <v>2</v>
      </c>
      <c r="G727" t="str" cm="1">
        <f t="array" ref="G727">IFERROR(INDEX(ReferenceCard, MATCH(1, (INDEX(ReferenceCard,,1)=Table1[[#This Row],[SAP No]]) * (INDEX(ReferenceCard,,2)=Table1[[#This Row],[Mould No]]), 0), 3),)</f>
        <v>BC28-0056-D-APH-LEB-604001-MOLD2</v>
      </c>
      <c r="H727">
        <v>0</v>
      </c>
      <c r="I727" cm="1">
        <f t="array" ref="I727">IFERROR(INDEX(ReferenceCard, MATCH(1, (INDEX(ReferenceCard,,1)=Table1[[#This Row],[SAP No]]) * (INDEX(ReferenceCard,,2)=Table1[[#This Row],[Mould No]]), 0), 4),)</f>
        <v>6</v>
      </c>
      <c r="J727" s="4" cm="1">
        <f t="array" ref="J727">IFERROR(INDEX(ReferenceCard, MATCH(1, (INDEX(ReferenceCard,,1)=Table1[[#This Row],[SAP No]]) * (INDEX(ReferenceCard,,2)=Table1[[#This Row],[Mould No]]), 0), 9),)</f>
        <v>12.3</v>
      </c>
      <c r="K727" s="4" cm="1">
        <f t="array" ref="K727">IFERROR(INDEX(ReferenceCard, MATCH(1, (INDEX(ReferenceCard,,1)=Table1[[#This Row],[SAP No]]) * (INDEX(ReferenceCard,,2)=Table1[[#This Row],[Mould No]]), 0), 7),)</f>
        <v>12.3</v>
      </c>
      <c r="L727">
        <v>3192</v>
      </c>
      <c r="M727">
        <v>0</v>
      </c>
      <c r="N727">
        <v>0</v>
      </c>
      <c r="O727">
        <v>0</v>
      </c>
      <c r="P727">
        <f>Table1[[#This Row],[Shot]]*Table1[[#This Row],[Cav]]</f>
        <v>19152</v>
      </c>
      <c r="Q727">
        <v>0</v>
      </c>
      <c r="R727">
        <f>(Table1[[#This Row],[Part Weight (gm)]]*Table1[[#This Row],[Finish Good]])/1000</f>
        <v>0</v>
      </c>
      <c r="S727">
        <v>0</v>
      </c>
      <c r="T727">
        <f>IF(Table1[[#This Row],[Qty Order]]="Sample","-",IF(Table1[[#This Row],[Qty Order]]="RTFN","-",Table1[[#This Row],[Qty Order]]-Table1[[#This Row],[Qty Accumulate]]))</f>
        <v>0</v>
      </c>
      <c r="U727">
        <f>((Table1[[#This Row],[Shift Output]]*Table1[[#This Row],[Part Weight (gm)]])/1000)+Table1[[#This Row],[Reject Startup (kg)]]+Table1[[#This Row],[Reject Purging (kg)]]+Table1[[#This Row],[Reject Preform (kg)]]</f>
        <v>235.56960000000001</v>
      </c>
      <c r="V727" s="37">
        <f>(Table1[[#This Row],[Gross Weight (gm)]]-Table1[[#This Row],[Part Weight (gm)]])*Table1[[#This Row],[Shift Output]]/1000</f>
        <v>0</v>
      </c>
      <c r="W727" s="3">
        <v>0</v>
      </c>
      <c r="X727" s="36">
        <f>Table1[[#This Row],[Reject Startup (kg)]]/Table1[[#This Row],[Material Used]]</f>
        <v>0</v>
      </c>
      <c r="Y727" s="3">
        <v>1</v>
      </c>
      <c r="Z727" s="36">
        <f>Table1[[#This Row],[Reject Prod (kg)]]/Table1[[#This Row],[Material Used]]</f>
        <v>4.245029918970869E-3</v>
      </c>
      <c r="AA727" s="4">
        <v>25.515352249145501</v>
      </c>
      <c r="AB727" s="5">
        <v>8.83</v>
      </c>
      <c r="AC727" s="4" cm="1">
        <f t="array" ref="AC727">IFERROR(INDEX(ReferenceCard, MATCH(1, (INDEX(ReferenceCard,,1)=Table1[[#This Row],[SAP No]]) * (INDEX(ReferenceCard,,2)=Table1[[#This Row],[Mould No]]), 0), 9),)</f>
        <v>12.3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L727" s="2"/>
      <c r="AM727" s="2"/>
      <c r="AN727" s="3">
        <v>0</v>
      </c>
      <c r="AO727" s="3">
        <v>0</v>
      </c>
      <c r="AP727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728" spans="1:42" x14ac:dyDescent="0.35">
      <c r="A728" s="1">
        <v>46000</v>
      </c>
      <c r="B728">
        <v>1</v>
      </c>
      <c r="C728" t="s">
        <v>16</v>
      </c>
      <c r="D728" t="str" cm="1">
        <f t="array" ref="D728">IFERROR(INDEX(ReferenceCard, MATCH(1, (INDEX(ReferenceCard,,1)=Table1[[#This Row],[SAP No]]) * (INDEX(ReferenceCard,,2)=Table1[[#This Row],[Mould No]]), 0), 6),)</f>
        <v>PET</v>
      </c>
      <c r="E728">
        <v>323092</v>
      </c>
      <c r="F728">
        <v>0</v>
      </c>
      <c r="G728" t="str" cm="1">
        <f t="array" ref="G728">IFERROR(INDEX(ReferenceCard, MATCH(1, (INDEX(ReferenceCard,,1)=Table1[[#This Row],[SAP No]]) * (INDEX(ReferenceCard,,2)=Table1[[#This Row],[Mould No]]), 0), 3),)</f>
        <v>BX38-1000-GH-R-CL(GREEN) (ASEM)</v>
      </c>
      <c r="H728">
        <v>0</v>
      </c>
      <c r="I728" cm="1">
        <f t="array" ref="I728">IFERROR(INDEX(ReferenceCard, MATCH(1, (INDEX(ReferenceCard,,1)=Table1[[#This Row],[SAP No]]) * (INDEX(ReferenceCard,,2)=Table1[[#This Row],[Mould No]]), 0), 4),)</f>
        <v>4</v>
      </c>
      <c r="J728" s="4" cm="1">
        <f t="array" ref="J728">IFERROR(INDEX(ReferenceCard, MATCH(1, (INDEX(ReferenceCard,,1)=Table1[[#This Row],[SAP No]]) * (INDEX(ReferenceCard,,2)=Table1[[#This Row],[Mould No]]), 0), 9),)</f>
        <v>48.9</v>
      </c>
      <c r="K728" s="4" cm="1">
        <f t="array" ref="K728">IFERROR(INDEX(ReferenceCard, MATCH(1, (INDEX(ReferenceCard,,1)=Table1[[#This Row],[SAP No]]) * (INDEX(ReferenceCard,,2)=Table1[[#This Row],[Mould No]]), 0), 7),)</f>
        <v>48.9</v>
      </c>
      <c r="L728">
        <v>3824</v>
      </c>
      <c r="M728">
        <v>0</v>
      </c>
      <c r="N728">
        <v>0</v>
      </c>
      <c r="O728">
        <v>0</v>
      </c>
      <c r="P728">
        <f>Table1[[#This Row],[Shot]]*Table1[[#This Row],[Cav]]</f>
        <v>15296</v>
      </c>
      <c r="Q728">
        <v>0</v>
      </c>
      <c r="R728">
        <f>(Table1[[#This Row],[Part Weight (gm)]]*Table1[[#This Row],[Finish Good]])/1000</f>
        <v>0</v>
      </c>
      <c r="S728">
        <v>0</v>
      </c>
      <c r="T728">
        <f>IF(Table1[[#This Row],[Qty Order]]="Sample","-",IF(Table1[[#This Row],[Qty Order]]="RTFN","-",Table1[[#This Row],[Qty Order]]-Table1[[#This Row],[Qty Accumulate]]))</f>
        <v>0</v>
      </c>
      <c r="U728">
        <f>((Table1[[#This Row],[Shift Output]]*Table1[[#This Row],[Part Weight (gm)]])/1000)+Table1[[#This Row],[Reject Startup (kg)]]+Table1[[#This Row],[Reject Purging (kg)]]+Table1[[#This Row],[Reject Preform (kg)]]</f>
        <v>771.97440000000006</v>
      </c>
      <c r="V728" s="37">
        <f>(Table1[[#This Row],[Gross Weight (gm)]]-Table1[[#This Row],[Part Weight (gm)]])*Table1[[#This Row],[Shift Output]]/1000</f>
        <v>0</v>
      </c>
      <c r="W728" s="3">
        <v>5</v>
      </c>
      <c r="X728" s="36">
        <f>Table1[[#This Row],[Reject Startup (kg)]]/Table1[[#This Row],[Material Used]]</f>
        <v>6.4768987158123374E-3</v>
      </c>
      <c r="Y728" s="3">
        <v>2</v>
      </c>
      <c r="Z728" s="36">
        <f>Table1[[#This Row],[Reject Prod (kg)]]/Table1[[#This Row],[Material Used]]</f>
        <v>2.590759486324935E-3</v>
      </c>
      <c r="AA728" s="4">
        <v>30.277360916137599</v>
      </c>
      <c r="AB728" s="5">
        <v>7.3899999999999899</v>
      </c>
      <c r="AC728" s="4" cm="1">
        <f t="array" ref="AC728">IFERROR(INDEX(ReferenceCard, MATCH(1, (INDEX(ReferenceCard,,1)=Table1[[#This Row],[SAP No]]) * (INDEX(ReferenceCard,,2)=Table1[[#This Row],[Mould No]]), 0), 9),)</f>
        <v>48.9</v>
      </c>
      <c r="AD728" s="5">
        <v>0</v>
      </c>
      <c r="AE728" s="5">
        <v>0</v>
      </c>
      <c r="AF728" s="5">
        <v>0</v>
      </c>
      <c r="AG728" s="5">
        <v>1.43999999999999</v>
      </c>
      <c r="AH728" s="5">
        <v>0</v>
      </c>
      <c r="AI728" s="5">
        <v>0</v>
      </c>
      <c r="AJ728" s="5">
        <v>0</v>
      </c>
      <c r="AL728" s="2"/>
      <c r="AM728" s="2"/>
      <c r="AN728" s="3">
        <v>8</v>
      </c>
      <c r="AO728" s="3">
        <v>11</v>
      </c>
      <c r="AP728" s="6">
        <f>((Table1[[#This Row],[Reject Startup (kg)]]+Table1[[#This Row],[Reject Prod (kg)]]+Table1[[#This Row],[Reject Purging (kg)]]+Table1[[#This Row],[Reject Preform (kg)]])/Table1[[#This Row],[Part Weight (gm)]])*1000</f>
        <v>531.69734151329237</v>
      </c>
    </row>
    <row r="729" spans="1:42" x14ac:dyDescent="0.35">
      <c r="A729" s="1">
        <v>46000</v>
      </c>
      <c r="B729">
        <v>1</v>
      </c>
      <c r="C729" t="s">
        <v>14</v>
      </c>
      <c r="D729" t="str" cm="1">
        <f t="array" ref="D729">IFERROR(INDEX(ReferenceCard, MATCH(1, (INDEX(ReferenceCard,,1)=Table1[[#This Row],[SAP No]]) * (INDEX(ReferenceCard,,2)=Table1[[#This Row],[Mould No]]), 0), 6),)</f>
        <v>PET</v>
      </c>
      <c r="E729">
        <v>324165</v>
      </c>
      <c r="F729">
        <v>0</v>
      </c>
      <c r="G729" t="str" cm="1">
        <f t="array" ref="G729">IFERROR(INDEX(ReferenceCard, MATCH(1, (INDEX(ReferenceCard,,1)=Table1[[#This Row],[SAP No]]) * (INDEX(ReferenceCard,,2)=Table1[[#This Row],[Mould No]]), 0), 3),)</f>
        <v>JJ63-0400-SH-S-WH</v>
      </c>
      <c r="H729">
        <v>0</v>
      </c>
      <c r="I729" cm="1">
        <f t="array" ref="I729">IFERROR(INDEX(ReferenceCard, MATCH(1, (INDEX(ReferenceCard,,1)=Table1[[#This Row],[SAP No]]) * (INDEX(ReferenceCard,,2)=Table1[[#This Row],[Mould No]]), 0), 4),)</f>
        <v>4</v>
      </c>
      <c r="J729" s="4" cm="1">
        <f t="array" ref="J729">IFERROR(INDEX(ReferenceCard, MATCH(1, (INDEX(ReferenceCard,,1)=Table1[[#This Row],[SAP No]]) * (INDEX(ReferenceCard,,2)=Table1[[#This Row],[Mould No]]), 0), 9),)</f>
        <v>32.56</v>
      </c>
      <c r="K729" s="4" cm="1">
        <f t="array" ref="K729">IFERROR(INDEX(ReferenceCard, MATCH(1, (INDEX(ReferenceCard,,1)=Table1[[#This Row],[SAP No]]) * (INDEX(ReferenceCard,,2)=Table1[[#This Row],[Mould No]]), 0), 7),)</f>
        <v>33</v>
      </c>
      <c r="L729">
        <v>2214</v>
      </c>
      <c r="M729">
        <v>0</v>
      </c>
      <c r="N729">
        <v>0</v>
      </c>
      <c r="O729">
        <v>0</v>
      </c>
      <c r="P729">
        <f>Table1[[#This Row],[Shot]]*Table1[[#This Row],[Cav]]</f>
        <v>8856</v>
      </c>
      <c r="Q729">
        <v>0</v>
      </c>
      <c r="R729">
        <f>(Table1[[#This Row],[Part Weight (gm)]]*Table1[[#This Row],[Finish Good]])/1000</f>
        <v>0</v>
      </c>
      <c r="S729">
        <v>0</v>
      </c>
      <c r="T729">
        <f>IF(Table1[[#This Row],[Qty Order]]="Sample","-",IF(Table1[[#This Row],[Qty Order]]="RTFN","-",Table1[[#This Row],[Qty Order]]-Table1[[#This Row],[Qty Accumulate]]))</f>
        <v>0</v>
      </c>
      <c r="U729">
        <f>((Table1[[#This Row],[Shift Output]]*Table1[[#This Row],[Part Weight (gm)]])/1000)+Table1[[#This Row],[Reject Startup (kg)]]+Table1[[#This Row],[Reject Purging (kg)]]+Table1[[#This Row],[Reject Preform (kg)]]</f>
        <v>332.24799999999999</v>
      </c>
      <c r="V729" s="37">
        <f>(Table1[[#This Row],[Gross Weight (gm)]]-Table1[[#This Row],[Part Weight (gm)]])*Table1[[#This Row],[Shift Output]]/1000</f>
        <v>-3.8966399999999797</v>
      </c>
      <c r="W729" s="3">
        <v>20</v>
      </c>
      <c r="X729" s="36">
        <f>Table1[[#This Row],[Reject Startup (kg)]]/Table1[[#This Row],[Material Used]]</f>
        <v>6.0195998170041655E-2</v>
      </c>
      <c r="Y729" s="3">
        <v>4</v>
      </c>
      <c r="Z729" s="36">
        <f>Table1[[#This Row],[Reject Prod (kg)]]/Table1[[#This Row],[Material Used]]</f>
        <v>1.2039199634008331E-2</v>
      </c>
      <c r="AA729" s="4">
        <v>26.974828720092699</v>
      </c>
      <c r="AB729" s="5">
        <v>4.5899999999999901</v>
      </c>
      <c r="AC729" s="4" cm="1">
        <f t="array" ref="AC729">IFERROR(INDEX(ReferenceCard, MATCH(1, (INDEX(ReferenceCard,,1)=Table1[[#This Row],[SAP No]]) * (INDEX(ReferenceCard,,2)=Table1[[#This Row],[Mould No]]), 0), 9),)</f>
        <v>32.56</v>
      </c>
      <c r="AD729" s="5">
        <v>0</v>
      </c>
      <c r="AE729" s="5">
        <v>0</v>
      </c>
      <c r="AF729" s="5">
        <v>0</v>
      </c>
      <c r="AG729" s="5">
        <v>1.96</v>
      </c>
      <c r="AH729" s="5">
        <v>0.94999999999999896</v>
      </c>
      <c r="AI729" s="5">
        <v>1.34</v>
      </c>
      <c r="AJ729" s="5">
        <v>0</v>
      </c>
      <c r="AK729" t="s">
        <v>170</v>
      </c>
      <c r="AL729" s="2" t="s">
        <v>171</v>
      </c>
      <c r="AM729" s="2" t="s">
        <v>172</v>
      </c>
      <c r="AN729" s="3">
        <v>10</v>
      </c>
      <c r="AO729" s="3">
        <v>10</v>
      </c>
      <c r="AP729" s="6">
        <f>((Table1[[#This Row],[Reject Startup (kg)]]+Table1[[#This Row],[Reject Prod (kg)]]+Table1[[#This Row],[Reject Purging (kg)]]+Table1[[#This Row],[Reject Preform (kg)]])/Table1[[#This Row],[Part Weight (gm)]])*1000</f>
        <v>1333.3333333333333</v>
      </c>
    </row>
    <row r="730" spans="1:42" x14ac:dyDescent="0.35">
      <c r="A730" s="1">
        <v>46000</v>
      </c>
      <c r="B730">
        <v>1</v>
      </c>
      <c r="C730" t="s">
        <v>11</v>
      </c>
      <c r="D730" t="str" cm="1">
        <f t="array" ref="D730">IFERROR(INDEX(ReferenceCard, MATCH(1, (INDEX(ReferenceCard,,1)=Table1[[#This Row],[SAP No]]) * (INDEX(ReferenceCard,,2)=Table1[[#This Row],[Mould No]]), 0), 6),)</f>
        <v>rPET</v>
      </c>
      <c r="E730">
        <v>620994</v>
      </c>
      <c r="F730">
        <v>0</v>
      </c>
      <c r="G730" t="str" cm="1">
        <f t="array" ref="G730">IFERROR(INDEX(ReferenceCard, MATCH(1, (INDEX(ReferenceCard,,1)=Table1[[#This Row],[SAP No]]) * (INDEX(ReferenceCard,,2)=Table1[[#This Row],[Mould No]]), 0), 3),)</f>
        <v>JJ63-0400-SH-S-CL-rPET</v>
      </c>
      <c r="H730">
        <v>0</v>
      </c>
      <c r="I730" cm="1">
        <f t="array" ref="I730">IFERROR(INDEX(ReferenceCard, MATCH(1, (INDEX(ReferenceCard,,1)=Table1[[#This Row],[SAP No]]) * (INDEX(ReferenceCard,,2)=Table1[[#This Row],[Mould No]]), 0), 4),)</f>
        <v>4</v>
      </c>
      <c r="J730" s="4" cm="1">
        <f t="array" ref="J730">IFERROR(INDEX(ReferenceCard, MATCH(1, (INDEX(ReferenceCard,,1)=Table1[[#This Row],[SAP No]]) * (INDEX(ReferenceCard,,2)=Table1[[#This Row],[Mould No]]), 0), 9),)</f>
        <v>32.74</v>
      </c>
      <c r="K730" s="4" cm="1">
        <f t="array" ref="K730">IFERROR(INDEX(ReferenceCard, MATCH(1, (INDEX(ReferenceCard,,1)=Table1[[#This Row],[SAP No]]) * (INDEX(ReferenceCard,,2)=Table1[[#This Row],[Mould No]]), 0), 7),)</f>
        <v>33</v>
      </c>
      <c r="L730">
        <v>3418</v>
      </c>
      <c r="M730">
        <v>0</v>
      </c>
      <c r="N730">
        <v>0</v>
      </c>
      <c r="O730">
        <v>0</v>
      </c>
      <c r="P730">
        <f>Table1[[#This Row],[Shot]]*Table1[[#This Row],[Cav]]</f>
        <v>13672</v>
      </c>
      <c r="Q730">
        <v>0</v>
      </c>
      <c r="R730">
        <f>(Table1[[#This Row],[Part Weight (gm)]]*Table1[[#This Row],[Finish Good]])/1000</f>
        <v>0</v>
      </c>
      <c r="S730">
        <v>0</v>
      </c>
      <c r="T730">
        <f>IF(Table1[[#This Row],[Qty Order]]="Sample","-",IF(Table1[[#This Row],[Qty Order]]="RTFN","-",Table1[[#This Row],[Qty Order]]-Table1[[#This Row],[Qty Accumulate]]))</f>
        <v>0</v>
      </c>
      <c r="U730">
        <f>((Table1[[#This Row],[Shift Output]]*Table1[[#This Row],[Part Weight (gm)]])/1000)+Table1[[#This Row],[Reject Startup (kg)]]+Table1[[#This Row],[Reject Purging (kg)]]+Table1[[#This Row],[Reject Preform (kg)]]</f>
        <v>451.17599999999999</v>
      </c>
      <c r="V730" s="37">
        <f>(Table1[[#This Row],[Gross Weight (gm)]]-Table1[[#This Row],[Part Weight (gm)]])*Table1[[#This Row],[Shift Output]]/1000</f>
        <v>-3.554719999999973</v>
      </c>
      <c r="W730" s="3">
        <v>0</v>
      </c>
      <c r="X730" s="36">
        <f>Table1[[#This Row],[Reject Startup (kg)]]/Table1[[#This Row],[Material Used]]</f>
        <v>0</v>
      </c>
      <c r="Y730" s="3">
        <v>2</v>
      </c>
      <c r="Z730" s="36">
        <f>Table1[[#This Row],[Reject Prod (kg)]]/Table1[[#This Row],[Material Used]]</f>
        <v>4.4328599038955972E-3</v>
      </c>
      <c r="AA730" s="4">
        <v>23.816951751708899</v>
      </c>
      <c r="AB730" s="5">
        <v>8.83</v>
      </c>
      <c r="AC730" s="4" cm="1">
        <f t="array" ref="AC730">IFERROR(INDEX(ReferenceCard, MATCH(1, (INDEX(ReferenceCard,,1)=Table1[[#This Row],[SAP No]]) * (INDEX(ReferenceCard,,2)=Table1[[#This Row],[Mould No]]), 0), 9),)</f>
        <v>32.74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L730" s="2"/>
      <c r="AM730" s="2"/>
      <c r="AN730" s="3">
        <v>0</v>
      </c>
      <c r="AO730" s="3">
        <v>0</v>
      </c>
      <c r="AP730" s="6">
        <f>((Table1[[#This Row],[Reject Startup (kg)]]+Table1[[#This Row],[Reject Prod (kg)]]+Table1[[#This Row],[Reject Purging (kg)]]+Table1[[#This Row],[Reject Preform (kg)]])/Table1[[#This Row],[Part Weight (gm)]])*1000</f>
        <v>60.606060606060609</v>
      </c>
    </row>
    <row r="731" spans="1:42" x14ac:dyDescent="0.35">
      <c r="A731" s="1">
        <v>46000</v>
      </c>
      <c r="B731">
        <v>1</v>
      </c>
      <c r="C731" t="s">
        <v>9</v>
      </c>
      <c r="D731" t="str" cm="1">
        <f t="array" ref="D731">IFERROR(INDEX(ReferenceCard, MATCH(1, (INDEX(ReferenceCard,,1)=Table1[[#This Row],[SAP No]]) * (INDEX(ReferenceCard,,2)=Table1[[#This Row],[Mould No]]), 0), 6),)</f>
        <v>rPET</v>
      </c>
      <c r="E731">
        <v>593537</v>
      </c>
      <c r="F731">
        <v>0</v>
      </c>
      <c r="G731" t="str" cm="1">
        <f t="array" ref="G731">IFERROR(INDEX(ReferenceCard, MATCH(1, (INDEX(ReferenceCard,,1)=Table1[[#This Row],[SAP No]]) * (INDEX(ReferenceCard,,2)=Table1[[#This Row],[Mould No]]), 0), 3),)</f>
        <v>BX38-1000-RN-R-CL-rPET</v>
      </c>
      <c r="H731">
        <v>0</v>
      </c>
      <c r="I731" cm="1">
        <f t="array" ref="I731">IFERROR(INDEX(ReferenceCard, MATCH(1, (INDEX(ReferenceCard,,1)=Table1[[#This Row],[SAP No]]) * (INDEX(ReferenceCard,,2)=Table1[[#This Row],[Mould No]]), 0), 4),)</f>
        <v>4</v>
      </c>
      <c r="J731" s="4" cm="1">
        <f t="array" ref="J731">IFERROR(INDEX(ReferenceCard, MATCH(1, (INDEX(ReferenceCard,,1)=Table1[[#This Row],[SAP No]]) * (INDEX(ReferenceCard,,2)=Table1[[#This Row],[Mould No]]), 0), 9),)</f>
        <v>56.5</v>
      </c>
      <c r="K731" s="4" cm="1">
        <f t="array" ref="K731">IFERROR(INDEX(ReferenceCard, MATCH(1, (INDEX(ReferenceCard,,1)=Table1[[#This Row],[SAP No]]) * (INDEX(ReferenceCard,,2)=Table1[[#This Row],[Mould No]]), 0), 7),)</f>
        <v>56.8</v>
      </c>
      <c r="L731">
        <v>2866</v>
      </c>
      <c r="M731">
        <v>0</v>
      </c>
      <c r="N731">
        <v>0</v>
      </c>
      <c r="O731">
        <v>0</v>
      </c>
      <c r="P731">
        <f>Table1[[#This Row],[Shot]]*Table1[[#This Row],[Cav]]</f>
        <v>11464</v>
      </c>
      <c r="Q731">
        <v>0</v>
      </c>
      <c r="R731">
        <f>(Table1[[#This Row],[Part Weight (gm)]]*Table1[[#This Row],[Finish Good]])/1000</f>
        <v>0</v>
      </c>
      <c r="S731">
        <v>0</v>
      </c>
      <c r="T731">
        <f>IF(Table1[[#This Row],[Qty Order]]="Sample","-",IF(Table1[[#This Row],[Qty Order]]="RTFN","-",Table1[[#This Row],[Qty Order]]-Table1[[#This Row],[Qty Accumulate]]))</f>
        <v>0</v>
      </c>
      <c r="U731">
        <f>((Table1[[#This Row],[Shift Output]]*Table1[[#This Row],[Part Weight (gm)]])/1000)+Table1[[#This Row],[Reject Startup (kg)]]+Table1[[#This Row],[Reject Purging (kg)]]+Table1[[#This Row],[Reject Preform (kg)]]</f>
        <v>651.15519999999992</v>
      </c>
      <c r="V731" s="37">
        <f>(Table1[[#This Row],[Gross Weight (gm)]]-Table1[[#This Row],[Part Weight (gm)]])*Table1[[#This Row],[Shift Output]]/1000</f>
        <v>-3.4391999999999676</v>
      </c>
      <c r="W731" s="3">
        <v>0</v>
      </c>
      <c r="X731" s="36">
        <f>Table1[[#This Row],[Reject Startup (kg)]]/Table1[[#This Row],[Material Used]]</f>
        <v>0</v>
      </c>
      <c r="Y731" s="3">
        <v>4</v>
      </c>
      <c r="Z731" s="36">
        <f>Table1[[#This Row],[Reject Prod (kg)]]/Table1[[#This Row],[Material Used]]</f>
        <v>6.1429287518551656E-3</v>
      </c>
      <c r="AA731" s="4">
        <v>28.413158416748001</v>
      </c>
      <c r="AB731" s="5">
        <v>8.83</v>
      </c>
      <c r="AC731" s="4" cm="1">
        <f t="array" ref="AC731">IFERROR(INDEX(ReferenceCard, MATCH(1, (INDEX(ReferenceCard,,1)=Table1[[#This Row],[SAP No]]) * (INDEX(ReferenceCard,,2)=Table1[[#This Row],[Mould No]]), 0), 9),)</f>
        <v>56.5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L731" s="2"/>
      <c r="AM731" s="2"/>
      <c r="AN731" s="3">
        <v>0</v>
      </c>
      <c r="AO731" s="3">
        <v>0</v>
      </c>
      <c r="AP731" s="6">
        <f>((Table1[[#This Row],[Reject Startup (kg)]]+Table1[[#This Row],[Reject Prod (kg)]]+Table1[[#This Row],[Reject Purging (kg)]]+Table1[[#This Row],[Reject Preform (kg)]])/Table1[[#This Row],[Part Weight (gm)]])*1000</f>
        <v>70.422535211267615</v>
      </c>
    </row>
    <row r="732" spans="1:42" x14ac:dyDescent="0.35">
      <c r="A732" s="1">
        <v>46000</v>
      </c>
      <c r="B732">
        <v>1</v>
      </c>
      <c r="C732" t="s">
        <v>7</v>
      </c>
      <c r="D732" t="str" cm="1">
        <f t="array" ref="D732">IFERROR(INDEX(ReferenceCard, MATCH(1, (INDEX(ReferenceCard,,1)=Table1[[#This Row],[SAP No]]) * (INDEX(ReferenceCard,,2)=Table1[[#This Row],[Mould No]]), 0), 6),)</f>
        <v>PET</v>
      </c>
      <c r="E732">
        <v>426555</v>
      </c>
      <c r="F732">
        <v>0</v>
      </c>
      <c r="G732" t="str" cm="1">
        <f t="array" ref="G732">IFERROR(INDEX(ReferenceCard, MATCH(1, (INDEX(ReferenceCard,,1)=Table1[[#This Row],[SAP No]]) * (INDEX(ReferenceCard,,2)=Table1[[#This Row],[Mould No]]), 0), 3),)</f>
        <v>BX38-0330-Z-S-CL-HW</v>
      </c>
      <c r="H732">
        <v>0</v>
      </c>
      <c r="I732" cm="1">
        <f t="array" ref="I732">IFERROR(INDEX(ReferenceCard, MATCH(1, (INDEX(ReferenceCard,,1)=Table1[[#This Row],[SAP No]]) * (INDEX(ReferenceCard,,2)=Table1[[#This Row],[Mould No]]), 0), 4),)</f>
        <v>4</v>
      </c>
      <c r="J732" s="4" cm="1">
        <f t="array" ref="J732">IFERROR(INDEX(ReferenceCard, MATCH(1, (INDEX(ReferenceCard,,1)=Table1[[#This Row],[SAP No]]) * (INDEX(ReferenceCard,,2)=Table1[[#This Row],[Mould No]]), 0), 9),)</f>
        <v>29</v>
      </c>
      <c r="K732" s="4" cm="1">
        <f t="array" ref="K732">IFERROR(INDEX(ReferenceCard, MATCH(1, (INDEX(ReferenceCard,,1)=Table1[[#This Row],[SAP No]]) * (INDEX(ReferenceCard,,2)=Table1[[#This Row],[Mould No]]), 0), 7),)</f>
        <v>29</v>
      </c>
      <c r="L732">
        <v>7874</v>
      </c>
      <c r="M732">
        <v>0</v>
      </c>
      <c r="N732">
        <v>0</v>
      </c>
      <c r="O732">
        <v>0</v>
      </c>
      <c r="P732">
        <f>Table1[[#This Row],[Shot]]*Table1[[#This Row],[Cav]]</f>
        <v>31496</v>
      </c>
      <c r="Q732">
        <v>0</v>
      </c>
      <c r="R732">
        <f>(Table1[[#This Row],[Part Weight (gm)]]*Table1[[#This Row],[Finish Good]])/1000</f>
        <v>0</v>
      </c>
      <c r="S732">
        <v>0</v>
      </c>
      <c r="T732">
        <f>IF(Table1[[#This Row],[Qty Order]]="Sample","-",IF(Table1[[#This Row],[Qty Order]]="RTFN","-",Table1[[#This Row],[Qty Order]]-Table1[[#This Row],[Qty Accumulate]]))</f>
        <v>0</v>
      </c>
      <c r="U732">
        <f>((Table1[[#This Row],[Shift Output]]*Table1[[#This Row],[Part Weight (gm)]])/1000)+Table1[[#This Row],[Reject Startup (kg)]]+Table1[[#This Row],[Reject Purging (kg)]]+Table1[[#This Row],[Reject Preform (kg)]]</f>
        <v>918.58400000000006</v>
      </c>
      <c r="V732" s="37">
        <f>(Table1[[#This Row],[Gross Weight (gm)]]-Table1[[#This Row],[Part Weight (gm)]])*Table1[[#This Row],[Shift Output]]/1000</f>
        <v>0</v>
      </c>
      <c r="W732" s="3">
        <v>0</v>
      </c>
      <c r="X732" s="36">
        <f>Table1[[#This Row],[Reject Startup (kg)]]/Table1[[#This Row],[Material Used]]</f>
        <v>0</v>
      </c>
      <c r="Y732" s="3">
        <v>3</v>
      </c>
      <c r="Z732" s="36">
        <f>Table1[[#This Row],[Reject Prod (kg)]]/Table1[[#This Row],[Material Used]]</f>
        <v>3.2658962054640619E-3</v>
      </c>
      <c r="AA732" s="4">
        <v>25.924423217773398</v>
      </c>
      <c r="AB732" s="5">
        <v>7.5199999999999898</v>
      </c>
      <c r="AC732" s="4" cm="1">
        <f t="array" ref="AC732">IFERROR(INDEX(ReferenceCard, MATCH(1, (INDEX(ReferenceCard,,1)=Table1[[#This Row],[SAP No]]) * (INDEX(ReferenceCard,,2)=Table1[[#This Row],[Mould No]]), 0), 9),)</f>
        <v>29</v>
      </c>
      <c r="AD732" s="5">
        <v>0</v>
      </c>
      <c r="AE732" s="5">
        <v>0</v>
      </c>
      <c r="AF732" s="5">
        <v>0</v>
      </c>
      <c r="AG732" s="5">
        <v>0</v>
      </c>
      <c r="AH732" s="5">
        <v>1.32</v>
      </c>
      <c r="AI732" s="5">
        <v>0</v>
      </c>
      <c r="AJ732" s="5">
        <v>0</v>
      </c>
      <c r="AL732" s="2"/>
      <c r="AM732" s="2"/>
      <c r="AN732" s="3">
        <v>0</v>
      </c>
      <c r="AO732" s="3">
        <v>5.2</v>
      </c>
      <c r="AP732" s="6">
        <f>((Table1[[#This Row],[Reject Startup (kg)]]+Table1[[#This Row],[Reject Prod (kg)]]+Table1[[#This Row],[Reject Purging (kg)]]+Table1[[#This Row],[Reject Preform (kg)]])/Table1[[#This Row],[Part Weight (gm)]])*1000</f>
        <v>282.75862068965512</v>
      </c>
    </row>
    <row r="733" spans="1:42" x14ac:dyDescent="0.35">
      <c r="A733" s="1">
        <v>46000</v>
      </c>
      <c r="B733">
        <v>1</v>
      </c>
      <c r="C733" t="s">
        <v>5</v>
      </c>
      <c r="D733" t="str" cm="1">
        <f t="array" ref="D733">IFERROR(INDEX(ReferenceCard, MATCH(1, (INDEX(ReferenceCard,,1)=Table1[[#This Row],[SAP No]]) * (INDEX(ReferenceCard,,2)=Table1[[#This Row],[Mould No]]), 0), 6),)</f>
        <v>PET</v>
      </c>
      <c r="E733">
        <v>543590</v>
      </c>
      <c r="F733">
        <v>0</v>
      </c>
      <c r="G733" t="str" cm="1">
        <f t="array" ref="G733">IFERROR(INDEX(ReferenceCard, MATCH(1, (INDEX(ReferenceCard,,1)=Table1[[#This Row],[SAP No]]) * (INDEX(ReferenceCard,,2)=Table1[[#This Row],[Mould No]]), 0), 3),)</f>
        <v>BC28-0130-R-R-AM</v>
      </c>
      <c r="H733">
        <v>0</v>
      </c>
      <c r="I733" cm="1">
        <f t="array" ref="I733">IFERROR(INDEX(ReferenceCard, MATCH(1, (INDEX(ReferenceCard,,1)=Table1[[#This Row],[SAP No]]) * (INDEX(ReferenceCard,,2)=Table1[[#This Row],[Mould No]]), 0), 4),)</f>
        <v>4</v>
      </c>
      <c r="J733" s="4" cm="1">
        <f t="array" ref="J733">IFERROR(INDEX(ReferenceCard, MATCH(1, (INDEX(ReferenceCard,,1)=Table1[[#This Row],[SAP No]]) * (INDEX(ReferenceCard,,2)=Table1[[#This Row],[Mould No]]), 0), 9),)</f>
        <v>19</v>
      </c>
      <c r="K733" s="4" cm="1">
        <f t="array" ref="K733">IFERROR(INDEX(ReferenceCard, MATCH(1, (INDEX(ReferenceCard,,1)=Table1[[#This Row],[SAP No]]) * (INDEX(ReferenceCard,,2)=Table1[[#This Row],[Mould No]]), 0), 7),)</f>
        <v>19</v>
      </c>
      <c r="L733">
        <v>3615</v>
      </c>
      <c r="M733">
        <v>0</v>
      </c>
      <c r="N733">
        <v>0</v>
      </c>
      <c r="O733">
        <v>0</v>
      </c>
      <c r="P733">
        <f>Table1[[#This Row],[Shot]]*Table1[[#This Row],[Cav]]</f>
        <v>14460</v>
      </c>
      <c r="Q733">
        <v>0</v>
      </c>
      <c r="R733">
        <f>(Table1[[#This Row],[Part Weight (gm)]]*Table1[[#This Row],[Finish Good]])/1000</f>
        <v>0</v>
      </c>
      <c r="S733">
        <v>0</v>
      </c>
      <c r="T733">
        <f>IF(Table1[[#This Row],[Qty Order]]="Sample","-",IF(Table1[[#This Row],[Qty Order]]="RTFN","-",Table1[[#This Row],[Qty Order]]-Table1[[#This Row],[Qty Accumulate]]))</f>
        <v>0</v>
      </c>
      <c r="U733">
        <f>((Table1[[#This Row],[Shift Output]]*Table1[[#This Row],[Part Weight (gm)]])/1000)+Table1[[#This Row],[Reject Startup (kg)]]+Table1[[#This Row],[Reject Purging (kg)]]+Table1[[#This Row],[Reject Preform (kg)]]</f>
        <v>274.74</v>
      </c>
      <c r="V733" s="37">
        <f>(Table1[[#This Row],[Gross Weight (gm)]]-Table1[[#This Row],[Part Weight (gm)]])*Table1[[#This Row],[Shift Output]]/1000</f>
        <v>0</v>
      </c>
      <c r="W733" s="3">
        <v>0</v>
      </c>
      <c r="X733" s="36">
        <f>Table1[[#This Row],[Reject Startup (kg)]]/Table1[[#This Row],[Material Used]]</f>
        <v>0</v>
      </c>
      <c r="Y733" s="3">
        <v>4</v>
      </c>
      <c r="Z733" s="36">
        <f>Table1[[#This Row],[Reject Prod (kg)]]/Table1[[#This Row],[Material Used]]</f>
        <v>1.4559219625828054E-2</v>
      </c>
      <c r="AA733" s="4">
        <v>22.541875839233299</v>
      </c>
      <c r="AB733" s="5">
        <v>8.8399999999999892</v>
      </c>
      <c r="AC733" s="4" cm="1">
        <f t="array" ref="AC733">IFERROR(INDEX(ReferenceCard, MATCH(1, (INDEX(ReferenceCard,,1)=Table1[[#This Row],[SAP No]]) * (INDEX(ReferenceCard,,2)=Table1[[#This Row],[Mould No]]), 0), 9),)</f>
        <v>19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L733" s="2"/>
      <c r="AM733" s="2"/>
      <c r="AN733" s="3">
        <v>0</v>
      </c>
      <c r="AO733" s="3">
        <v>0</v>
      </c>
      <c r="AP733" s="6">
        <f>((Table1[[#This Row],[Reject Startup (kg)]]+Table1[[#This Row],[Reject Prod (kg)]]+Table1[[#This Row],[Reject Purging (kg)]]+Table1[[#This Row],[Reject Preform (kg)]])/Table1[[#This Row],[Part Weight (gm)]])*1000</f>
        <v>210.52631578947367</v>
      </c>
    </row>
    <row r="734" spans="1:42" x14ac:dyDescent="0.35">
      <c r="A734" s="1">
        <v>46000</v>
      </c>
      <c r="B734">
        <v>1</v>
      </c>
      <c r="C734" t="s">
        <v>3</v>
      </c>
      <c r="D734" t="str" cm="1">
        <f t="array" ref="D734">IFERROR(INDEX(ReferenceCard, MATCH(1, (INDEX(ReferenceCard,,1)=Table1[[#This Row],[SAP No]]) * (INDEX(ReferenceCard,,2)=Table1[[#This Row],[Mould No]]), 0), 6),)</f>
        <v>PET</v>
      </c>
      <c r="E734">
        <v>324163</v>
      </c>
      <c r="F734">
        <v>0</v>
      </c>
      <c r="G734" t="str" cm="1">
        <f t="array" ref="G734">IFERROR(INDEX(ReferenceCard, MATCH(1, (INDEX(ReferenceCard,,1)=Table1[[#This Row],[SAP No]]) * (INDEX(ReferenceCard,,2)=Table1[[#This Row],[Mould No]]), 0), 3),)</f>
        <v>BC28-0265-A-Q-CL</v>
      </c>
      <c r="H734">
        <v>0</v>
      </c>
      <c r="I734" cm="1">
        <f t="array" ref="I734">IFERROR(INDEX(ReferenceCard, MATCH(1, (INDEX(ReferenceCard,,1)=Table1[[#This Row],[SAP No]]) * (INDEX(ReferenceCard,,2)=Table1[[#This Row],[Mould No]]), 0), 4),)</f>
        <v>4</v>
      </c>
      <c r="J734" s="4" cm="1">
        <f t="array" ref="J734">IFERROR(INDEX(ReferenceCard, MATCH(1, (INDEX(ReferenceCard,,1)=Table1[[#This Row],[SAP No]]) * (INDEX(ReferenceCard,,2)=Table1[[#This Row],[Mould No]]), 0), 9),)</f>
        <v>24</v>
      </c>
      <c r="K734" s="4" cm="1">
        <f t="array" ref="K734">IFERROR(INDEX(ReferenceCard, MATCH(1, (INDEX(ReferenceCard,,1)=Table1[[#This Row],[SAP No]]) * (INDEX(ReferenceCard,,2)=Table1[[#This Row],[Mould No]]), 0), 7),)</f>
        <v>23.5</v>
      </c>
      <c r="L734">
        <v>3626</v>
      </c>
      <c r="M734">
        <v>0</v>
      </c>
      <c r="N734">
        <v>0</v>
      </c>
      <c r="O734">
        <v>0</v>
      </c>
      <c r="P734">
        <f>Table1[[#This Row],[Shot]]*Table1[[#This Row],[Cav]]</f>
        <v>14504</v>
      </c>
      <c r="Q734">
        <v>0</v>
      </c>
      <c r="R734">
        <f>(Table1[[#This Row],[Part Weight (gm)]]*Table1[[#This Row],[Finish Good]])/1000</f>
        <v>0</v>
      </c>
      <c r="S734">
        <v>0</v>
      </c>
      <c r="T734">
        <f>IF(Table1[[#This Row],[Qty Order]]="Sample","-",IF(Table1[[#This Row],[Qty Order]]="RTFN","-",Table1[[#This Row],[Qty Order]]-Table1[[#This Row],[Qty Accumulate]]))</f>
        <v>0</v>
      </c>
      <c r="U734">
        <f>((Table1[[#This Row],[Shift Output]]*Table1[[#This Row],[Part Weight (gm)]])/1000)+Table1[[#This Row],[Reject Startup (kg)]]+Table1[[#This Row],[Reject Purging (kg)]]+Table1[[#This Row],[Reject Preform (kg)]]</f>
        <v>346.84399999999999</v>
      </c>
      <c r="V734" s="37">
        <f>(Table1[[#This Row],[Gross Weight (gm)]]-Table1[[#This Row],[Part Weight (gm)]])*Table1[[#This Row],[Shift Output]]/1000</f>
        <v>7.2519999999999998</v>
      </c>
      <c r="W734" s="3">
        <v>0</v>
      </c>
      <c r="X734" s="36">
        <f>Table1[[#This Row],[Reject Startup (kg)]]/Table1[[#This Row],[Material Used]]</f>
        <v>0</v>
      </c>
      <c r="Y734" s="3">
        <v>23</v>
      </c>
      <c r="Z734" s="36">
        <f>Table1[[#This Row],[Reject Prod (kg)]]/Table1[[#This Row],[Material Used]]</f>
        <v>6.6312232588714229E-2</v>
      </c>
      <c r="AA734" s="4">
        <v>22.472475051879801</v>
      </c>
      <c r="AB734" s="5">
        <v>8.8399999999999892</v>
      </c>
      <c r="AC734" s="4" cm="1">
        <f t="array" ref="AC734">IFERROR(INDEX(ReferenceCard, MATCH(1, (INDEX(ReferenceCard,,1)=Table1[[#This Row],[SAP No]]) * (INDEX(ReferenceCard,,2)=Table1[[#This Row],[Mould No]]), 0), 9),)</f>
        <v>24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L734" s="2"/>
      <c r="AM734" s="2"/>
      <c r="AN734" s="3">
        <v>4</v>
      </c>
      <c r="AO734" s="3">
        <v>2</v>
      </c>
      <c r="AP734" s="6">
        <f>((Table1[[#This Row],[Reject Startup (kg)]]+Table1[[#This Row],[Reject Prod (kg)]]+Table1[[#This Row],[Reject Purging (kg)]]+Table1[[#This Row],[Reject Preform (kg)]])/Table1[[#This Row],[Part Weight (gm)]])*1000</f>
        <v>1234.0425531914893</v>
      </c>
    </row>
    <row r="735" spans="1:42" x14ac:dyDescent="0.35">
      <c r="A735" s="1">
        <v>46000</v>
      </c>
      <c r="B735">
        <v>1</v>
      </c>
      <c r="C735" t="s">
        <v>0</v>
      </c>
      <c r="D735" t="str" cm="1">
        <f t="array" ref="D735">IFERROR(INDEX(ReferenceCard, MATCH(1, (INDEX(ReferenceCard,,1)=Table1[[#This Row],[SAP No]]) * (INDEX(ReferenceCard,,2)=Table1[[#This Row],[Mould No]]), 0), 6),)</f>
        <v>PET</v>
      </c>
      <c r="E735">
        <v>369308</v>
      </c>
      <c r="F735">
        <v>0</v>
      </c>
      <c r="G735" t="str" cm="1">
        <f t="array" ref="G735">IFERROR(INDEX(ReferenceCard, MATCH(1, (INDEX(ReferenceCard,,1)=Table1[[#This Row],[SAP No]]) * (INDEX(ReferenceCard,,2)=Table1[[#This Row],[Mould No]]), 0), 3),)</f>
        <v>BW38-0280-LS-R-RED</v>
      </c>
      <c r="H735">
        <v>0</v>
      </c>
      <c r="I735" cm="1">
        <f t="array" ref="I735">IFERROR(INDEX(ReferenceCard, MATCH(1, (INDEX(ReferenceCard,,1)=Table1[[#This Row],[SAP No]]) * (INDEX(ReferenceCard,,2)=Table1[[#This Row],[Mould No]]), 0), 4),)</f>
        <v>4</v>
      </c>
      <c r="J735" s="4" cm="1">
        <f t="array" ref="J735">IFERROR(INDEX(ReferenceCard, MATCH(1, (INDEX(ReferenceCard,,1)=Table1[[#This Row],[SAP No]]) * (INDEX(ReferenceCard,,2)=Table1[[#This Row],[Mould No]]), 0), 9),)</f>
        <v>31</v>
      </c>
      <c r="K735" s="4" cm="1">
        <f t="array" ref="K735">IFERROR(INDEX(ReferenceCard, MATCH(1, (INDEX(ReferenceCard,,1)=Table1[[#This Row],[SAP No]]) * (INDEX(ReferenceCard,,2)=Table1[[#This Row],[Mould No]]), 0), 7),)</f>
        <v>31</v>
      </c>
      <c r="L735">
        <v>3059</v>
      </c>
      <c r="M735">
        <v>0</v>
      </c>
      <c r="N735">
        <v>0</v>
      </c>
      <c r="O735">
        <v>0</v>
      </c>
      <c r="P735">
        <f>Table1[[#This Row],[Shot]]*Table1[[#This Row],[Cav]]</f>
        <v>12236</v>
      </c>
      <c r="Q735">
        <v>0</v>
      </c>
      <c r="R735">
        <f>(Table1[[#This Row],[Part Weight (gm)]]*Table1[[#This Row],[Finish Good]])/1000</f>
        <v>0</v>
      </c>
      <c r="S735">
        <v>0</v>
      </c>
      <c r="T735">
        <f>IF(Table1[[#This Row],[Qty Order]]="Sample","-",IF(Table1[[#This Row],[Qty Order]]="RTFN","-",Table1[[#This Row],[Qty Order]]-Table1[[#This Row],[Qty Accumulate]]))</f>
        <v>0</v>
      </c>
      <c r="U735">
        <f>((Table1[[#This Row],[Shift Output]]*Table1[[#This Row],[Part Weight (gm)]])/1000)+Table1[[#This Row],[Reject Startup (kg)]]+Table1[[#This Row],[Reject Purging (kg)]]+Table1[[#This Row],[Reject Preform (kg)]]</f>
        <v>379.31599999999997</v>
      </c>
      <c r="V735" s="37">
        <f>(Table1[[#This Row],[Gross Weight (gm)]]-Table1[[#This Row],[Part Weight (gm)]])*Table1[[#This Row],[Shift Output]]/1000</f>
        <v>0</v>
      </c>
      <c r="W735" s="3">
        <v>0</v>
      </c>
      <c r="X735" s="36">
        <f>Table1[[#This Row],[Reject Startup (kg)]]/Table1[[#This Row],[Material Used]]</f>
        <v>0</v>
      </c>
      <c r="Y735" s="3">
        <v>1</v>
      </c>
      <c r="Z735" s="36">
        <f>Table1[[#This Row],[Reject Prod (kg)]]/Table1[[#This Row],[Material Used]]</f>
        <v>2.6363243311645175E-3</v>
      </c>
      <c r="AA735" s="4">
        <v>26.627241134643501</v>
      </c>
      <c r="AB735" s="5">
        <v>8.8399999999999892</v>
      </c>
      <c r="AC735" s="4" cm="1">
        <f t="array" ref="AC735">IFERROR(INDEX(ReferenceCard, MATCH(1, (INDEX(ReferenceCard,,1)=Table1[[#This Row],[SAP No]]) * (INDEX(ReferenceCard,,2)=Table1[[#This Row],[Mould No]]), 0), 9),)</f>
        <v>31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L735" s="2"/>
      <c r="AM735" s="2"/>
      <c r="AN735" s="3">
        <v>0</v>
      </c>
      <c r="AO735" s="3">
        <v>0</v>
      </c>
      <c r="AP735" s="6">
        <f>((Table1[[#This Row],[Reject Startup (kg)]]+Table1[[#This Row],[Reject Prod (kg)]]+Table1[[#This Row],[Reject Purging (kg)]]+Table1[[#This Row],[Reject Preform (kg)]])/Table1[[#This Row],[Part Weight (gm)]])*1000</f>
        <v>32.258064516129032</v>
      </c>
    </row>
    <row r="736" spans="1:42" x14ac:dyDescent="0.35">
      <c r="A736" s="1">
        <v>45999</v>
      </c>
      <c r="B736">
        <v>2</v>
      </c>
      <c r="C736" t="s">
        <v>0</v>
      </c>
      <c r="D736" t="str" cm="1">
        <f t="array" ref="D736">IFERROR(INDEX(ReferenceCard, MATCH(1, (INDEX(ReferenceCard,,1)=Table1[[#This Row],[SAP No]]) * (INDEX(ReferenceCard,,2)=Table1[[#This Row],[Mould No]]), 0), 6),)</f>
        <v>PET</v>
      </c>
      <c r="E736">
        <v>369308</v>
      </c>
      <c r="F736">
        <v>0</v>
      </c>
      <c r="G736" t="str" cm="1">
        <f t="array" ref="G736">IFERROR(INDEX(ReferenceCard, MATCH(1, (INDEX(ReferenceCard,,1)=Table1[[#This Row],[SAP No]]) * (INDEX(ReferenceCard,,2)=Table1[[#This Row],[Mould No]]), 0), 3),)</f>
        <v>BW38-0280-LS-R-RED</v>
      </c>
      <c r="H736">
        <v>0</v>
      </c>
      <c r="I736" cm="1">
        <f t="array" ref="I736">IFERROR(INDEX(ReferenceCard, MATCH(1, (INDEX(ReferenceCard,,1)=Table1[[#This Row],[SAP No]]) * (INDEX(ReferenceCard,,2)=Table1[[#This Row],[Mould No]]), 0), 4),)</f>
        <v>4</v>
      </c>
      <c r="J736" s="4" cm="1">
        <f t="array" ref="J736">IFERROR(INDEX(ReferenceCard, MATCH(1, (INDEX(ReferenceCard,,1)=Table1[[#This Row],[SAP No]]) * (INDEX(ReferenceCard,,2)=Table1[[#This Row],[Mould No]]), 0), 9),)</f>
        <v>31</v>
      </c>
      <c r="K736" s="4" cm="1">
        <f t="array" ref="K736">IFERROR(INDEX(ReferenceCard, MATCH(1, (INDEX(ReferenceCard,,1)=Table1[[#This Row],[SAP No]]) * (INDEX(ReferenceCard,,2)=Table1[[#This Row],[Mould No]]), 0), 7),)</f>
        <v>31</v>
      </c>
      <c r="L736">
        <v>3261</v>
      </c>
      <c r="M736">
        <v>0</v>
      </c>
      <c r="N736">
        <v>0</v>
      </c>
      <c r="O736">
        <v>0</v>
      </c>
      <c r="P736">
        <f>Table1[[#This Row],[Shot]]*Table1[[#This Row],[Cav]]</f>
        <v>13044</v>
      </c>
      <c r="Q736">
        <v>0</v>
      </c>
      <c r="R736">
        <f>(Table1[[#This Row],[Part Weight (gm)]]*Table1[[#This Row],[Finish Good]])/1000</f>
        <v>0</v>
      </c>
      <c r="S736">
        <v>0</v>
      </c>
      <c r="T736">
        <f>IF(Table1[[#This Row],[Qty Order]]="Sample","-",IF(Table1[[#This Row],[Qty Order]]="RTFN","-",Table1[[#This Row],[Qty Order]]-Table1[[#This Row],[Qty Accumulate]]))</f>
        <v>0</v>
      </c>
      <c r="U736">
        <f>((Table1[[#This Row],[Shift Output]]*Table1[[#This Row],[Part Weight (gm)]])/1000)+Table1[[#This Row],[Reject Startup (kg)]]+Table1[[#This Row],[Reject Purging (kg)]]+Table1[[#This Row],[Reject Preform (kg)]]</f>
        <v>404.36399999999998</v>
      </c>
      <c r="V736" s="37">
        <f>(Table1[[#This Row],[Gross Weight (gm)]]-Table1[[#This Row],[Part Weight (gm)]])*Table1[[#This Row],[Shift Output]]/1000</f>
        <v>0</v>
      </c>
      <c r="W736" s="3">
        <v>0</v>
      </c>
      <c r="X736" s="36">
        <f>Table1[[#This Row],[Reject Startup (kg)]]/Table1[[#This Row],[Material Used]]</f>
        <v>0</v>
      </c>
      <c r="Y736" s="3">
        <v>9</v>
      </c>
      <c r="Z736" s="36">
        <f>Table1[[#This Row],[Reject Prod (kg)]]/Table1[[#This Row],[Material Used]]</f>
        <v>2.2257174229159866E-2</v>
      </c>
      <c r="AA736" s="4">
        <v>26.623750686645501</v>
      </c>
      <c r="AB736" s="5">
        <v>14.56</v>
      </c>
      <c r="AC736" s="4" cm="1">
        <f t="array" ref="AC736">IFERROR(INDEX(ReferenceCard, MATCH(1, (INDEX(ReferenceCard,,1)=Table1[[#This Row],[SAP No]]) * (INDEX(ReferenceCard,,2)=Table1[[#This Row],[Mould No]]), 0), 9),)</f>
        <v>31</v>
      </c>
      <c r="AD736" s="5">
        <v>0</v>
      </c>
      <c r="AE736" s="5">
        <v>0</v>
      </c>
      <c r="AF736" s="5">
        <v>0</v>
      </c>
      <c r="AG736" s="5">
        <v>0</v>
      </c>
      <c r="AH736" s="5">
        <v>0.60999999999999899</v>
      </c>
      <c r="AI736" s="5">
        <v>0</v>
      </c>
      <c r="AJ736" s="5">
        <v>0</v>
      </c>
      <c r="AL736" s="2"/>
      <c r="AM736" s="2"/>
      <c r="AN736" s="3">
        <v>0</v>
      </c>
      <c r="AO736" s="3">
        <v>0</v>
      </c>
      <c r="AP736" s="6">
        <f>((Table1[[#This Row],[Reject Startup (kg)]]+Table1[[#This Row],[Reject Prod (kg)]]+Table1[[#This Row],[Reject Purging (kg)]]+Table1[[#This Row],[Reject Preform (kg)]])/Table1[[#This Row],[Part Weight (gm)]])*1000</f>
        <v>290.32258064516134</v>
      </c>
    </row>
    <row r="737" spans="1:42" x14ac:dyDescent="0.35">
      <c r="A737" s="1">
        <v>45999</v>
      </c>
      <c r="B737">
        <v>2</v>
      </c>
      <c r="C737" t="s">
        <v>3</v>
      </c>
      <c r="D737" t="str" cm="1">
        <f t="array" ref="D737">IFERROR(INDEX(ReferenceCard, MATCH(1, (INDEX(ReferenceCard,,1)=Table1[[#This Row],[SAP No]]) * (INDEX(ReferenceCard,,2)=Table1[[#This Row],[Mould No]]), 0), 6),)</f>
        <v>PET</v>
      </c>
      <c r="E737">
        <v>324163</v>
      </c>
      <c r="F737">
        <v>0</v>
      </c>
      <c r="G737" t="str" cm="1">
        <f t="array" ref="G737">IFERROR(INDEX(ReferenceCard, MATCH(1, (INDEX(ReferenceCard,,1)=Table1[[#This Row],[SAP No]]) * (INDEX(ReferenceCard,,2)=Table1[[#This Row],[Mould No]]), 0), 3),)</f>
        <v>BC28-0265-A-Q-CL</v>
      </c>
      <c r="H737">
        <v>0</v>
      </c>
      <c r="I737" cm="1">
        <f t="array" ref="I737">IFERROR(INDEX(ReferenceCard, MATCH(1, (INDEX(ReferenceCard,,1)=Table1[[#This Row],[SAP No]]) * (INDEX(ReferenceCard,,2)=Table1[[#This Row],[Mould No]]), 0), 4),)</f>
        <v>4</v>
      </c>
      <c r="J737" s="4" cm="1">
        <f t="array" ref="J737">IFERROR(INDEX(ReferenceCard, MATCH(1, (INDEX(ReferenceCard,,1)=Table1[[#This Row],[SAP No]]) * (INDEX(ReferenceCard,,2)=Table1[[#This Row],[Mould No]]), 0), 9),)</f>
        <v>24</v>
      </c>
      <c r="K737" s="4" cm="1">
        <f t="array" ref="K737">IFERROR(INDEX(ReferenceCard, MATCH(1, (INDEX(ReferenceCard,,1)=Table1[[#This Row],[SAP No]]) * (INDEX(ReferenceCard,,2)=Table1[[#This Row],[Mould No]]), 0), 7),)</f>
        <v>23.5</v>
      </c>
      <c r="L737">
        <v>1478</v>
      </c>
      <c r="M737">
        <v>0</v>
      </c>
      <c r="N737">
        <v>0</v>
      </c>
      <c r="O737">
        <v>0</v>
      </c>
      <c r="P737">
        <f>Table1[[#This Row],[Shot]]*Table1[[#This Row],[Cav]]</f>
        <v>5912</v>
      </c>
      <c r="Q737">
        <v>0</v>
      </c>
      <c r="R737">
        <f>(Table1[[#This Row],[Part Weight (gm)]]*Table1[[#This Row],[Finish Good]])/1000</f>
        <v>0</v>
      </c>
      <c r="S737">
        <v>0</v>
      </c>
      <c r="T737">
        <f>IF(Table1[[#This Row],[Qty Order]]="Sample","-",IF(Table1[[#This Row],[Qty Order]]="RTFN","-",Table1[[#This Row],[Qty Order]]-Table1[[#This Row],[Qty Accumulate]]))</f>
        <v>0</v>
      </c>
      <c r="U737">
        <f>((Table1[[#This Row],[Shift Output]]*Table1[[#This Row],[Part Weight (gm)]])/1000)+Table1[[#This Row],[Reject Startup (kg)]]+Table1[[#This Row],[Reject Purging (kg)]]+Table1[[#This Row],[Reject Preform (kg)]]</f>
        <v>154.93199999999999</v>
      </c>
      <c r="V737" s="37">
        <f>(Table1[[#This Row],[Gross Weight (gm)]]-Table1[[#This Row],[Part Weight (gm)]])*Table1[[#This Row],[Shift Output]]/1000</f>
        <v>2.956</v>
      </c>
      <c r="W737" s="3">
        <v>16</v>
      </c>
      <c r="X737" s="36">
        <f>Table1[[#This Row],[Reject Startup (kg)]]/Table1[[#This Row],[Material Used]]</f>
        <v>0.10327111248805929</v>
      </c>
      <c r="Y737" s="3">
        <v>0</v>
      </c>
      <c r="Z737" s="36">
        <f>Table1[[#This Row],[Reject Prod (kg)]]/Table1[[#This Row],[Material Used]]</f>
        <v>0</v>
      </c>
      <c r="AA737" s="4">
        <v>22.2907695770263</v>
      </c>
      <c r="AB737" s="5">
        <v>7.78</v>
      </c>
      <c r="AC737" s="4" cm="1">
        <f t="array" ref="AC737">IFERROR(INDEX(ReferenceCard, MATCH(1, (INDEX(ReferenceCard,,1)=Table1[[#This Row],[SAP No]]) * (INDEX(ReferenceCard,,2)=Table1[[#This Row],[Mould No]]), 0), 9),)</f>
        <v>24</v>
      </c>
      <c r="AD737" s="5">
        <v>0</v>
      </c>
      <c r="AE737" s="5">
        <v>0</v>
      </c>
      <c r="AF737" s="5">
        <v>0</v>
      </c>
      <c r="AG737" s="5">
        <v>0</v>
      </c>
      <c r="AH737" s="5">
        <v>7.3899999999999899</v>
      </c>
      <c r="AI737" s="5">
        <v>0</v>
      </c>
      <c r="AJ737" s="5">
        <v>0</v>
      </c>
      <c r="AK737" t="s">
        <v>173</v>
      </c>
      <c r="AL737" s="2"/>
      <c r="AM737" s="2"/>
      <c r="AN737" s="3">
        <v>0</v>
      </c>
      <c r="AO737" s="3">
        <v>0</v>
      </c>
      <c r="AP737" s="6">
        <f>((Table1[[#This Row],[Reject Startup (kg)]]+Table1[[#This Row],[Reject Prod (kg)]]+Table1[[#This Row],[Reject Purging (kg)]]+Table1[[#This Row],[Reject Preform (kg)]])/Table1[[#This Row],[Part Weight (gm)]])*1000</f>
        <v>680.85106382978722</v>
      </c>
    </row>
    <row r="738" spans="1:42" x14ac:dyDescent="0.35">
      <c r="A738" s="1">
        <v>45999</v>
      </c>
      <c r="B738">
        <v>2</v>
      </c>
      <c r="C738" t="s">
        <v>5</v>
      </c>
      <c r="D738" t="str" cm="1">
        <f t="array" ref="D738">IFERROR(INDEX(ReferenceCard, MATCH(1, (INDEX(ReferenceCard,,1)=Table1[[#This Row],[SAP No]]) * (INDEX(ReferenceCard,,2)=Table1[[#This Row],[Mould No]]), 0), 6),)</f>
        <v>PET</v>
      </c>
      <c r="E738">
        <v>543590</v>
      </c>
      <c r="F738">
        <v>0</v>
      </c>
      <c r="G738" t="str" cm="1">
        <f t="array" ref="G738">IFERROR(INDEX(ReferenceCard, MATCH(1, (INDEX(ReferenceCard,,1)=Table1[[#This Row],[SAP No]]) * (INDEX(ReferenceCard,,2)=Table1[[#This Row],[Mould No]]), 0), 3),)</f>
        <v>BC28-0130-R-R-AM</v>
      </c>
      <c r="H738">
        <v>0</v>
      </c>
      <c r="I738" cm="1">
        <f t="array" ref="I738">IFERROR(INDEX(ReferenceCard, MATCH(1, (INDEX(ReferenceCard,,1)=Table1[[#This Row],[SAP No]]) * (INDEX(ReferenceCard,,2)=Table1[[#This Row],[Mould No]]), 0), 4),)</f>
        <v>4</v>
      </c>
      <c r="J738" s="4" cm="1">
        <f t="array" ref="J738">IFERROR(INDEX(ReferenceCard, MATCH(1, (INDEX(ReferenceCard,,1)=Table1[[#This Row],[SAP No]]) * (INDEX(ReferenceCard,,2)=Table1[[#This Row],[Mould No]]), 0), 9),)</f>
        <v>19</v>
      </c>
      <c r="K738" s="4" cm="1">
        <f t="array" ref="K738">IFERROR(INDEX(ReferenceCard, MATCH(1, (INDEX(ReferenceCard,,1)=Table1[[#This Row],[SAP No]]) * (INDEX(ReferenceCard,,2)=Table1[[#This Row],[Mould No]]), 0), 7),)</f>
        <v>19</v>
      </c>
      <c r="L738">
        <v>506</v>
      </c>
      <c r="M738">
        <v>0</v>
      </c>
      <c r="N738">
        <v>0</v>
      </c>
      <c r="O738">
        <v>0</v>
      </c>
      <c r="P738">
        <f>Table1[[#This Row],[Shot]]*Table1[[#This Row],[Cav]]</f>
        <v>2024</v>
      </c>
      <c r="Q738">
        <v>0</v>
      </c>
      <c r="R738">
        <f>(Table1[[#This Row],[Part Weight (gm)]]*Table1[[#This Row],[Finish Good]])/1000</f>
        <v>0</v>
      </c>
      <c r="S738">
        <v>0</v>
      </c>
      <c r="T738">
        <f>IF(Table1[[#This Row],[Qty Order]]="Sample","-",IF(Table1[[#This Row],[Qty Order]]="RTFN","-",Table1[[#This Row],[Qty Order]]-Table1[[#This Row],[Qty Accumulate]]))</f>
        <v>0</v>
      </c>
      <c r="U738">
        <f>((Table1[[#This Row],[Shift Output]]*Table1[[#This Row],[Part Weight (gm)]])/1000)+Table1[[#This Row],[Reject Startup (kg)]]+Table1[[#This Row],[Reject Purging (kg)]]+Table1[[#This Row],[Reject Preform (kg)]]</f>
        <v>38.456000000000003</v>
      </c>
      <c r="V738" s="37">
        <f>(Table1[[#This Row],[Gross Weight (gm)]]-Table1[[#This Row],[Part Weight (gm)]])*Table1[[#This Row],[Shift Output]]/1000</f>
        <v>0</v>
      </c>
      <c r="W738" s="3">
        <v>0</v>
      </c>
      <c r="X738" s="36">
        <f>Table1[[#This Row],[Reject Startup (kg)]]/Table1[[#This Row],[Material Used]]</f>
        <v>0</v>
      </c>
      <c r="Y738" s="3">
        <v>2</v>
      </c>
      <c r="Z738" s="36">
        <f>Table1[[#This Row],[Reject Prod (kg)]]/Table1[[#This Row],[Material Used]]</f>
        <v>5.2007489078427289E-2</v>
      </c>
      <c r="AA738" s="4">
        <v>22.532598495483299</v>
      </c>
      <c r="AB738" s="5">
        <v>15.16</v>
      </c>
      <c r="AC738" s="4" cm="1">
        <f t="array" ref="AC738">IFERROR(INDEX(ReferenceCard, MATCH(1, (INDEX(ReferenceCard,,1)=Table1[[#This Row],[SAP No]]) * (INDEX(ReferenceCard,,2)=Table1[[#This Row],[Mould No]]), 0), 9),)</f>
        <v>19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L738" s="2"/>
      <c r="AM738" s="2"/>
      <c r="AN738" s="3">
        <v>0</v>
      </c>
      <c r="AO738" s="3">
        <v>0</v>
      </c>
      <c r="AP738" s="6">
        <f>((Table1[[#This Row],[Reject Startup (kg)]]+Table1[[#This Row],[Reject Prod (kg)]]+Table1[[#This Row],[Reject Purging (kg)]]+Table1[[#This Row],[Reject Preform (kg)]])/Table1[[#This Row],[Part Weight (gm)]])*1000</f>
        <v>105.26315789473684</v>
      </c>
    </row>
    <row r="739" spans="1:42" x14ac:dyDescent="0.35">
      <c r="A739" s="1">
        <v>45999</v>
      </c>
      <c r="B739">
        <v>2</v>
      </c>
      <c r="C739" t="s">
        <v>7</v>
      </c>
      <c r="D739" t="str" cm="1">
        <f t="array" ref="D739">IFERROR(INDEX(ReferenceCard, MATCH(1, (INDEX(ReferenceCard,,1)=Table1[[#This Row],[SAP No]]) * (INDEX(ReferenceCard,,2)=Table1[[#This Row],[Mould No]]), 0), 6),)</f>
        <v>PET</v>
      </c>
      <c r="E739">
        <v>426555</v>
      </c>
      <c r="F739">
        <v>0</v>
      </c>
      <c r="G739" t="str" cm="1">
        <f t="array" ref="G739">IFERROR(INDEX(ReferenceCard, MATCH(1, (INDEX(ReferenceCard,,1)=Table1[[#This Row],[SAP No]]) * (INDEX(ReferenceCard,,2)=Table1[[#This Row],[Mould No]]), 0), 3),)</f>
        <v>BX38-0330-Z-S-CL-HW</v>
      </c>
      <c r="H739">
        <v>0</v>
      </c>
      <c r="I739" cm="1">
        <f t="array" ref="I739">IFERROR(INDEX(ReferenceCard, MATCH(1, (INDEX(ReferenceCard,,1)=Table1[[#This Row],[SAP No]]) * (INDEX(ReferenceCard,,2)=Table1[[#This Row],[Mould No]]), 0), 4),)</f>
        <v>4</v>
      </c>
      <c r="J739" s="4" cm="1">
        <f t="array" ref="J739">IFERROR(INDEX(ReferenceCard, MATCH(1, (INDEX(ReferenceCard,,1)=Table1[[#This Row],[SAP No]]) * (INDEX(ReferenceCard,,2)=Table1[[#This Row],[Mould No]]), 0), 9),)</f>
        <v>29</v>
      </c>
      <c r="K739" s="4" cm="1">
        <f t="array" ref="K739">IFERROR(INDEX(ReferenceCard, MATCH(1, (INDEX(ReferenceCard,,1)=Table1[[#This Row],[SAP No]]) * (INDEX(ReferenceCard,,2)=Table1[[#This Row],[Mould No]]), 0), 7),)</f>
        <v>29</v>
      </c>
      <c r="L739">
        <v>734</v>
      </c>
      <c r="M739">
        <v>0</v>
      </c>
      <c r="N739">
        <v>0</v>
      </c>
      <c r="O739">
        <v>0</v>
      </c>
      <c r="P739">
        <f>Table1[[#This Row],[Shot]]*Table1[[#This Row],[Cav]]</f>
        <v>2936</v>
      </c>
      <c r="Q739">
        <v>0</v>
      </c>
      <c r="R739">
        <f>(Table1[[#This Row],[Part Weight (gm)]]*Table1[[#This Row],[Finish Good]])/1000</f>
        <v>0</v>
      </c>
      <c r="S739">
        <v>0</v>
      </c>
      <c r="T739">
        <f>IF(Table1[[#This Row],[Qty Order]]="Sample","-",IF(Table1[[#This Row],[Qty Order]]="RTFN","-",Table1[[#This Row],[Qty Order]]-Table1[[#This Row],[Qty Accumulate]]))</f>
        <v>0</v>
      </c>
      <c r="U739">
        <f>((Table1[[#This Row],[Shift Output]]*Table1[[#This Row],[Part Weight (gm)]])/1000)+Table1[[#This Row],[Reject Startup (kg)]]+Table1[[#This Row],[Reject Purging (kg)]]+Table1[[#This Row],[Reject Preform (kg)]]</f>
        <v>91.144000000000005</v>
      </c>
      <c r="V739" s="37">
        <f>(Table1[[#This Row],[Gross Weight (gm)]]-Table1[[#This Row],[Part Weight (gm)]])*Table1[[#This Row],[Shift Output]]/1000</f>
        <v>0</v>
      </c>
      <c r="W739" s="3">
        <v>6</v>
      </c>
      <c r="X739" s="36">
        <f>Table1[[#This Row],[Reject Startup (kg)]]/Table1[[#This Row],[Material Used]]</f>
        <v>6.5829895549899056E-2</v>
      </c>
      <c r="Y739" s="3">
        <v>0</v>
      </c>
      <c r="Z739" s="36">
        <f>Table1[[#This Row],[Reject Prod (kg)]]/Table1[[#This Row],[Material Used]]</f>
        <v>0</v>
      </c>
      <c r="AA739" s="4">
        <v>25.774549484252901</v>
      </c>
      <c r="AB739" s="5">
        <v>9.1199999999999903</v>
      </c>
      <c r="AC739" s="4" cm="1">
        <f t="array" ref="AC739">IFERROR(INDEX(ReferenceCard, MATCH(1, (INDEX(ReferenceCard,,1)=Table1[[#This Row],[SAP No]]) * (INDEX(ReferenceCard,,2)=Table1[[#This Row],[Mould No]]), 0), 9),)</f>
        <v>29</v>
      </c>
      <c r="AD739" s="5">
        <v>0</v>
      </c>
      <c r="AE739" s="5">
        <v>0</v>
      </c>
      <c r="AF739" s="5">
        <v>0</v>
      </c>
      <c r="AG739" s="5">
        <v>6.04</v>
      </c>
      <c r="AH739" s="5">
        <v>0</v>
      </c>
      <c r="AI739" s="5">
        <v>0</v>
      </c>
      <c r="AJ739" s="5">
        <v>0</v>
      </c>
      <c r="AK739" t="s">
        <v>174</v>
      </c>
      <c r="AL739" s="2"/>
      <c r="AM739" s="2"/>
      <c r="AN739" s="3">
        <v>0</v>
      </c>
      <c r="AO739" s="3">
        <v>0</v>
      </c>
      <c r="AP739" s="6">
        <f>((Table1[[#This Row],[Reject Startup (kg)]]+Table1[[#This Row],[Reject Prod (kg)]]+Table1[[#This Row],[Reject Purging (kg)]]+Table1[[#This Row],[Reject Preform (kg)]])/Table1[[#This Row],[Part Weight (gm)]])*1000</f>
        <v>206.89655172413794</v>
      </c>
    </row>
    <row r="740" spans="1:42" x14ac:dyDescent="0.35">
      <c r="A740" s="1">
        <v>45999</v>
      </c>
      <c r="B740">
        <v>2</v>
      </c>
      <c r="C740" t="s">
        <v>9</v>
      </c>
      <c r="D740" t="str" cm="1">
        <f t="array" ref="D740">IFERROR(INDEX(ReferenceCard, MATCH(1, (INDEX(ReferenceCard,,1)=Table1[[#This Row],[SAP No]]) * (INDEX(ReferenceCard,,2)=Table1[[#This Row],[Mould No]]), 0), 6),)</f>
        <v>rPET</v>
      </c>
      <c r="E740">
        <v>593537</v>
      </c>
      <c r="F740">
        <v>0</v>
      </c>
      <c r="G740" t="str" cm="1">
        <f t="array" ref="G740">IFERROR(INDEX(ReferenceCard, MATCH(1, (INDEX(ReferenceCard,,1)=Table1[[#This Row],[SAP No]]) * (INDEX(ReferenceCard,,2)=Table1[[#This Row],[Mould No]]), 0), 3),)</f>
        <v>BX38-1000-RN-R-CL-rPET</v>
      </c>
      <c r="H740">
        <v>0</v>
      </c>
      <c r="I740" cm="1">
        <f t="array" ref="I740">IFERROR(INDEX(ReferenceCard, MATCH(1, (INDEX(ReferenceCard,,1)=Table1[[#This Row],[SAP No]]) * (INDEX(ReferenceCard,,2)=Table1[[#This Row],[Mould No]]), 0), 4),)</f>
        <v>4</v>
      </c>
      <c r="J740" s="4" cm="1">
        <f t="array" ref="J740">IFERROR(INDEX(ReferenceCard, MATCH(1, (INDEX(ReferenceCard,,1)=Table1[[#This Row],[SAP No]]) * (INDEX(ReferenceCard,,2)=Table1[[#This Row],[Mould No]]), 0), 9),)</f>
        <v>56.5</v>
      </c>
      <c r="K740" s="4" cm="1">
        <f t="array" ref="K740">IFERROR(INDEX(ReferenceCard, MATCH(1, (INDEX(ReferenceCard,,1)=Table1[[#This Row],[SAP No]]) * (INDEX(ReferenceCard,,2)=Table1[[#This Row],[Mould No]]), 0), 7),)</f>
        <v>56.8</v>
      </c>
      <c r="L740">
        <v>2671</v>
      </c>
      <c r="M740">
        <v>0</v>
      </c>
      <c r="N740">
        <v>0</v>
      </c>
      <c r="O740">
        <v>0</v>
      </c>
      <c r="P740">
        <f>Table1[[#This Row],[Shot]]*Table1[[#This Row],[Cav]]</f>
        <v>10684</v>
      </c>
      <c r="Q740">
        <v>0</v>
      </c>
      <c r="R740">
        <f>(Table1[[#This Row],[Part Weight (gm)]]*Table1[[#This Row],[Finish Good]])/1000</f>
        <v>0</v>
      </c>
      <c r="S740">
        <v>0</v>
      </c>
      <c r="T740">
        <f>IF(Table1[[#This Row],[Qty Order]]="Sample","-",IF(Table1[[#This Row],[Qty Order]]="RTFN","-",Table1[[#This Row],[Qty Order]]-Table1[[#This Row],[Qty Accumulate]]))</f>
        <v>0</v>
      </c>
      <c r="U740">
        <f>((Table1[[#This Row],[Shift Output]]*Table1[[#This Row],[Part Weight (gm)]])/1000)+Table1[[#This Row],[Reject Startup (kg)]]+Table1[[#This Row],[Reject Purging (kg)]]+Table1[[#This Row],[Reject Preform (kg)]]</f>
        <v>606.85119999999995</v>
      </c>
      <c r="V740" s="37">
        <f>(Table1[[#This Row],[Gross Weight (gm)]]-Table1[[#This Row],[Part Weight (gm)]])*Table1[[#This Row],[Shift Output]]/1000</f>
        <v>-3.2051999999999699</v>
      </c>
      <c r="W740" s="3">
        <v>0</v>
      </c>
      <c r="X740" s="36">
        <f>Table1[[#This Row],[Reject Startup (kg)]]/Table1[[#This Row],[Material Used]]</f>
        <v>0</v>
      </c>
      <c r="Y740" s="3">
        <v>1</v>
      </c>
      <c r="Z740" s="36">
        <f>Table1[[#This Row],[Reject Prod (kg)]]/Table1[[#This Row],[Material Used]]</f>
        <v>1.6478504120944312E-3</v>
      </c>
      <c r="AA740" s="4">
        <v>28.622331619262599</v>
      </c>
      <c r="AB740" s="5">
        <v>15.13</v>
      </c>
      <c r="AC740" s="4" cm="1">
        <f t="array" ref="AC740">IFERROR(INDEX(ReferenceCard, MATCH(1, (INDEX(ReferenceCard,,1)=Table1[[#This Row],[SAP No]]) * (INDEX(ReferenceCard,,2)=Table1[[#This Row],[Mould No]]), 0), 9),)</f>
        <v>56.5</v>
      </c>
      <c r="AD740" s="5">
        <v>0</v>
      </c>
      <c r="AE740" s="5">
        <v>0</v>
      </c>
      <c r="AF740" s="5">
        <v>0</v>
      </c>
      <c r="AG740" s="5">
        <v>0</v>
      </c>
      <c r="AH740" s="5">
        <v>0.04</v>
      </c>
      <c r="AI740" s="5">
        <v>0</v>
      </c>
      <c r="AJ740" s="5">
        <v>0</v>
      </c>
      <c r="AL740" s="2"/>
      <c r="AM740" s="2"/>
      <c r="AN740" s="3">
        <v>0</v>
      </c>
      <c r="AO740" s="3">
        <v>0</v>
      </c>
      <c r="AP740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741" spans="1:42" x14ac:dyDescent="0.35">
      <c r="A741" s="1">
        <v>45999</v>
      </c>
      <c r="B741">
        <v>2</v>
      </c>
      <c r="C741" t="s">
        <v>11</v>
      </c>
      <c r="D741" t="str" cm="1">
        <f t="array" ref="D741">IFERROR(INDEX(ReferenceCard, MATCH(1, (INDEX(ReferenceCard,,1)=Table1[[#This Row],[SAP No]]) * (INDEX(ReferenceCard,,2)=Table1[[#This Row],[Mould No]]), 0), 6),)</f>
        <v>rPET</v>
      </c>
      <c r="E741">
        <v>620994</v>
      </c>
      <c r="F741">
        <v>0</v>
      </c>
      <c r="G741" t="str" cm="1">
        <f t="array" ref="G741">IFERROR(INDEX(ReferenceCard, MATCH(1, (INDEX(ReferenceCard,,1)=Table1[[#This Row],[SAP No]]) * (INDEX(ReferenceCard,,2)=Table1[[#This Row],[Mould No]]), 0), 3),)</f>
        <v>JJ63-0400-SH-S-CL-rPET</v>
      </c>
      <c r="H741">
        <v>0</v>
      </c>
      <c r="I741" cm="1">
        <f t="array" ref="I741">IFERROR(INDEX(ReferenceCard, MATCH(1, (INDEX(ReferenceCard,,1)=Table1[[#This Row],[SAP No]]) * (INDEX(ReferenceCard,,2)=Table1[[#This Row],[Mould No]]), 0), 4),)</f>
        <v>4</v>
      </c>
      <c r="J741" s="4" cm="1">
        <f t="array" ref="J741">IFERROR(INDEX(ReferenceCard, MATCH(1, (INDEX(ReferenceCard,,1)=Table1[[#This Row],[SAP No]]) * (INDEX(ReferenceCard,,2)=Table1[[#This Row],[Mould No]]), 0), 9),)</f>
        <v>32.74</v>
      </c>
      <c r="K741" s="4" cm="1">
        <f t="array" ref="K741">IFERROR(INDEX(ReferenceCard, MATCH(1, (INDEX(ReferenceCard,,1)=Table1[[#This Row],[SAP No]]) * (INDEX(ReferenceCard,,2)=Table1[[#This Row],[Mould No]]), 0), 7),)</f>
        <v>33</v>
      </c>
      <c r="L741">
        <v>2405</v>
      </c>
      <c r="M741">
        <v>0</v>
      </c>
      <c r="N741">
        <v>0</v>
      </c>
      <c r="O741">
        <v>0</v>
      </c>
      <c r="P741">
        <f>Table1[[#This Row],[Shot]]*Table1[[#This Row],[Cav]]</f>
        <v>9620</v>
      </c>
      <c r="Q741">
        <v>0</v>
      </c>
      <c r="R741">
        <f>(Table1[[#This Row],[Part Weight (gm)]]*Table1[[#This Row],[Finish Good]])/1000</f>
        <v>0</v>
      </c>
      <c r="S741">
        <v>0</v>
      </c>
      <c r="T741">
        <f>IF(Table1[[#This Row],[Qty Order]]="Sample","-",IF(Table1[[#This Row],[Qty Order]]="RTFN","-",Table1[[#This Row],[Qty Order]]-Table1[[#This Row],[Qty Accumulate]]))</f>
        <v>0</v>
      </c>
      <c r="U741">
        <f>((Table1[[#This Row],[Shift Output]]*Table1[[#This Row],[Part Weight (gm)]])/1000)+Table1[[#This Row],[Reject Startup (kg)]]+Table1[[#This Row],[Reject Purging (kg)]]+Table1[[#This Row],[Reject Preform (kg)]]</f>
        <v>317.45999999999998</v>
      </c>
      <c r="V741" s="37">
        <f>(Table1[[#This Row],[Gross Weight (gm)]]-Table1[[#This Row],[Part Weight (gm)]])*Table1[[#This Row],[Shift Output]]/1000</f>
        <v>-2.5011999999999808</v>
      </c>
      <c r="W741" s="3">
        <v>0</v>
      </c>
      <c r="X741" s="36">
        <f>Table1[[#This Row],[Reject Startup (kg)]]/Table1[[#This Row],[Material Used]]</f>
        <v>0</v>
      </c>
      <c r="Y741" s="3">
        <v>2</v>
      </c>
      <c r="Z741" s="36">
        <f>Table1[[#This Row],[Reject Prod (kg)]]/Table1[[#This Row],[Material Used]]</f>
        <v>6.3000063000063005E-3</v>
      </c>
      <c r="AA741" s="4">
        <v>23.959598541259702</v>
      </c>
      <c r="AB741" s="5">
        <v>14.98</v>
      </c>
      <c r="AC741" s="4" cm="1">
        <f t="array" ref="AC741">IFERROR(INDEX(ReferenceCard, MATCH(1, (INDEX(ReferenceCard,,1)=Table1[[#This Row],[SAP No]]) * (INDEX(ReferenceCard,,2)=Table1[[#This Row],[Mould No]]), 0), 9),)</f>
        <v>32.74</v>
      </c>
      <c r="AD741" s="5">
        <v>0</v>
      </c>
      <c r="AE741" s="5">
        <v>0</v>
      </c>
      <c r="AF741" s="5">
        <v>0</v>
      </c>
      <c r="AG741" s="5">
        <v>0</v>
      </c>
      <c r="AH741" s="5">
        <v>0.17999999999999899</v>
      </c>
      <c r="AI741" s="5">
        <v>0</v>
      </c>
      <c r="AJ741" s="5">
        <v>0</v>
      </c>
      <c r="AL741" s="2"/>
      <c r="AM741" s="2"/>
      <c r="AN741" s="3">
        <v>0</v>
      </c>
      <c r="AO741" s="3">
        <v>0</v>
      </c>
      <c r="AP741" s="6">
        <f>((Table1[[#This Row],[Reject Startup (kg)]]+Table1[[#This Row],[Reject Prod (kg)]]+Table1[[#This Row],[Reject Purging (kg)]]+Table1[[#This Row],[Reject Preform (kg)]])/Table1[[#This Row],[Part Weight (gm)]])*1000</f>
        <v>60.606060606060609</v>
      </c>
    </row>
    <row r="742" spans="1:42" x14ac:dyDescent="0.35">
      <c r="A742" s="1">
        <v>45999</v>
      </c>
      <c r="B742">
        <v>2</v>
      </c>
      <c r="C742" t="s">
        <v>14</v>
      </c>
      <c r="D742" t="str" cm="1">
        <f t="array" ref="D742">IFERROR(INDEX(ReferenceCard, MATCH(1, (INDEX(ReferenceCard,,1)=Table1[[#This Row],[SAP No]]) * (INDEX(ReferenceCard,,2)=Table1[[#This Row],[Mould No]]), 0), 6),)</f>
        <v>PET</v>
      </c>
      <c r="E742">
        <v>324165</v>
      </c>
      <c r="F742">
        <v>0</v>
      </c>
      <c r="G742" t="str" cm="1">
        <f t="array" ref="G742">IFERROR(INDEX(ReferenceCard, MATCH(1, (INDEX(ReferenceCard,,1)=Table1[[#This Row],[SAP No]]) * (INDEX(ReferenceCard,,2)=Table1[[#This Row],[Mould No]]), 0), 3),)</f>
        <v>JJ63-0400-SH-S-WH</v>
      </c>
      <c r="H742">
        <v>0</v>
      </c>
      <c r="I742" cm="1">
        <f t="array" ref="I742">IFERROR(INDEX(ReferenceCard, MATCH(1, (INDEX(ReferenceCard,,1)=Table1[[#This Row],[SAP No]]) * (INDEX(ReferenceCard,,2)=Table1[[#This Row],[Mould No]]), 0), 4),)</f>
        <v>4</v>
      </c>
      <c r="J742" s="4" cm="1">
        <f t="array" ref="J742">IFERROR(INDEX(ReferenceCard, MATCH(1, (INDEX(ReferenceCard,,1)=Table1[[#This Row],[SAP No]]) * (INDEX(ReferenceCard,,2)=Table1[[#This Row],[Mould No]]), 0), 9),)</f>
        <v>32.56</v>
      </c>
      <c r="K742" s="4" cm="1">
        <f t="array" ref="K742">IFERROR(INDEX(ReferenceCard, MATCH(1, (INDEX(ReferenceCard,,1)=Table1[[#This Row],[SAP No]]) * (INDEX(ReferenceCard,,2)=Table1[[#This Row],[Mould No]]), 0), 7),)</f>
        <v>33</v>
      </c>
      <c r="L742">
        <v>23</v>
      </c>
      <c r="M742">
        <v>0</v>
      </c>
      <c r="N742">
        <v>0</v>
      </c>
      <c r="O742">
        <v>0</v>
      </c>
      <c r="P742">
        <f>Table1[[#This Row],[Shot]]*Table1[[#This Row],[Cav]]</f>
        <v>92</v>
      </c>
      <c r="Q742">
        <v>0</v>
      </c>
      <c r="R742">
        <f>(Table1[[#This Row],[Part Weight (gm)]]*Table1[[#This Row],[Finish Good]])/1000</f>
        <v>0</v>
      </c>
      <c r="S742">
        <v>0</v>
      </c>
      <c r="T742">
        <f>IF(Table1[[#This Row],[Qty Order]]="Sample","-",IF(Table1[[#This Row],[Qty Order]]="RTFN","-",Table1[[#This Row],[Qty Order]]-Table1[[#This Row],[Qty Accumulate]]))</f>
        <v>0</v>
      </c>
      <c r="U742">
        <f>((Table1[[#This Row],[Shift Output]]*Table1[[#This Row],[Part Weight (gm)]])/1000)+Table1[[#This Row],[Reject Startup (kg)]]+Table1[[#This Row],[Reject Purging (kg)]]+Table1[[#This Row],[Reject Preform (kg)]]</f>
        <v>3.036</v>
      </c>
      <c r="V742" s="37">
        <f>(Table1[[#This Row],[Gross Weight (gm)]]-Table1[[#This Row],[Part Weight (gm)]])*Table1[[#This Row],[Shift Output]]/1000</f>
        <v>-4.0479999999999794E-2</v>
      </c>
      <c r="W742" s="3">
        <v>0</v>
      </c>
      <c r="X742" s="36">
        <f>Table1[[#This Row],[Reject Startup (kg)]]/Table1[[#This Row],[Material Used]]</f>
        <v>0</v>
      </c>
      <c r="Y742" s="3">
        <v>2</v>
      </c>
      <c r="Z742" s="36">
        <f>Table1[[#This Row],[Reject Prod (kg)]]/Table1[[#This Row],[Material Used]]</f>
        <v>0.65876152832674573</v>
      </c>
      <c r="AA742" s="4">
        <v>23.9835491180419</v>
      </c>
      <c r="AB742" s="5">
        <v>15.17</v>
      </c>
      <c r="AC742" s="4" cm="1">
        <f t="array" ref="AC742">IFERROR(INDEX(ReferenceCard, MATCH(1, (INDEX(ReferenceCard,,1)=Table1[[#This Row],[SAP No]]) * (INDEX(ReferenceCard,,2)=Table1[[#This Row],[Mould No]]), 0), 9),)</f>
        <v>32.56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L742" s="2"/>
      <c r="AM742" s="2"/>
      <c r="AN742" s="3">
        <v>0</v>
      </c>
      <c r="AO742" s="3">
        <v>0</v>
      </c>
      <c r="AP742" s="6">
        <f>((Table1[[#This Row],[Reject Startup (kg)]]+Table1[[#This Row],[Reject Prod (kg)]]+Table1[[#This Row],[Reject Purging (kg)]]+Table1[[#This Row],[Reject Preform (kg)]])/Table1[[#This Row],[Part Weight (gm)]])*1000</f>
        <v>60.606060606060609</v>
      </c>
    </row>
    <row r="743" spans="1:42" x14ac:dyDescent="0.35">
      <c r="A743" s="1">
        <v>45999</v>
      </c>
      <c r="B743">
        <v>2</v>
      </c>
      <c r="C743" t="s">
        <v>16</v>
      </c>
      <c r="D743" t="str" cm="1">
        <f t="array" ref="D743">IFERROR(INDEX(ReferenceCard, MATCH(1, (INDEX(ReferenceCard,,1)=Table1[[#This Row],[SAP No]]) * (INDEX(ReferenceCard,,2)=Table1[[#This Row],[Mould No]]), 0), 6),)</f>
        <v>PET</v>
      </c>
      <c r="E743">
        <v>323092</v>
      </c>
      <c r="F743">
        <v>0</v>
      </c>
      <c r="G743" t="str" cm="1">
        <f t="array" ref="G743">IFERROR(INDEX(ReferenceCard, MATCH(1, (INDEX(ReferenceCard,,1)=Table1[[#This Row],[SAP No]]) * (INDEX(ReferenceCard,,2)=Table1[[#This Row],[Mould No]]), 0), 3),)</f>
        <v>BX38-1000-GH-R-CL(GREEN) (ASEM)</v>
      </c>
      <c r="H743">
        <v>0</v>
      </c>
      <c r="I743" cm="1">
        <f t="array" ref="I743">IFERROR(INDEX(ReferenceCard, MATCH(1, (INDEX(ReferenceCard,,1)=Table1[[#This Row],[SAP No]]) * (INDEX(ReferenceCard,,2)=Table1[[#This Row],[Mould No]]), 0), 4),)</f>
        <v>4</v>
      </c>
      <c r="J743" s="4" cm="1">
        <f t="array" ref="J743">IFERROR(INDEX(ReferenceCard, MATCH(1, (INDEX(ReferenceCard,,1)=Table1[[#This Row],[SAP No]]) * (INDEX(ReferenceCard,,2)=Table1[[#This Row],[Mould No]]), 0), 9),)</f>
        <v>48.9</v>
      </c>
      <c r="K743" s="4" cm="1">
        <f t="array" ref="K743">IFERROR(INDEX(ReferenceCard, MATCH(1, (INDEX(ReferenceCard,,1)=Table1[[#This Row],[SAP No]]) * (INDEX(ReferenceCard,,2)=Table1[[#This Row],[Mould No]]), 0), 7),)</f>
        <v>48.9</v>
      </c>
      <c r="L743">
        <v>274</v>
      </c>
      <c r="M743">
        <v>0</v>
      </c>
      <c r="N743">
        <v>0</v>
      </c>
      <c r="O743">
        <v>0</v>
      </c>
      <c r="P743">
        <f>Table1[[#This Row],[Shot]]*Table1[[#This Row],[Cav]]</f>
        <v>1096</v>
      </c>
      <c r="Q743">
        <v>0</v>
      </c>
      <c r="R743">
        <f>(Table1[[#This Row],[Part Weight (gm)]]*Table1[[#This Row],[Finish Good]])/1000</f>
        <v>0</v>
      </c>
      <c r="S743">
        <v>0</v>
      </c>
      <c r="T743">
        <f>IF(Table1[[#This Row],[Qty Order]]="Sample","-",IF(Table1[[#This Row],[Qty Order]]="RTFN","-",Table1[[#This Row],[Qty Order]]-Table1[[#This Row],[Qty Accumulate]]))</f>
        <v>0</v>
      </c>
      <c r="U743">
        <f>((Table1[[#This Row],[Shift Output]]*Table1[[#This Row],[Part Weight (gm)]])/1000)+Table1[[#This Row],[Reject Startup (kg)]]+Table1[[#This Row],[Reject Purging (kg)]]+Table1[[#This Row],[Reject Preform (kg)]]</f>
        <v>53.5944</v>
      </c>
      <c r="V743" s="37">
        <f>(Table1[[#This Row],[Gross Weight (gm)]]-Table1[[#This Row],[Part Weight (gm)]])*Table1[[#This Row],[Shift Output]]/1000</f>
        <v>0</v>
      </c>
      <c r="W743" s="3">
        <v>0</v>
      </c>
      <c r="X743" s="36">
        <f>Table1[[#This Row],[Reject Startup (kg)]]/Table1[[#This Row],[Material Used]]</f>
        <v>0</v>
      </c>
      <c r="Y743" s="3">
        <v>3</v>
      </c>
      <c r="Z743" s="36">
        <f>Table1[[#This Row],[Reject Prod (kg)]]/Table1[[#This Row],[Material Used]]</f>
        <v>5.597599749227531E-2</v>
      </c>
      <c r="AA743" s="4">
        <v>0</v>
      </c>
      <c r="AB743" s="5">
        <v>1.71</v>
      </c>
      <c r="AC743" s="4" cm="1">
        <f t="array" ref="AC743">IFERROR(INDEX(ReferenceCard, MATCH(1, (INDEX(ReferenceCard,,1)=Table1[[#This Row],[SAP No]]) * (INDEX(ReferenceCard,,2)=Table1[[#This Row],[Mould No]]), 0), 9),)</f>
        <v>48.9</v>
      </c>
      <c r="AD743" s="5">
        <v>12.6199999999999</v>
      </c>
      <c r="AE743" s="5">
        <v>0</v>
      </c>
      <c r="AF743" s="5">
        <v>0</v>
      </c>
      <c r="AG743" s="5">
        <v>0.82999999999999896</v>
      </c>
      <c r="AH743" s="5">
        <v>0</v>
      </c>
      <c r="AI743" s="5">
        <v>0</v>
      </c>
      <c r="AJ743" s="5">
        <v>0</v>
      </c>
      <c r="AK743" t="s">
        <v>175</v>
      </c>
      <c r="AL743" s="2" t="s">
        <v>176</v>
      </c>
      <c r="AM743" s="2"/>
      <c r="AN743" s="3"/>
      <c r="AO743" s="3">
        <v>0</v>
      </c>
      <c r="AP743" s="6">
        <f>((Table1[[#This Row],[Reject Startup (kg)]]+Table1[[#This Row],[Reject Prod (kg)]]+Table1[[#This Row],[Reject Purging (kg)]]+Table1[[#This Row],[Reject Preform (kg)]])/Table1[[#This Row],[Part Weight (gm)]])*1000</f>
        <v>61.349693251533743</v>
      </c>
    </row>
    <row r="744" spans="1:42" x14ac:dyDescent="0.35">
      <c r="A744" s="1">
        <v>45999</v>
      </c>
      <c r="B744">
        <v>2</v>
      </c>
      <c r="C744" t="s">
        <v>23</v>
      </c>
      <c r="D744" t="str" cm="1">
        <f t="array" ref="D744">IFERROR(INDEX(ReferenceCard, MATCH(1, (INDEX(ReferenceCard,,1)=Table1[[#This Row],[SAP No]]) * (INDEX(ReferenceCard,,2)=Table1[[#This Row],[Mould No]]), 0), 6),)</f>
        <v>PPSB520Y</v>
      </c>
      <c r="E744">
        <v>586276</v>
      </c>
      <c r="F744">
        <v>2</v>
      </c>
      <c r="G744" t="str" cm="1">
        <f t="array" ref="G744">IFERROR(INDEX(ReferenceCard, MATCH(1, (INDEX(ReferenceCard,,1)=Table1[[#This Row],[SAP No]]) * (INDEX(ReferenceCard,,2)=Table1[[#This Row],[Mould No]]), 0), 3),)</f>
        <v>BC28-0056-D-APH-LEB-604001-MOLD2</v>
      </c>
      <c r="H744">
        <v>0</v>
      </c>
      <c r="I744" cm="1">
        <f t="array" ref="I744">IFERROR(INDEX(ReferenceCard, MATCH(1, (INDEX(ReferenceCard,,1)=Table1[[#This Row],[SAP No]]) * (INDEX(ReferenceCard,,2)=Table1[[#This Row],[Mould No]]), 0), 4),)</f>
        <v>6</v>
      </c>
      <c r="J744" s="4" cm="1">
        <f t="array" ref="J744">IFERROR(INDEX(ReferenceCard, MATCH(1, (INDEX(ReferenceCard,,1)=Table1[[#This Row],[SAP No]]) * (INDEX(ReferenceCard,,2)=Table1[[#This Row],[Mould No]]), 0), 9),)</f>
        <v>12.3</v>
      </c>
      <c r="K744" s="4" cm="1">
        <f t="array" ref="K744">IFERROR(INDEX(ReferenceCard, MATCH(1, (INDEX(ReferenceCard,,1)=Table1[[#This Row],[SAP No]]) * (INDEX(ReferenceCard,,2)=Table1[[#This Row],[Mould No]]), 0), 7),)</f>
        <v>12.3</v>
      </c>
      <c r="L744">
        <v>446</v>
      </c>
      <c r="M744">
        <v>0</v>
      </c>
      <c r="N744">
        <v>0</v>
      </c>
      <c r="O744">
        <v>0</v>
      </c>
      <c r="P744">
        <f>Table1[[#This Row],[Shot]]*Table1[[#This Row],[Cav]]</f>
        <v>2676</v>
      </c>
      <c r="Q744">
        <v>0</v>
      </c>
      <c r="R744">
        <f>(Table1[[#This Row],[Part Weight (gm)]]*Table1[[#This Row],[Finish Good]])/1000</f>
        <v>0</v>
      </c>
      <c r="S744">
        <v>0</v>
      </c>
      <c r="T744">
        <f>IF(Table1[[#This Row],[Qty Order]]="Sample","-",IF(Table1[[#This Row],[Qty Order]]="RTFN","-",Table1[[#This Row],[Qty Order]]-Table1[[#This Row],[Qty Accumulate]]))</f>
        <v>0</v>
      </c>
      <c r="U744">
        <f>((Table1[[#This Row],[Shift Output]]*Table1[[#This Row],[Part Weight (gm)]])/1000)+Table1[[#This Row],[Reject Startup (kg)]]+Table1[[#This Row],[Reject Purging (kg)]]+Table1[[#This Row],[Reject Preform (kg)]]</f>
        <v>32.9148</v>
      </c>
      <c r="V744" s="37">
        <f>(Table1[[#This Row],[Gross Weight (gm)]]-Table1[[#This Row],[Part Weight (gm)]])*Table1[[#This Row],[Shift Output]]/1000</f>
        <v>0</v>
      </c>
      <c r="W744" s="3">
        <v>0</v>
      </c>
      <c r="X744" s="36">
        <f>Table1[[#This Row],[Reject Startup (kg)]]/Table1[[#This Row],[Material Used]]</f>
        <v>0</v>
      </c>
      <c r="Y744" s="3">
        <v>1</v>
      </c>
      <c r="Z744" s="36">
        <f>Table1[[#This Row],[Reject Prod (kg)]]/Table1[[#This Row],[Material Used]]</f>
        <v>3.038146973397985E-2</v>
      </c>
      <c r="AA744" s="4">
        <v>25.5198650360107</v>
      </c>
      <c r="AB744" s="5">
        <v>15.17</v>
      </c>
      <c r="AC744" s="4" cm="1">
        <f t="array" ref="AC744">IFERROR(INDEX(ReferenceCard, MATCH(1, (INDEX(ReferenceCard,,1)=Table1[[#This Row],[SAP No]]) * (INDEX(ReferenceCard,,2)=Table1[[#This Row],[Mould No]]), 0), 9),)</f>
        <v>12.3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L744" s="2"/>
      <c r="AM744" s="2"/>
      <c r="AN744" s="3">
        <v>0</v>
      </c>
      <c r="AO744" s="3">
        <v>0</v>
      </c>
      <c r="AP744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745" spans="1:42" x14ac:dyDescent="0.35">
      <c r="A745" s="1">
        <v>45999</v>
      </c>
      <c r="B745">
        <v>2</v>
      </c>
      <c r="C745" t="s">
        <v>25</v>
      </c>
      <c r="D745" t="str" cm="1">
        <f t="array" ref="D745">IFERROR(INDEX(ReferenceCard, MATCH(1, (INDEX(ReferenceCard,,1)=Table1[[#This Row],[SAP No]]) * (INDEX(ReferenceCard,,2)=Table1[[#This Row],[Mould No]]), 0), 6),)</f>
        <v>PET</v>
      </c>
      <c r="E745">
        <v>323133</v>
      </c>
      <c r="F745">
        <v>0</v>
      </c>
      <c r="G745" t="str" cm="1">
        <f t="array" ref="G745">IFERROR(INDEX(ReferenceCard, MATCH(1, (INDEX(ReferenceCard,,1)=Table1[[#This Row],[SAP No]]) * (INDEX(ReferenceCard,,2)=Table1[[#This Row],[Mould No]]), 0), 3),)</f>
        <v>BX38-2000-RH-R-CL(GREEN) (ASEM)</v>
      </c>
      <c r="H745">
        <v>0</v>
      </c>
      <c r="I745" cm="1">
        <f t="array" ref="I745">IFERROR(INDEX(ReferenceCard, MATCH(1, (INDEX(ReferenceCard,,1)=Table1[[#This Row],[SAP No]]) * (INDEX(ReferenceCard,,2)=Table1[[#This Row],[Mould No]]), 0), 4),)</f>
        <v>4</v>
      </c>
      <c r="J745" s="4" cm="1">
        <f t="array" ref="J745">IFERROR(INDEX(ReferenceCard, MATCH(1, (INDEX(ReferenceCard,,1)=Table1[[#This Row],[SAP No]]) * (INDEX(ReferenceCard,,2)=Table1[[#This Row],[Mould No]]), 0), 9),)</f>
        <v>77</v>
      </c>
      <c r="K745" s="4" cm="1">
        <f t="array" ref="K745">IFERROR(INDEX(ReferenceCard, MATCH(1, (INDEX(ReferenceCard,,1)=Table1[[#This Row],[SAP No]]) * (INDEX(ReferenceCard,,2)=Table1[[#This Row],[Mould No]]), 0), 7),)</f>
        <v>77</v>
      </c>
      <c r="L745">
        <v>2189</v>
      </c>
      <c r="M745">
        <v>0</v>
      </c>
      <c r="N745">
        <v>0</v>
      </c>
      <c r="O745">
        <v>0</v>
      </c>
      <c r="P745">
        <f>Table1[[#This Row],[Shot]]*Table1[[#This Row],[Cav]]</f>
        <v>8756</v>
      </c>
      <c r="Q745">
        <v>0</v>
      </c>
      <c r="R745">
        <f>(Table1[[#This Row],[Part Weight (gm)]]*Table1[[#This Row],[Finish Good]])/1000</f>
        <v>0</v>
      </c>
      <c r="S745">
        <v>0</v>
      </c>
      <c r="T745">
        <f>IF(Table1[[#This Row],[Qty Order]]="Sample","-",IF(Table1[[#This Row],[Qty Order]]="RTFN","-",Table1[[#This Row],[Qty Order]]-Table1[[#This Row],[Qty Accumulate]]))</f>
        <v>0</v>
      </c>
      <c r="U745">
        <f>((Table1[[#This Row],[Shift Output]]*Table1[[#This Row],[Part Weight (gm)]])/1000)+Table1[[#This Row],[Reject Startup (kg)]]+Table1[[#This Row],[Reject Purging (kg)]]+Table1[[#This Row],[Reject Preform (kg)]]</f>
        <v>678.21199999999999</v>
      </c>
      <c r="V745" s="37">
        <f>(Table1[[#This Row],[Gross Weight (gm)]]-Table1[[#This Row],[Part Weight (gm)]])*Table1[[#This Row],[Shift Output]]/1000</f>
        <v>0</v>
      </c>
      <c r="W745" s="3">
        <v>4</v>
      </c>
      <c r="X745" s="36">
        <f>Table1[[#This Row],[Reject Startup (kg)]]/Table1[[#This Row],[Material Used]]</f>
        <v>5.8978608458712025E-3</v>
      </c>
      <c r="Y745" s="3">
        <v>8</v>
      </c>
      <c r="Z745" s="36">
        <f>Table1[[#This Row],[Reject Prod (kg)]]/Table1[[#This Row],[Material Used]]</f>
        <v>1.1795721691742405E-2</v>
      </c>
      <c r="AA745" s="4">
        <v>37.1996459960937</v>
      </c>
      <c r="AB745" s="5">
        <v>9.9199999999999893</v>
      </c>
      <c r="AC745" s="4" cm="1">
        <f t="array" ref="AC745">IFERROR(INDEX(ReferenceCard, MATCH(1, (INDEX(ReferenceCard,,1)=Table1[[#This Row],[SAP No]]) * (INDEX(ReferenceCard,,2)=Table1[[#This Row],[Mould No]]), 0), 9),)</f>
        <v>77</v>
      </c>
      <c r="AD745" s="5">
        <v>0</v>
      </c>
      <c r="AE745" s="5">
        <v>5.24</v>
      </c>
      <c r="AF745" s="5">
        <v>0</v>
      </c>
      <c r="AG745" s="5">
        <v>0</v>
      </c>
      <c r="AH745" s="5">
        <v>0.01</v>
      </c>
      <c r="AI745" s="5">
        <v>0</v>
      </c>
      <c r="AJ745" s="5">
        <v>0</v>
      </c>
      <c r="AK745" t="s">
        <v>177</v>
      </c>
      <c r="AL745" s="2"/>
      <c r="AM745" s="2"/>
      <c r="AN745" s="3">
        <v>0</v>
      </c>
      <c r="AO745" s="3">
        <v>0</v>
      </c>
      <c r="AP745" s="6">
        <f>((Table1[[#This Row],[Reject Startup (kg)]]+Table1[[#This Row],[Reject Prod (kg)]]+Table1[[#This Row],[Reject Purging (kg)]]+Table1[[#This Row],[Reject Preform (kg)]])/Table1[[#This Row],[Part Weight (gm)]])*1000</f>
        <v>155.84415584415584</v>
      </c>
    </row>
    <row r="746" spans="1:42" x14ac:dyDescent="0.35">
      <c r="A746" s="1">
        <v>45999</v>
      </c>
      <c r="B746">
        <v>2</v>
      </c>
      <c r="C746" t="s">
        <v>27</v>
      </c>
      <c r="D746" t="str" cm="1">
        <f t="array" ref="D746">IFERROR(INDEX(ReferenceCard, MATCH(1, (INDEX(ReferenceCard,,1)=Table1[[#This Row],[SAP No]]) * (INDEX(ReferenceCard,,2)=Table1[[#This Row],[Mould No]]), 0), 6),)</f>
        <v>PPSB520Y</v>
      </c>
      <c r="E746">
        <v>552181</v>
      </c>
      <c r="F746">
        <v>4</v>
      </c>
      <c r="G746" t="str" cm="1">
        <f t="array" ref="G746">IFERROR(INDEX(ReferenceCard, MATCH(1, (INDEX(ReferenceCard,,1)=Table1[[#This Row],[SAP No]]) * (INDEX(ReferenceCard,,2)=Table1[[#This Row],[Mould No]]), 0), 3),)</f>
        <v>BC28-0090-D-APH-5180-3538-PP-6 NOTCHES-MOLD4</v>
      </c>
      <c r="H746">
        <v>0</v>
      </c>
      <c r="I746" cm="1">
        <f t="array" ref="I746">IFERROR(INDEX(ReferenceCard, MATCH(1, (INDEX(ReferenceCard,,1)=Table1[[#This Row],[SAP No]]) * (INDEX(ReferenceCard,,2)=Table1[[#This Row],[Mould No]]), 0), 4),)</f>
        <v>6</v>
      </c>
      <c r="J746" s="4" cm="1">
        <f t="array" ref="J746">IFERROR(INDEX(ReferenceCard, MATCH(1, (INDEX(ReferenceCard,,1)=Table1[[#This Row],[SAP No]]) * (INDEX(ReferenceCard,,2)=Table1[[#This Row],[Mould No]]), 0), 9),)</f>
        <v>18.8</v>
      </c>
      <c r="K746" s="4" cm="1">
        <f t="array" ref="K746">IFERROR(INDEX(ReferenceCard, MATCH(1, (INDEX(ReferenceCard,,1)=Table1[[#This Row],[SAP No]]) * (INDEX(ReferenceCard,,2)=Table1[[#This Row],[Mould No]]), 0), 7),)</f>
        <v>18.8</v>
      </c>
      <c r="L746">
        <v>187</v>
      </c>
      <c r="M746">
        <v>0</v>
      </c>
      <c r="N746">
        <v>0</v>
      </c>
      <c r="O746">
        <v>0</v>
      </c>
      <c r="P746">
        <f>Table1[[#This Row],[Shot]]*Table1[[#This Row],[Cav]]</f>
        <v>1122</v>
      </c>
      <c r="Q746">
        <v>0</v>
      </c>
      <c r="R746">
        <f>(Table1[[#This Row],[Part Weight (gm)]]*Table1[[#This Row],[Finish Good]])/1000</f>
        <v>0</v>
      </c>
      <c r="S746">
        <v>0</v>
      </c>
      <c r="T746">
        <f>IF(Table1[[#This Row],[Qty Order]]="Sample","-",IF(Table1[[#This Row],[Qty Order]]="RTFN","-",Table1[[#This Row],[Qty Order]]-Table1[[#This Row],[Qty Accumulate]]))</f>
        <v>0</v>
      </c>
      <c r="U746">
        <f>((Table1[[#This Row],[Shift Output]]*Table1[[#This Row],[Part Weight (gm)]])/1000)+Table1[[#This Row],[Reject Startup (kg)]]+Table1[[#This Row],[Reject Purging (kg)]]+Table1[[#This Row],[Reject Preform (kg)]]</f>
        <v>30.093600000000002</v>
      </c>
      <c r="V746" s="37">
        <f>(Table1[[#This Row],[Gross Weight (gm)]]-Table1[[#This Row],[Part Weight (gm)]])*Table1[[#This Row],[Shift Output]]/1000</f>
        <v>0</v>
      </c>
      <c r="W746" s="3">
        <v>9</v>
      </c>
      <c r="X746" s="36">
        <f>Table1[[#This Row],[Reject Startup (kg)]]/Table1[[#This Row],[Material Used]]</f>
        <v>0.29906691123694074</v>
      </c>
      <c r="Y746" s="3">
        <v>0</v>
      </c>
      <c r="Z746" s="36">
        <f>Table1[[#This Row],[Reject Prod (kg)]]/Table1[[#This Row],[Material Used]]</f>
        <v>0</v>
      </c>
      <c r="AA746" s="4">
        <v>0</v>
      </c>
      <c r="AB746" s="5">
        <v>0</v>
      </c>
      <c r="AC746" s="4" cm="1">
        <f t="array" ref="AC746">IFERROR(INDEX(ReferenceCard, MATCH(1, (INDEX(ReferenceCard,,1)=Table1[[#This Row],[SAP No]]) * (INDEX(ReferenceCard,,2)=Table1[[#This Row],[Mould No]]), 0), 9),)</f>
        <v>18.8</v>
      </c>
      <c r="AD746" s="5">
        <v>0</v>
      </c>
      <c r="AE746" s="5">
        <v>0</v>
      </c>
      <c r="AF746" s="5">
        <v>0</v>
      </c>
      <c r="AG746" s="5">
        <v>0</v>
      </c>
      <c r="AH746" s="5">
        <v>15.17</v>
      </c>
      <c r="AI746" s="5">
        <v>0</v>
      </c>
      <c r="AJ746" s="5">
        <v>0</v>
      </c>
      <c r="AL746" s="2"/>
      <c r="AM746" s="2"/>
      <c r="AN746" s="3">
        <v>0</v>
      </c>
      <c r="AO746" s="3">
        <v>0</v>
      </c>
      <c r="AP746" s="6">
        <f>((Table1[[#This Row],[Reject Startup (kg)]]+Table1[[#This Row],[Reject Prod (kg)]]+Table1[[#This Row],[Reject Purging (kg)]]+Table1[[#This Row],[Reject Preform (kg)]])/Table1[[#This Row],[Part Weight (gm)]])*1000</f>
        <v>478.72340425531911</v>
      </c>
    </row>
    <row r="747" spans="1:42" x14ac:dyDescent="0.35">
      <c r="A747" s="1">
        <v>45999</v>
      </c>
      <c r="B747">
        <v>2</v>
      </c>
      <c r="C747" t="s">
        <v>29</v>
      </c>
      <c r="D747" t="str" cm="1">
        <f t="array" ref="D747">IFERROR(INDEX(ReferenceCard, MATCH(1, (INDEX(ReferenceCard,,1)=Table1[[#This Row],[SAP No]]) * (INDEX(ReferenceCard,,2)=Table1[[#This Row],[Mould No]]), 0), 6),)</f>
        <v>PET</v>
      </c>
      <c r="E747">
        <v>620599</v>
      </c>
      <c r="F747">
        <v>0</v>
      </c>
      <c r="G747" t="str" cm="1">
        <f t="array" ref="G747">IFERROR(INDEX(ReferenceCard, MATCH(1, (INDEX(ReferenceCard,,1)=Table1[[#This Row],[SAP No]]) * (INDEX(ReferenceCard,,2)=Table1[[#This Row],[Mould No]]), 0), 3),)</f>
        <v>BC28-0750-K4-R-CL (55g)</v>
      </c>
      <c r="H747">
        <v>0</v>
      </c>
      <c r="I747" cm="1">
        <f t="array" ref="I747">IFERROR(INDEX(ReferenceCard, MATCH(1, (INDEX(ReferenceCard,,1)=Table1[[#This Row],[SAP No]]) * (INDEX(ReferenceCard,,2)=Table1[[#This Row],[Mould No]]), 0), 4),)</f>
        <v>4</v>
      </c>
      <c r="J747" s="4" cm="1">
        <f t="array" ref="J747">IFERROR(INDEX(ReferenceCard, MATCH(1, (INDEX(ReferenceCard,,1)=Table1[[#This Row],[SAP No]]) * (INDEX(ReferenceCard,,2)=Table1[[#This Row],[Mould No]]), 0), 9),)</f>
        <v>55</v>
      </c>
      <c r="K747" s="4" cm="1">
        <f t="array" ref="K747">IFERROR(INDEX(ReferenceCard, MATCH(1, (INDEX(ReferenceCard,,1)=Table1[[#This Row],[SAP No]]) * (INDEX(ReferenceCard,,2)=Table1[[#This Row],[Mould No]]), 0), 7),)</f>
        <v>55</v>
      </c>
      <c r="L747">
        <v>403</v>
      </c>
      <c r="M747">
        <v>0</v>
      </c>
      <c r="N747">
        <v>0</v>
      </c>
      <c r="O747">
        <v>0</v>
      </c>
      <c r="P747">
        <f>Table1[[#This Row],[Shot]]*Table1[[#This Row],[Cav]]</f>
        <v>1612</v>
      </c>
      <c r="Q747">
        <v>0</v>
      </c>
      <c r="R747">
        <f>(Table1[[#This Row],[Part Weight (gm)]]*Table1[[#This Row],[Finish Good]])/1000</f>
        <v>0</v>
      </c>
      <c r="S747">
        <v>0</v>
      </c>
      <c r="T747">
        <f>IF(Table1[[#This Row],[Qty Order]]="Sample","-",IF(Table1[[#This Row],[Qty Order]]="RTFN","-",Table1[[#This Row],[Qty Order]]-Table1[[#This Row],[Qty Accumulate]]))</f>
        <v>0</v>
      </c>
      <c r="U747">
        <f>((Table1[[#This Row],[Shift Output]]*Table1[[#This Row],[Part Weight (gm)]])/1000)+Table1[[#This Row],[Reject Startup (kg)]]+Table1[[#This Row],[Reject Purging (kg)]]+Table1[[#This Row],[Reject Preform (kg)]]</f>
        <v>88.66</v>
      </c>
      <c r="V747" s="37">
        <f>(Table1[[#This Row],[Gross Weight (gm)]]-Table1[[#This Row],[Part Weight (gm)]])*Table1[[#This Row],[Shift Output]]/1000</f>
        <v>0</v>
      </c>
      <c r="W747" s="3">
        <v>0</v>
      </c>
      <c r="X747" s="36">
        <f>Table1[[#This Row],[Reject Startup (kg)]]/Table1[[#This Row],[Material Used]]</f>
        <v>0</v>
      </c>
      <c r="Y747" s="3">
        <v>34</v>
      </c>
      <c r="Z747" s="36">
        <f>Table1[[#This Row],[Reject Prod (kg)]]/Table1[[#This Row],[Material Used]]</f>
        <v>0.38348748026167384</v>
      </c>
      <c r="AA747" s="4">
        <v>28.2043952941894</v>
      </c>
      <c r="AB747" s="5">
        <v>15.17</v>
      </c>
      <c r="AC747" s="4" cm="1">
        <f t="array" ref="AC747">IFERROR(INDEX(ReferenceCard, MATCH(1, (INDEX(ReferenceCard,,1)=Table1[[#This Row],[SAP No]]) * (INDEX(ReferenceCard,,2)=Table1[[#This Row],[Mould No]]), 0), 9),)</f>
        <v>55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L747" s="2"/>
      <c r="AM747" s="2"/>
      <c r="AN747" s="3">
        <v>0</v>
      </c>
      <c r="AO747" s="3">
        <v>0</v>
      </c>
      <c r="AP747" s="6">
        <f>((Table1[[#This Row],[Reject Startup (kg)]]+Table1[[#This Row],[Reject Prod (kg)]]+Table1[[#This Row],[Reject Purging (kg)]]+Table1[[#This Row],[Reject Preform (kg)]])/Table1[[#This Row],[Part Weight (gm)]])*1000</f>
        <v>618.18181818181813</v>
      </c>
    </row>
    <row r="748" spans="1:42" x14ac:dyDescent="0.35">
      <c r="A748" s="1">
        <v>45999</v>
      </c>
      <c r="B748">
        <v>2</v>
      </c>
      <c r="C748" t="s">
        <v>31</v>
      </c>
      <c r="D748" t="str" cm="1">
        <f t="array" ref="D748">IFERROR(INDEX(ReferenceCard, MATCH(1, (INDEX(ReferenceCard,,1)=Table1[[#This Row],[SAP No]]) * (INDEX(ReferenceCard,,2)=Table1[[#This Row],[Mould No]]), 0), 6),)</f>
        <v>PPSB520Y</v>
      </c>
      <c r="E748">
        <v>586276</v>
      </c>
      <c r="F748">
        <v>4</v>
      </c>
      <c r="G748" t="str" cm="1">
        <f t="array" ref="G748">IFERROR(INDEX(ReferenceCard, MATCH(1, (INDEX(ReferenceCard,,1)=Table1[[#This Row],[SAP No]]) * (INDEX(ReferenceCard,,2)=Table1[[#This Row],[Mould No]]), 0), 3),)</f>
        <v>BC28-0056-D-APH-LEB-604001-MOLD4</v>
      </c>
      <c r="H748">
        <v>0</v>
      </c>
      <c r="I748" cm="1">
        <f t="array" ref="I748">IFERROR(INDEX(ReferenceCard, MATCH(1, (INDEX(ReferenceCard,,1)=Table1[[#This Row],[SAP No]]) * (INDEX(ReferenceCard,,2)=Table1[[#This Row],[Mould No]]), 0), 4),)</f>
        <v>6</v>
      </c>
      <c r="J748" s="4" cm="1">
        <f t="array" ref="J748">IFERROR(INDEX(ReferenceCard, MATCH(1, (INDEX(ReferenceCard,,1)=Table1[[#This Row],[SAP No]]) * (INDEX(ReferenceCard,,2)=Table1[[#This Row],[Mould No]]), 0), 9),)</f>
        <v>12.3</v>
      </c>
      <c r="K748" s="4" cm="1">
        <f t="array" ref="K748">IFERROR(INDEX(ReferenceCard, MATCH(1, (INDEX(ReferenceCard,,1)=Table1[[#This Row],[SAP No]]) * (INDEX(ReferenceCard,,2)=Table1[[#This Row],[Mould No]]), 0), 7),)</f>
        <v>12.3</v>
      </c>
      <c r="L748">
        <v>438</v>
      </c>
      <c r="M748">
        <v>0</v>
      </c>
      <c r="N748">
        <v>0</v>
      </c>
      <c r="O748">
        <v>0</v>
      </c>
      <c r="P748">
        <f>Table1[[#This Row],[Shot]]*Table1[[#This Row],[Cav]]</f>
        <v>2628</v>
      </c>
      <c r="Q748">
        <v>0</v>
      </c>
      <c r="R748">
        <f>(Table1[[#This Row],[Part Weight (gm)]]*Table1[[#This Row],[Finish Good]])/1000</f>
        <v>0</v>
      </c>
      <c r="S748">
        <v>0</v>
      </c>
      <c r="T748">
        <f>IF(Table1[[#This Row],[Qty Order]]="Sample","-",IF(Table1[[#This Row],[Qty Order]]="RTFN","-",Table1[[#This Row],[Qty Order]]-Table1[[#This Row],[Qty Accumulate]]))</f>
        <v>0</v>
      </c>
      <c r="U748">
        <f>((Table1[[#This Row],[Shift Output]]*Table1[[#This Row],[Part Weight (gm)]])/1000)+Table1[[#This Row],[Reject Startup (kg)]]+Table1[[#This Row],[Reject Purging (kg)]]+Table1[[#This Row],[Reject Preform (kg)]]</f>
        <v>32.324400000000004</v>
      </c>
      <c r="V748" s="37">
        <f>(Table1[[#This Row],[Gross Weight (gm)]]-Table1[[#This Row],[Part Weight (gm)]])*Table1[[#This Row],[Shift Output]]/1000</f>
        <v>0</v>
      </c>
      <c r="W748" s="3">
        <v>0</v>
      </c>
      <c r="X748" s="36">
        <f>Table1[[#This Row],[Reject Startup (kg)]]/Table1[[#This Row],[Material Used]]</f>
        <v>0</v>
      </c>
      <c r="Y748" s="3">
        <v>3</v>
      </c>
      <c r="Z748" s="36">
        <f>Table1[[#This Row],[Reject Prod (kg)]]/Table1[[#This Row],[Material Used]]</f>
        <v>9.2809147269554873E-2</v>
      </c>
      <c r="AA748" s="4">
        <v>29.7962036132812</v>
      </c>
      <c r="AB748" s="5">
        <v>2.6099999999999901</v>
      </c>
      <c r="AC748" s="4" cm="1">
        <f t="array" ref="AC748">IFERROR(INDEX(ReferenceCard, MATCH(1, (INDEX(ReferenceCard,,1)=Table1[[#This Row],[SAP No]]) * (INDEX(ReferenceCard,,2)=Table1[[#This Row],[Mould No]]), 0), 9),)</f>
        <v>12.3</v>
      </c>
      <c r="AD748" s="5">
        <v>0</v>
      </c>
      <c r="AE748" s="5">
        <v>0</v>
      </c>
      <c r="AF748" s="5">
        <v>0</v>
      </c>
      <c r="AG748" s="5">
        <v>0</v>
      </c>
      <c r="AH748" s="5">
        <v>12.56</v>
      </c>
      <c r="AI748" s="5">
        <v>0</v>
      </c>
      <c r="AJ748" s="5">
        <v>0</v>
      </c>
      <c r="AL748" s="2"/>
      <c r="AM748" s="2"/>
      <c r="AN748" s="3">
        <v>0</v>
      </c>
      <c r="AO748" s="3">
        <v>0</v>
      </c>
      <c r="AP748" s="6">
        <f>((Table1[[#This Row],[Reject Startup (kg)]]+Table1[[#This Row],[Reject Prod (kg)]]+Table1[[#This Row],[Reject Purging (kg)]]+Table1[[#This Row],[Reject Preform (kg)]])/Table1[[#This Row],[Part Weight (gm)]])*1000</f>
        <v>243.90243902439025</v>
      </c>
    </row>
    <row r="749" spans="1:42" x14ac:dyDescent="0.35">
      <c r="A749" s="1">
        <v>45999</v>
      </c>
      <c r="B749">
        <v>2</v>
      </c>
      <c r="C749" t="s">
        <v>33</v>
      </c>
      <c r="D749" t="str" cm="1">
        <f t="array" ref="D749">IFERROR(INDEX(ReferenceCard, MATCH(1, (INDEX(ReferenceCard,,1)=Table1[[#This Row],[SAP No]]) * (INDEX(ReferenceCard,,2)=Table1[[#This Row],[Mould No]]), 0), 6),)</f>
        <v>PET</v>
      </c>
      <c r="E749">
        <v>541381</v>
      </c>
      <c r="F749">
        <v>0</v>
      </c>
      <c r="G749" t="str" cm="1">
        <f t="array" ref="G749">IFERROR(INDEX(ReferenceCard, MATCH(1, (INDEX(ReferenceCard,,1)=Table1[[#This Row],[SAP No]]) * (INDEX(ReferenceCard,,2)=Table1[[#This Row],[Mould No]]), 0), 3),)</f>
        <v>BC28-1200-K-R-CL</v>
      </c>
      <c r="H749">
        <v>0</v>
      </c>
      <c r="I749" cm="1">
        <f t="array" ref="I749">IFERROR(INDEX(ReferenceCard, MATCH(1, (INDEX(ReferenceCard,,1)=Table1[[#This Row],[SAP No]]) * (INDEX(ReferenceCard,,2)=Table1[[#This Row],[Mould No]]), 0), 4),)</f>
        <v>4</v>
      </c>
      <c r="J749" s="4" cm="1">
        <f t="array" ref="J749">IFERROR(INDEX(ReferenceCard, MATCH(1, (INDEX(ReferenceCard,,1)=Table1[[#This Row],[SAP No]]) * (INDEX(ReferenceCard,,2)=Table1[[#This Row],[Mould No]]), 0), 9),)</f>
        <v>55</v>
      </c>
      <c r="K749" s="4" cm="1">
        <f t="array" ref="K749">IFERROR(INDEX(ReferenceCard, MATCH(1, (INDEX(ReferenceCard,,1)=Table1[[#This Row],[SAP No]]) * (INDEX(ReferenceCard,,2)=Table1[[#This Row],[Mould No]]), 0), 7),)</f>
        <v>55</v>
      </c>
      <c r="L749">
        <v>43</v>
      </c>
      <c r="M749">
        <v>0</v>
      </c>
      <c r="N749">
        <v>0</v>
      </c>
      <c r="O749">
        <v>0</v>
      </c>
      <c r="P749">
        <f>Table1[[#This Row],[Shot]]*Table1[[#This Row],[Cav]]</f>
        <v>172</v>
      </c>
      <c r="Q749">
        <v>0</v>
      </c>
      <c r="R749">
        <f>(Table1[[#This Row],[Part Weight (gm)]]*Table1[[#This Row],[Finish Good]])/1000</f>
        <v>0</v>
      </c>
      <c r="S749">
        <v>0</v>
      </c>
      <c r="T749">
        <f>IF(Table1[[#This Row],[Qty Order]]="Sample","-",IF(Table1[[#This Row],[Qty Order]]="RTFN","-",Table1[[#This Row],[Qty Order]]-Table1[[#This Row],[Qty Accumulate]]))</f>
        <v>0</v>
      </c>
      <c r="U749">
        <f>((Table1[[#This Row],[Shift Output]]*Table1[[#This Row],[Part Weight (gm)]])/1000)+Table1[[#This Row],[Reject Startup (kg)]]+Table1[[#This Row],[Reject Purging (kg)]]+Table1[[#This Row],[Reject Preform (kg)]]</f>
        <v>17.46</v>
      </c>
      <c r="V749" s="37">
        <f>(Table1[[#This Row],[Gross Weight (gm)]]-Table1[[#This Row],[Part Weight (gm)]])*Table1[[#This Row],[Shift Output]]/1000</f>
        <v>0</v>
      </c>
      <c r="W749" s="3">
        <v>8</v>
      </c>
      <c r="X749" s="36">
        <f>Table1[[#This Row],[Reject Startup (kg)]]/Table1[[#This Row],[Material Used]]</f>
        <v>0.45819014891179838</v>
      </c>
      <c r="Y749" s="3">
        <v>0</v>
      </c>
      <c r="Z749" s="36">
        <f>Table1[[#This Row],[Reject Prod (kg)]]/Table1[[#This Row],[Material Used]]</f>
        <v>0</v>
      </c>
      <c r="AA749" s="4">
        <v>0</v>
      </c>
      <c r="AB749" s="5">
        <v>0</v>
      </c>
      <c r="AC749" s="4" cm="1">
        <f t="array" ref="AC749">IFERROR(INDEX(ReferenceCard, MATCH(1, (INDEX(ReferenceCard,,1)=Table1[[#This Row],[SAP No]]) * (INDEX(ReferenceCard,,2)=Table1[[#This Row],[Mould No]]), 0), 9),)</f>
        <v>55</v>
      </c>
      <c r="AD749" s="5">
        <v>10.5399999999999</v>
      </c>
      <c r="AE749" s="5">
        <v>0</v>
      </c>
      <c r="AF749" s="5">
        <v>0</v>
      </c>
      <c r="AG749" s="5">
        <v>4.6299999999999901</v>
      </c>
      <c r="AH749" s="5">
        <v>0</v>
      </c>
      <c r="AI749" s="5">
        <v>0</v>
      </c>
      <c r="AJ749" s="5">
        <v>0</v>
      </c>
      <c r="AK749" t="s">
        <v>178</v>
      </c>
      <c r="AL749" s="2" t="s">
        <v>179</v>
      </c>
      <c r="AM749" s="2" t="s">
        <v>180</v>
      </c>
      <c r="AN749" s="3"/>
      <c r="AO749" s="3"/>
      <c r="AP749" s="6">
        <f>((Table1[[#This Row],[Reject Startup (kg)]]+Table1[[#This Row],[Reject Prod (kg)]]+Table1[[#This Row],[Reject Purging (kg)]]+Table1[[#This Row],[Reject Preform (kg)]])/Table1[[#This Row],[Part Weight (gm)]])*1000</f>
        <v>145.45454545454544</v>
      </c>
    </row>
    <row r="750" spans="1:42" x14ac:dyDescent="0.35">
      <c r="A750" s="1">
        <v>45999</v>
      </c>
      <c r="B750">
        <v>2</v>
      </c>
      <c r="C750" t="s">
        <v>35</v>
      </c>
      <c r="D750" t="str" cm="1">
        <f t="array" ref="D750">IFERROR(INDEX(ReferenceCard, MATCH(1, (INDEX(ReferenceCard,,1)=Table1[[#This Row],[SAP No]]) * (INDEX(ReferenceCard,,2)=Table1[[#This Row],[Mould No]]), 0), 6),)</f>
        <v>PPSB520Y</v>
      </c>
      <c r="E750">
        <v>552181</v>
      </c>
      <c r="F750">
        <v>1</v>
      </c>
      <c r="G750" t="str" cm="1">
        <f t="array" ref="G750">IFERROR(INDEX(ReferenceCard, MATCH(1, (INDEX(ReferenceCard,,1)=Table1[[#This Row],[SAP No]]) * (INDEX(ReferenceCard,,2)=Table1[[#This Row],[Mould No]]), 0), 3),)</f>
        <v>BC28-0090-D-APH-5180-3538-PP-6 NOTCHES-MOLD1</v>
      </c>
      <c r="H750">
        <v>0</v>
      </c>
      <c r="I750" cm="1">
        <f t="array" ref="I750">IFERROR(INDEX(ReferenceCard, MATCH(1, (INDEX(ReferenceCard,,1)=Table1[[#This Row],[SAP No]]) * (INDEX(ReferenceCard,,2)=Table1[[#This Row],[Mould No]]), 0), 4),)</f>
        <v>6</v>
      </c>
      <c r="J750" s="4" cm="1">
        <f t="array" ref="J750">IFERROR(INDEX(ReferenceCard, MATCH(1, (INDEX(ReferenceCard,,1)=Table1[[#This Row],[SAP No]]) * (INDEX(ReferenceCard,,2)=Table1[[#This Row],[Mould No]]), 0), 9),)</f>
        <v>18.8</v>
      </c>
      <c r="K750" s="4" cm="1">
        <f t="array" ref="K750">IFERROR(INDEX(ReferenceCard, MATCH(1, (INDEX(ReferenceCard,,1)=Table1[[#This Row],[SAP No]]) * (INDEX(ReferenceCard,,2)=Table1[[#This Row],[Mould No]]), 0), 7),)</f>
        <v>18.8</v>
      </c>
      <c r="L750">
        <v>1016</v>
      </c>
      <c r="M750">
        <v>0</v>
      </c>
      <c r="N750">
        <v>0</v>
      </c>
      <c r="O750">
        <v>0</v>
      </c>
      <c r="P750">
        <f>Table1[[#This Row],[Shot]]*Table1[[#This Row],[Cav]]</f>
        <v>6096</v>
      </c>
      <c r="Q750">
        <v>0</v>
      </c>
      <c r="R750">
        <f>(Table1[[#This Row],[Part Weight (gm)]]*Table1[[#This Row],[Finish Good]])/1000</f>
        <v>0</v>
      </c>
      <c r="S750">
        <v>0</v>
      </c>
      <c r="T750">
        <f>IF(Table1[[#This Row],[Qty Order]]="Sample","-",IF(Table1[[#This Row],[Qty Order]]="RTFN","-",Table1[[#This Row],[Qty Order]]-Table1[[#This Row],[Qty Accumulate]]))</f>
        <v>0</v>
      </c>
      <c r="U750">
        <f>((Table1[[#This Row],[Shift Output]]*Table1[[#This Row],[Part Weight (gm)]])/1000)+Table1[[#This Row],[Reject Startup (kg)]]+Table1[[#This Row],[Reject Purging (kg)]]+Table1[[#This Row],[Reject Preform (kg)]]</f>
        <v>114.6048</v>
      </c>
      <c r="V750" s="37">
        <f>(Table1[[#This Row],[Gross Weight (gm)]]-Table1[[#This Row],[Part Weight (gm)]])*Table1[[#This Row],[Shift Output]]/1000</f>
        <v>0</v>
      </c>
      <c r="W750" s="3">
        <v>0</v>
      </c>
      <c r="X750" s="36">
        <f>Table1[[#This Row],[Reject Startup (kg)]]/Table1[[#This Row],[Material Used]]</f>
        <v>0</v>
      </c>
      <c r="Y750" s="3">
        <v>6</v>
      </c>
      <c r="Z750" s="36">
        <f>Table1[[#This Row],[Reject Prod (kg)]]/Table1[[#This Row],[Material Used]]</f>
        <v>5.2353828111911548E-2</v>
      </c>
      <c r="AA750" s="4">
        <v>31.774700164794901</v>
      </c>
      <c r="AB750" s="5">
        <v>15.1</v>
      </c>
      <c r="AC750" s="4" cm="1">
        <f t="array" ref="AC750">IFERROR(INDEX(ReferenceCard, MATCH(1, (INDEX(ReferenceCard,,1)=Table1[[#This Row],[SAP No]]) * (INDEX(ReferenceCard,,2)=Table1[[#This Row],[Mould No]]), 0), 9),)</f>
        <v>18.8</v>
      </c>
      <c r="AD750" s="5">
        <v>0</v>
      </c>
      <c r="AE750" s="5">
        <v>0</v>
      </c>
      <c r="AF750" s="5">
        <v>0</v>
      </c>
      <c r="AG750" s="5">
        <v>0</v>
      </c>
      <c r="AH750" s="5">
        <v>7.0000000000000007E-2</v>
      </c>
      <c r="AI750" s="5">
        <v>0</v>
      </c>
      <c r="AJ750" s="5">
        <v>0</v>
      </c>
      <c r="AL750" s="2"/>
      <c r="AM750" s="2"/>
      <c r="AN750" s="3">
        <v>0</v>
      </c>
      <c r="AO750" s="3">
        <v>0</v>
      </c>
      <c r="AP750" s="6">
        <f>((Table1[[#This Row],[Reject Startup (kg)]]+Table1[[#This Row],[Reject Prod (kg)]]+Table1[[#This Row],[Reject Purging (kg)]]+Table1[[#This Row],[Reject Preform (kg)]])/Table1[[#This Row],[Part Weight (gm)]])*1000</f>
        <v>319.14893617021272</v>
      </c>
    </row>
    <row r="751" spans="1:42" x14ac:dyDescent="0.35">
      <c r="A751" s="1">
        <v>45999</v>
      </c>
      <c r="B751">
        <v>2</v>
      </c>
      <c r="C751" t="s">
        <v>18</v>
      </c>
      <c r="D751" t="str" cm="1">
        <f t="array" ref="D751">IFERROR(INDEX(ReferenceCard, MATCH(1, (INDEX(ReferenceCard,,1)=Table1[[#This Row],[SAP No]]) * (INDEX(ReferenceCard,,2)=Table1[[#This Row],[Mould No]]), 0), 6),)</f>
        <v>PPSB520Y</v>
      </c>
      <c r="E751">
        <v>555979</v>
      </c>
      <c r="F751">
        <v>4</v>
      </c>
      <c r="G751" t="str" cm="1">
        <f t="array" ref="G751">IFERROR(INDEX(ReferenceCard, MATCH(1, (INDEX(ReferenceCard,,1)=Table1[[#This Row],[SAP No]]) * (INDEX(ReferenceCard,,2)=Table1[[#This Row],[Mould No]]), 0), 3),)</f>
        <v>BC28-0170-D-APH-5180-3539-PP-6 NOTCHES-MOLD4</v>
      </c>
      <c r="H751">
        <v>0</v>
      </c>
      <c r="I751" cm="1">
        <f t="array" ref="I751">IFERROR(INDEX(ReferenceCard, MATCH(1, (INDEX(ReferenceCard,,1)=Table1[[#This Row],[SAP No]]) * (INDEX(ReferenceCard,,2)=Table1[[#This Row],[Mould No]]), 0), 4),)</f>
        <v>6</v>
      </c>
      <c r="J751" s="4" cm="1">
        <f t="array" ref="J751">IFERROR(INDEX(ReferenceCard, MATCH(1, (INDEX(ReferenceCard,,1)=Table1[[#This Row],[SAP No]]) * (INDEX(ReferenceCard,,2)=Table1[[#This Row],[Mould No]]), 0), 9),)</f>
        <v>28</v>
      </c>
      <c r="K751" s="4" cm="1">
        <f t="array" ref="K751">IFERROR(INDEX(ReferenceCard, MATCH(1, (INDEX(ReferenceCard,,1)=Table1[[#This Row],[SAP No]]) * (INDEX(ReferenceCard,,2)=Table1[[#This Row],[Mould No]]), 0), 7),)</f>
        <v>28</v>
      </c>
      <c r="L751">
        <v>999</v>
      </c>
      <c r="M751">
        <v>0</v>
      </c>
      <c r="N751">
        <v>0</v>
      </c>
      <c r="O751">
        <v>0</v>
      </c>
      <c r="P751">
        <f>Table1[[#This Row],[Shot]]*Table1[[#This Row],[Cav]]</f>
        <v>5994</v>
      </c>
      <c r="Q751">
        <v>0</v>
      </c>
      <c r="R751">
        <f>(Table1[[#This Row],[Part Weight (gm)]]*Table1[[#This Row],[Finish Good]])/1000</f>
        <v>0</v>
      </c>
      <c r="S751">
        <v>0</v>
      </c>
      <c r="T751">
        <f>IF(Table1[[#This Row],[Qty Order]]="Sample","-",IF(Table1[[#This Row],[Qty Order]]="RTFN","-",Table1[[#This Row],[Qty Order]]-Table1[[#This Row],[Qty Accumulate]]))</f>
        <v>0</v>
      </c>
      <c r="U751">
        <f>((Table1[[#This Row],[Shift Output]]*Table1[[#This Row],[Part Weight (gm)]])/1000)+Table1[[#This Row],[Reject Startup (kg)]]+Table1[[#This Row],[Reject Purging (kg)]]+Table1[[#This Row],[Reject Preform (kg)]]</f>
        <v>167.83199999999999</v>
      </c>
      <c r="V751" s="37">
        <f>(Table1[[#This Row],[Gross Weight (gm)]]-Table1[[#This Row],[Part Weight (gm)]])*Table1[[#This Row],[Shift Output]]/1000</f>
        <v>0</v>
      </c>
      <c r="W751" s="3">
        <v>0</v>
      </c>
      <c r="X751" s="36">
        <f>Table1[[#This Row],[Reject Startup (kg)]]/Table1[[#This Row],[Material Used]]</f>
        <v>0</v>
      </c>
      <c r="Y751" s="3">
        <v>3</v>
      </c>
      <c r="Z751" s="36">
        <f>Table1[[#This Row],[Reject Prod (kg)]]/Table1[[#This Row],[Material Used]]</f>
        <v>1.7875017875017874E-2</v>
      </c>
      <c r="AA751" s="4">
        <v>43.5</v>
      </c>
      <c r="AB751" s="5">
        <v>12</v>
      </c>
      <c r="AC751" s="4" cm="1">
        <f t="array" ref="AC751">IFERROR(INDEX(ReferenceCard, MATCH(1, (INDEX(ReferenceCard,,1)=Table1[[#This Row],[SAP No]]) * (INDEX(ReferenceCard,,2)=Table1[[#This Row],[Mould No]]), 0), 9),)</f>
        <v>28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L751" s="2"/>
      <c r="AM751" s="2"/>
      <c r="AN751" s="3">
        <v>0</v>
      </c>
      <c r="AO751" s="3">
        <v>0</v>
      </c>
      <c r="AP751" s="6">
        <f>((Table1[[#This Row],[Reject Startup (kg)]]+Table1[[#This Row],[Reject Prod (kg)]]+Table1[[#This Row],[Reject Purging (kg)]]+Table1[[#This Row],[Reject Preform (kg)]])/Table1[[#This Row],[Part Weight (gm)]])*1000</f>
        <v>107.14285714285714</v>
      </c>
    </row>
    <row r="752" spans="1:42" x14ac:dyDescent="0.35">
      <c r="A752" s="1">
        <v>45999</v>
      </c>
      <c r="B752">
        <v>1</v>
      </c>
      <c r="C752" t="s">
        <v>18</v>
      </c>
      <c r="D752" t="str" cm="1">
        <f t="array" ref="D752">IFERROR(INDEX(ReferenceCard, MATCH(1, (INDEX(ReferenceCard,,1)=Table1[[#This Row],[SAP No]]) * (INDEX(ReferenceCard,,2)=Table1[[#This Row],[Mould No]]), 0), 6),)</f>
        <v>PPSB520Y</v>
      </c>
      <c r="E752">
        <v>555979</v>
      </c>
      <c r="F752">
        <v>4</v>
      </c>
      <c r="G752" t="str" cm="1">
        <f t="array" ref="G752">IFERROR(INDEX(ReferenceCard, MATCH(1, (INDEX(ReferenceCard,,1)=Table1[[#This Row],[SAP No]]) * (INDEX(ReferenceCard,,2)=Table1[[#This Row],[Mould No]]), 0), 3),)</f>
        <v>BC28-0170-D-APH-5180-3539-PP-6 NOTCHES-MOLD4</v>
      </c>
      <c r="H752">
        <v>0</v>
      </c>
      <c r="I752" cm="1">
        <f t="array" ref="I752">IFERROR(INDEX(ReferenceCard, MATCH(1, (INDEX(ReferenceCard,,1)=Table1[[#This Row],[SAP No]]) * (INDEX(ReferenceCard,,2)=Table1[[#This Row],[Mould No]]), 0), 4),)</f>
        <v>6</v>
      </c>
      <c r="J752" s="4" cm="1">
        <f t="array" ref="J752">IFERROR(INDEX(ReferenceCard, MATCH(1, (INDEX(ReferenceCard,,1)=Table1[[#This Row],[SAP No]]) * (INDEX(ReferenceCard,,2)=Table1[[#This Row],[Mould No]]), 0), 9),)</f>
        <v>28</v>
      </c>
      <c r="K752" s="4" cm="1">
        <f t="array" ref="K752">IFERROR(INDEX(ReferenceCard, MATCH(1, (INDEX(ReferenceCard,,1)=Table1[[#This Row],[SAP No]]) * (INDEX(ReferenceCard,,2)=Table1[[#This Row],[Mould No]]), 0), 7),)</f>
        <v>28</v>
      </c>
      <c r="L752">
        <v>756</v>
      </c>
      <c r="M752">
        <v>0</v>
      </c>
      <c r="N752">
        <v>0</v>
      </c>
      <c r="O752">
        <v>0</v>
      </c>
      <c r="P752">
        <f>Table1[[#This Row],[Shot]]*Table1[[#This Row],[Cav]]</f>
        <v>4536</v>
      </c>
      <c r="Q752">
        <v>0</v>
      </c>
      <c r="R752">
        <f>(Table1[[#This Row],[Part Weight (gm)]]*Table1[[#This Row],[Finish Good]])/1000</f>
        <v>0</v>
      </c>
      <c r="S752">
        <v>0</v>
      </c>
      <c r="T752">
        <f>IF(Table1[[#This Row],[Qty Order]]="Sample","-",IF(Table1[[#This Row],[Qty Order]]="RTFN","-",Table1[[#This Row],[Qty Order]]-Table1[[#This Row],[Qty Accumulate]]))</f>
        <v>0</v>
      </c>
      <c r="U752">
        <f>((Table1[[#This Row],[Shift Output]]*Table1[[#This Row],[Part Weight (gm)]])/1000)+Table1[[#This Row],[Reject Startup (kg)]]+Table1[[#This Row],[Reject Purging (kg)]]+Table1[[#This Row],[Reject Preform (kg)]]</f>
        <v>141.00799999999998</v>
      </c>
      <c r="V752" s="37">
        <f>(Table1[[#This Row],[Gross Weight (gm)]]-Table1[[#This Row],[Part Weight (gm)]])*Table1[[#This Row],[Shift Output]]/1000</f>
        <v>0</v>
      </c>
      <c r="W752" s="3">
        <v>10</v>
      </c>
      <c r="X752" s="36">
        <f>Table1[[#This Row],[Reject Startup (kg)]]/Table1[[#This Row],[Material Used]]</f>
        <v>7.0917962101441065E-2</v>
      </c>
      <c r="Y752" s="3">
        <v>15</v>
      </c>
      <c r="Z752" s="36">
        <f>Table1[[#This Row],[Reject Prod (kg)]]/Table1[[#This Row],[Material Used]]</f>
        <v>0.10637694315216159</v>
      </c>
      <c r="AA752" s="4">
        <v>43.5</v>
      </c>
      <c r="AB752" s="5">
        <v>9</v>
      </c>
      <c r="AC752" s="4" cm="1">
        <f t="array" ref="AC752">IFERROR(INDEX(ReferenceCard, MATCH(1, (INDEX(ReferenceCard,,1)=Table1[[#This Row],[SAP No]]) * (INDEX(ReferenceCard,,2)=Table1[[#This Row],[Mould No]]), 0), 9),)</f>
        <v>28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3</v>
      </c>
      <c r="AJ752" s="5">
        <v>0</v>
      </c>
      <c r="AL752" s="2"/>
      <c r="AM752" s="2"/>
      <c r="AN752" s="3">
        <v>2</v>
      </c>
      <c r="AO752" s="3">
        <v>2</v>
      </c>
      <c r="AP752" s="6">
        <f>((Table1[[#This Row],[Reject Startup (kg)]]+Table1[[#This Row],[Reject Prod (kg)]]+Table1[[#This Row],[Reject Purging (kg)]]+Table1[[#This Row],[Reject Preform (kg)]])/Table1[[#This Row],[Part Weight (gm)]])*1000</f>
        <v>1035.7142857142858</v>
      </c>
    </row>
    <row r="753" spans="1:42" x14ac:dyDescent="0.35">
      <c r="A753" s="1">
        <v>45999</v>
      </c>
      <c r="B753">
        <v>1</v>
      </c>
      <c r="C753" t="s">
        <v>35</v>
      </c>
      <c r="D753" t="str" cm="1">
        <f t="array" ref="D753">IFERROR(INDEX(ReferenceCard, MATCH(1, (INDEX(ReferenceCard,,1)=Table1[[#This Row],[SAP No]]) * (INDEX(ReferenceCard,,2)=Table1[[#This Row],[Mould No]]), 0), 6),)</f>
        <v>PPSB520Y</v>
      </c>
      <c r="E753">
        <v>552181</v>
      </c>
      <c r="F753">
        <v>1</v>
      </c>
      <c r="G753" t="str" cm="1">
        <f t="array" ref="G753">IFERROR(INDEX(ReferenceCard, MATCH(1, (INDEX(ReferenceCard,,1)=Table1[[#This Row],[SAP No]]) * (INDEX(ReferenceCard,,2)=Table1[[#This Row],[Mould No]]), 0), 3),)</f>
        <v>BC28-0090-D-APH-5180-3538-PP-6 NOTCHES-MOLD1</v>
      </c>
      <c r="H753">
        <v>0</v>
      </c>
      <c r="I753" cm="1">
        <f t="array" ref="I753">IFERROR(INDEX(ReferenceCard, MATCH(1, (INDEX(ReferenceCard,,1)=Table1[[#This Row],[SAP No]]) * (INDEX(ReferenceCard,,2)=Table1[[#This Row],[Mould No]]), 0), 4),)</f>
        <v>6</v>
      </c>
      <c r="J753" s="4" cm="1">
        <f t="array" ref="J753">IFERROR(INDEX(ReferenceCard, MATCH(1, (INDEX(ReferenceCard,,1)=Table1[[#This Row],[SAP No]]) * (INDEX(ReferenceCard,,2)=Table1[[#This Row],[Mould No]]), 0), 9),)</f>
        <v>18.8</v>
      </c>
      <c r="K753" s="4" cm="1">
        <f t="array" ref="K753">IFERROR(INDEX(ReferenceCard, MATCH(1, (INDEX(ReferenceCard,,1)=Table1[[#This Row],[SAP No]]) * (INDEX(ReferenceCard,,2)=Table1[[#This Row],[Mould No]]), 0), 7),)</f>
        <v>18.8</v>
      </c>
      <c r="L753">
        <v>860</v>
      </c>
      <c r="M753">
        <v>0</v>
      </c>
      <c r="N753">
        <v>0</v>
      </c>
      <c r="O753">
        <v>0</v>
      </c>
      <c r="P753">
        <f>Table1[[#This Row],[Shot]]*Table1[[#This Row],[Cav]]</f>
        <v>5160</v>
      </c>
      <c r="Q753">
        <v>0</v>
      </c>
      <c r="R753">
        <f>(Table1[[#This Row],[Part Weight (gm)]]*Table1[[#This Row],[Finish Good]])/1000</f>
        <v>0</v>
      </c>
      <c r="S753">
        <v>0</v>
      </c>
      <c r="T753">
        <f>IF(Table1[[#This Row],[Qty Order]]="Sample","-",IF(Table1[[#This Row],[Qty Order]]="RTFN","-",Table1[[#This Row],[Qty Order]]-Table1[[#This Row],[Qty Accumulate]]))</f>
        <v>0</v>
      </c>
      <c r="U753">
        <f>((Table1[[#This Row],[Shift Output]]*Table1[[#This Row],[Part Weight (gm)]])/1000)+Table1[[#This Row],[Reject Startup (kg)]]+Table1[[#This Row],[Reject Purging (kg)]]+Table1[[#This Row],[Reject Preform (kg)]]</f>
        <v>101.008</v>
      </c>
      <c r="V753" s="37">
        <f>(Table1[[#This Row],[Gross Weight (gm)]]-Table1[[#This Row],[Part Weight (gm)]])*Table1[[#This Row],[Shift Output]]/1000</f>
        <v>0</v>
      </c>
      <c r="W753" s="3">
        <v>1</v>
      </c>
      <c r="X753" s="36">
        <f>Table1[[#This Row],[Reject Startup (kg)]]/Table1[[#This Row],[Material Used]]</f>
        <v>9.9002059242832251E-3</v>
      </c>
      <c r="Y753" s="3">
        <v>0</v>
      </c>
      <c r="Z753" s="36">
        <f>Table1[[#This Row],[Reject Prod (kg)]]/Table1[[#This Row],[Material Used]]</f>
        <v>0</v>
      </c>
      <c r="AA753" s="4">
        <v>32.0958251953125</v>
      </c>
      <c r="AB753" s="5">
        <v>7.86</v>
      </c>
      <c r="AC753" s="4" cm="1">
        <f t="array" ref="AC753">IFERROR(INDEX(ReferenceCard, MATCH(1, (INDEX(ReferenceCard,,1)=Table1[[#This Row],[SAP No]]) * (INDEX(ReferenceCard,,2)=Table1[[#This Row],[Mould No]]), 0), 9),)</f>
        <v>18.8</v>
      </c>
      <c r="AD753" s="5">
        <v>0</v>
      </c>
      <c r="AE753" s="5">
        <v>0</v>
      </c>
      <c r="AF753" s="5">
        <v>0</v>
      </c>
      <c r="AG753" s="5">
        <v>0</v>
      </c>
      <c r="AH753" s="5">
        <v>2.4399999999999902</v>
      </c>
      <c r="AI753" s="5">
        <v>0</v>
      </c>
      <c r="AJ753" s="5">
        <v>0</v>
      </c>
      <c r="AK753" t="s">
        <v>181</v>
      </c>
      <c r="AL753" s="2"/>
      <c r="AM753" s="2"/>
      <c r="AN753" s="3">
        <v>2</v>
      </c>
      <c r="AO753" s="3">
        <v>1</v>
      </c>
      <c r="AP753" s="6">
        <f>((Table1[[#This Row],[Reject Startup (kg)]]+Table1[[#This Row],[Reject Prod (kg)]]+Table1[[#This Row],[Reject Purging (kg)]]+Table1[[#This Row],[Reject Preform (kg)]])/Table1[[#This Row],[Part Weight (gm)]])*1000</f>
        <v>212.7659574468085</v>
      </c>
    </row>
    <row r="754" spans="1:42" x14ac:dyDescent="0.35">
      <c r="A754" s="1">
        <v>45999</v>
      </c>
      <c r="B754">
        <v>1</v>
      </c>
      <c r="C754" t="s">
        <v>33</v>
      </c>
      <c r="D754" t="str" cm="1">
        <f t="array" ref="D754">IFERROR(INDEX(ReferenceCard, MATCH(1, (INDEX(ReferenceCard,,1)=Table1[[#This Row],[SAP No]]) * (INDEX(ReferenceCard,,2)=Table1[[#This Row],[Mould No]]), 0), 6),)</f>
        <v>PET</v>
      </c>
      <c r="E754">
        <v>541381</v>
      </c>
      <c r="F754">
        <v>0</v>
      </c>
      <c r="G754" t="str" cm="1">
        <f t="array" ref="G754">IFERROR(INDEX(ReferenceCard, MATCH(1, (INDEX(ReferenceCard,,1)=Table1[[#This Row],[SAP No]]) * (INDEX(ReferenceCard,,2)=Table1[[#This Row],[Mould No]]), 0), 3),)</f>
        <v>BC28-1200-K-R-CL</v>
      </c>
      <c r="H754">
        <v>0</v>
      </c>
      <c r="I754" cm="1">
        <f t="array" ref="I754">IFERROR(INDEX(ReferenceCard, MATCH(1, (INDEX(ReferenceCard,,1)=Table1[[#This Row],[SAP No]]) * (INDEX(ReferenceCard,,2)=Table1[[#This Row],[Mould No]]), 0), 4),)</f>
        <v>4</v>
      </c>
      <c r="J754" s="4" cm="1">
        <f t="array" ref="J754">IFERROR(INDEX(ReferenceCard, MATCH(1, (INDEX(ReferenceCard,,1)=Table1[[#This Row],[SAP No]]) * (INDEX(ReferenceCard,,2)=Table1[[#This Row],[Mould No]]), 0), 9),)</f>
        <v>55</v>
      </c>
      <c r="K754" s="4" cm="1">
        <f t="array" ref="K754">IFERROR(INDEX(ReferenceCard, MATCH(1, (INDEX(ReferenceCard,,1)=Table1[[#This Row],[SAP No]]) * (INDEX(ReferenceCard,,2)=Table1[[#This Row],[Mould No]]), 0), 7),)</f>
        <v>55</v>
      </c>
      <c r="L754">
        <v>0</v>
      </c>
      <c r="M754">
        <v>0</v>
      </c>
      <c r="N754">
        <v>0</v>
      </c>
      <c r="O754">
        <v>0</v>
      </c>
      <c r="P754">
        <f>Table1[[#This Row],[Shot]]*Table1[[#This Row],[Cav]]</f>
        <v>0</v>
      </c>
      <c r="Q754">
        <v>0</v>
      </c>
      <c r="R754">
        <f>(Table1[[#This Row],[Part Weight (gm)]]*Table1[[#This Row],[Finish Good]])/1000</f>
        <v>0</v>
      </c>
      <c r="S754">
        <v>0</v>
      </c>
      <c r="T754">
        <f>IF(Table1[[#This Row],[Qty Order]]="Sample","-",IF(Table1[[#This Row],[Qty Order]]="RTFN","-",Table1[[#This Row],[Qty Order]]-Table1[[#This Row],[Qty Accumulate]]))</f>
        <v>0</v>
      </c>
      <c r="U754">
        <f>((Table1[[#This Row],[Shift Output]]*Table1[[#This Row],[Part Weight (gm)]])/1000)+Table1[[#This Row],[Reject Startup (kg)]]+Table1[[#This Row],[Reject Purging (kg)]]+Table1[[#This Row],[Reject Preform (kg)]]</f>
        <v>10</v>
      </c>
      <c r="V754" s="37">
        <f>(Table1[[#This Row],[Gross Weight (gm)]]-Table1[[#This Row],[Part Weight (gm)]])*Table1[[#This Row],[Shift Output]]/1000</f>
        <v>0</v>
      </c>
      <c r="W754" s="3">
        <v>0</v>
      </c>
      <c r="X754" s="36">
        <f>Table1[[#This Row],[Reject Startup (kg)]]/Table1[[#This Row],[Material Used]]</f>
        <v>0</v>
      </c>
      <c r="Y754" s="3">
        <v>0</v>
      </c>
      <c r="Z754" s="36">
        <f>Table1[[#This Row],[Reject Prod (kg)]]/Table1[[#This Row],[Material Used]]</f>
        <v>0</v>
      </c>
      <c r="AA754" s="4">
        <v>0</v>
      </c>
      <c r="AB754" s="5">
        <v>0</v>
      </c>
      <c r="AC754" s="4" cm="1">
        <f t="array" ref="AC754">IFERROR(INDEX(ReferenceCard, MATCH(1, (INDEX(ReferenceCard,,1)=Table1[[#This Row],[SAP No]]) * (INDEX(ReferenceCard,,2)=Table1[[#This Row],[Mould No]]), 0), 9),)</f>
        <v>55</v>
      </c>
      <c r="AD754" s="5">
        <v>0</v>
      </c>
      <c r="AE754" s="5">
        <v>0</v>
      </c>
      <c r="AF754" s="5">
        <v>0</v>
      </c>
      <c r="AG754" s="5">
        <v>10.3</v>
      </c>
      <c r="AH754" s="5">
        <v>0</v>
      </c>
      <c r="AI754" s="5">
        <v>0</v>
      </c>
      <c r="AJ754" s="5">
        <v>0</v>
      </c>
      <c r="AK754" t="s">
        <v>182</v>
      </c>
      <c r="AL754" s="2" t="s">
        <v>183</v>
      </c>
      <c r="AM754" s="2"/>
      <c r="AN754" s="3"/>
      <c r="AO754" s="3">
        <v>10</v>
      </c>
      <c r="AP754" s="6">
        <f>((Table1[[#This Row],[Reject Startup (kg)]]+Table1[[#This Row],[Reject Prod (kg)]]+Table1[[#This Row],[Reject Purging (kg)]]+Table1[[#This Row],[Reject Preform (kg)]])/Table1[[#This Row],[Part Weight (gm)]])*1000</f>
        <v>181.81818181818181</v>
      </c>
    </row>
    <row r="755" spans="1:42" x14ac:dyDescent="0.35">
      <c r="A755" s="1">
        <v>45999</v>
      </c>
      <c r="B755">
        <v>1</v>
      </c>
      <c r="C755" t="s">
        <v>31</v>
      </c>
      <c r="D755" t="str" cm="1">
        <f t="array" ref="D755">IFERROR(INDEX(ReferenceCard, MATCH(1, (INDEX(ReferenceCard,,1)=Table1[[#This Row],[SAP No]]) * (INDEX(ReferenceCard,,2)=Table1[[#This Row],[Mould No]]), 0), 6),)</f>
        <v>PPSB520Y</v>
      </c>
      <c r="E755">
        <v>586276</v>
      </c>
      <c r="F755">
        <v>4</v>
      </c>
      <c r="G755" t="str" cm="1">
        <f t="array" ref="G755">IFERROR(INDEX(ReferenceCard, MATCH(1, (INDEX(ReferenceCard,,1)=Table1[[#This Row],[SAP No]]) * (INDEX(ReferenceCard,,2)=Table1[[#This Row],[Mould No]]), 0), 3),)</f>
        <v>BC28-0056-D-APH-LEB-604001-MOLD4</v>
      </c>
      <c r="H755">
        <v>0</v>
      </c>
      <c r="I755" cm="1">
        <f t="array" ref="I755">IFERROR(INDEX(ReferenceCard, MATCH(1, (INDEX(ReferenceCard,,1)=Table1[[#This Row],[SAP No]]) * (INDEX(ReferenceCard,,2)=Table1[[#This Row],[Mould No]]), 0), 4),)</f>
        <v>6</v>
      </c>
      <c r="J755" s="4" cm="1">
        <f t="array" ref="J755">IFERROR(INDEX(ReferenceCard, MATCH(1, (INDEX(ReferenceCard,,1)=Table1[[#This Row],[SAP No]]) * (INDEX(ReferenceCard,,2)=Table1[[#This Row],[Mould No]]), 0), 9),)</f>
        <v>12.3</v>
      </c>
      <c r="K755" s="4" cm="1">
        <f t="array" ref="K755">IFERROR(INDEX(ReferenceCard, MATCH(1, (INDEX(ReferenceCard,,1)=Table1[[#This Row],[SAP No]]) * (INDEX(ReferenceCard,,2)=Table1[[#This Row],[Mould No]]), 0), 7),)</f>
        <v>12.3</v>
      </c>
      <c r="L755">
        <v>876</v>
      </c>
      <c r="M755">
        <v>0</v>
      </c>
      <c r="N755">
        <v>0</v>
      </c>
      <c r="O755">
        <v>0</v>
      </c>
      <c r="P755">
        <f>Table1[[#This Row],[Shot]]*Table1[[#This Row],[Cav]]</f>
        <v>5256</v>
      </c>
      <c r="Q755">
        <v>0</v>
      </c>
      <c r="R755">
        <f>(Table1[[#This Row],[Part Weight (gm)]]*Table1[[#This Row],[Finish Good]])/1000</f>
        <v>0</v>
      </c>
      <c r="S755">
        <v>0</v>
      </c>
      <c r="T755">
        <f>IF(Table1[[#This Row],[Qty Order]]="Sample","-",IF(Table1[[#This Row],[Qty Order]]="RTFN","-",Table1[[#This Row],[Qty Order]]-Table1[[#This Row],[Qty Accumulate]]))</f>
        <v>0</v>
      </c>
      <c r="U755">
        <f>((Table1[[#This Row],[Shift Output]]*Table1[[#This Row],[Part Weight (gm)]])/1000)+Table1[[#This Row],[Reject Startup (kg)]]+Table1[[#This Row],[Reject Purging (kg)]]+Table1[[#This Row],[Reject Preform (kg)]]</f>
        <v>68.648800000000008</v>
      </c>
      <c r="V755" s="37">
        <f>(Table1[[#This Row],[Gross Weight (gm)]]-Table1[[#This Row],[Part Weight (gm)]])*Table1[[#This Row],[Shift Output]]/1000</f>
        <v>0</v>
      </c>
      <c r="W755" s="3">
        <v>1</v>
      </c>
      <c r="X755" s="36">
        <f>Table1[[#This Row],[Reject Startup (kg)]]/Table1[[#This Row],[Material Used]]</f>
        <v>1.456689701786484E-2</v>
      </c>
      <c r="Y755" s="3">
        <v>1</v>
      </c>
      <c r="Z755" s="36">
        <f>Table1[[#This Row],[Reject Prod (kg)]]/Table1[[#This Row],[Material Used]]</f>
        <v>1.456689701786484E-2</v>
      </c>
      <c r="AA755" s="4">
        <v>26.962080001831001</v>
      </c>
      <c r="AB755" s="5">
        <v>6.6699999999999902</v>
      </c>
      <c r="AC755" s="4" cm="1">
        <f t="array" ref="AC755">IFERROR(INDEX(ReferenceCard, MATCH(1, (INDEX(ReferenceCard,,1)=Table1[[#This Row],[SAP No]]) * (INDEX(ReferenceCard,,2)=Table1[[#This Row],[Mould No]]), 0), 9),)</f>
        <v>12.3</v>
      </c>
      <c r="AD755" s="5">
        <v>0</v>
      </c>
      <c r="AE755" s="5">
        <v>0</v>
      </c>
      <c r="AF755" s="5">
        <v>0</v>
      </c>
      <c r="AG755" s="5">
        <v>3.6299999999999901</v>
      </c>
      <c r="AH755" s="5">
        <v>0</v>
      </c>
      <c r="AI755" s="5">
        <v>0</v>
      </c>
      <c r="AJ755" s="5">
        <v>0</v>
      </c>
      <c r="AK755" t="s">
        <v>184</v>
      </c>
      <c r="AL755" s="2"/>
      <c r="AM755" s="2"/>
      <c r="AN755" s="3">
        <v>2</v>
      </c>
      <c r="AO755" s="3">
        <v>1</v>
      </c>
      <c r="AP755" s="6">
        <f>((Table1[[#This Row],[Reject Startup (kg)]]+Table1[[#This Row],[Reject Prod (kg)]]+Table1[[#This Row],[Reject Purging (kg)]]+Table1[[#This Row],[Reject Preform (kg)]])/Table1[[#This Row],[Part Weight (gm)]])*1000</f>
        <v>406.5040650406504</v>
      </c>
    </row>
    <row r="756" spans="1:42" x14ac:dyDescent="0.35">
      <c r="A756" s="1">
        <v>45999</v>
      </c>
      <c r="B756">
        <v>1</v>
      </c>
      <c r="C756" t="s">
        <v>29</v>
      </c>
      <c r="D756" t="str" cm="1">
        <f t="array" ref="D756">IFERROR(INDEX(ReferenceCard, MATCH(1, (INDEX(ReferenceCard,,1)=Table1[[#This Row],[SAP No]]) * (INDEX(ReferenceCard,,2)=Table1[[#This Row],[Mould No]]), 0), 6),)</f>
        <v>PET</v>
      </c>
      <c r="E756">
        <v>620599</v>
      </c>
      <c r="F756">
        <v>0</v>
      </c>
      <c r="G756" t="str" cm="1">
        <f t="array" ref="G756">IFERROR(INDEX(ReferenceCard, MATCH(1, (INDEX(ReferenceCard,,1)=Table1[[#This Row],[SAP No]]) * (INDEX(ReferenceCard,,2)=Table1[[#This Row],[Mould No]]), 0), 3),)</f>
        <v>BC28-0750-K4-R-CL (55g)</v>
      </c>
      <c r="H756">
        <v>0</v>
      </c>
      <c r="I756" cm="1">
        <f t="array" ref="I756">IFERROR(INDEX(ReferenceCard, MATCH(1, (INDEX(ReferenceCard,,1)=Table1[[#This Row],[SAP No]]) * (INDEX(ReferenceCard,,2)=Table1[[#This Row],[Mould No]]), 0), 4),)</f>
        <v>4</v>
      </c>
      <c r="J756" s="4" cm="1">
        <f t="array" ref="J756">IFERROR(INDEX(ReferenceCard, MATCH(1, (INDEX(ReferenceCard,,1)=Table1[[#This Row],[SAP No]]) * (INDEX(ReferenceCard,,2)=Table1[[#This Row],[Mould No]]), 0), 9),)</f>
        <v>55</v>
      </c>
      <c r="K756" s="4" cm="1">
        <f t="array" ref="K756">IFERROR(INDEX(ReferenceCard, MATCH(1, (INDEX(ReferenceCard,,1)=Table1[[#This Row],[SAP No]]) * (INDEX(ReferenceCard,,2)=Table1[[#This Row],[Mould No]]), 0), 7),)</f>
        <v>55</v>
      </c>
      <c r="L756">
        <v>1179</v>
      </c>
      <c r="M756">
        <v>0</v>
      </c>
      <c r="N756">
        <v>0</v>
      </c>
      <c r="O756">
        <v>0</v>
      </c>
      <c r="P756">
        <f>Table1[[#This Row],[Shot]]*Table1[[#This Row],[Cav]]</f>
        <v>4716</v>
      </c>
      <c r="Q756">
        <v>0</v>
      </c>
      <c r="R756">
        <f>(Table1[[#This Row],[Part Weight (gm)]]*Table1[[#This Row],[Finish Good]])/1000</f>
        <v>0</v>
      </c>
      <c r="S756">
        <v>0</v>
      </c>
      <c r="T756">
        <f>IF(Table1[[#This Row],[Qty Order]]="Sample","-",IF(Table1[[#This Row],[Qty Order]]="RTFN","-",Table1[[#This Row],[Qty Order]]-Table1[[#This Row],[Qty Accumulate]]))</f>
        <v>0</v>
      </c>
      <c r="U756">
        <f>((Table1[[#This Row],[Shift Output]]*Table1[[#This Row],[Part Weight (gm)]])/1000)+Table1[[#This Row],[Reject Startup (kg)]]+Table1[[#This Row],[Reject Purging (kg)]]+Table1[[#This Row],[Reject Preform (kg)]]</f>
        <v>281.38</v>
      </c>
      <c r="V756" s="37">
        <f>(Table1[[#This Row],[Gross Weight (gm)]]-Table1[[#This Row],[Part Weight (gm)]])*Table1[[#This Row],[Shift Output]]/1000</f>
        <v>0</v>
      </c>
      <c r="W756" s="3">
        <v>15</v>
      </c>
      <c r="X756" s="36">
        <f>Table1[[#This Row],[Reject Startup (kg)]]/Table1[[#This Row],[Material Used]]</f>
        <v>5.3308692870850806E-2</v>
      </c>
      <c r="Y756" s="3">
        <v>6</v>
      </c>
      <c r="Z756" s="36">
        <f>Table1[[#This Row],[Reject Prod (kg)]]/Table1[[#This Row],[Material Used]]</f>
        <v>2.1323477148340323E-2</v>
      </c>
      <c r="AA756" s="4">
        <v>28.444442749023398</v>
      </c>
      <c r="AB756" s="5">
        <v>9.31</v>
      </c>
      <c r="AC756" s="4" cm="1">
        <f t="array" ref="AC756">IFERROR(INDEX(ReferenceCard, MATCH(1, (INDEX(ReferenceCard,,1)=Table1[[#This Row],[SAP No]]) * (INDEX(ReferenceCard,,2)=Table1[[#This Row],[Mould No]]), 0), 9),)</f>
        <v>55</v>
      </c>
      <c r="AD756" s="5">
        <v>0</v>
      </c>
      <c r="AE756" s="5">
        <v>0</v>
      </c>
      <c r="AF756" s="5">
        <v>0</v>
      </c>
      <c r="AG756" s="5">
        <v>0</v>
      </c>
      <c r="AH756" s="5">
        <v>0.98999999999999899</v>
      </c>
      <c r="AI756" s="5">
        <v>0</v>
      </c>
      <c r="AJ756" s="5">
        <v>0</v>
      </c>
      <c r="AL756" s="2"/>
      <c r="AM756" s="2"/>
      <c r="AN756" s="3">
        <v>4</v>
      </c>
      <c r="AO756" s="3">
        <v>3</v>
      </c>
      <c r="AP756" s="6">
        <f>((Table1[[#This Row],[Reject Startup (kg)]]+Table1[[#This Row],[Reject Prod (kg)]]+Table1[[#This Row],[Reject Purging (kg)]]+Table1[[#This Row],[Reject Preform (kg)]])/Table1[[#This Row],[Part Weight (gm)]])*1000</f>
        <v>509.09090909090907</v>
      </c>
    </row>
    <row r="757" spans="1:42" x14ac:dyDescent="0.35">
      <c r="A757" s="1">
        <v>45999</v>
      </c>
      <c r="B757">
        <v>1</v>
      </c>
      <c r="C757" t="s">
        <v>27</v>
      </c>
      <c r="D757" t="str" cm="1">
        <f t="array" ref="D757">IFERROR(INDEX(ReferenceCard, MATCH(1, (INDEX(ReferenceCard,,1)=Table1[[#This Row],[SAP No]]) * (INDEX(ReferenceCard,,2)=Table1[[#This Row],[Mould No]]), 0), 6),)</f>
        <v>PPSB520Y</v>
      </c>
      <c r="E757">
        <v>552181</v>
      </c>
      <c r="F757">
        <v>4</v>
      </c>
      <c r="G757" t="str" cm="1">
        <f t="array" ref="G757">IFERROR(INDEX(ReferenceCard, MATCH(1, (INDEX(ReferenceCard,,1)=Table1[[#This Row],[SAP No]]) * (INDEX(ReferenceCard,,2)=Table1[[#This Row],[Mould No]]), 0), 3),)</f>
        <v>BC28-0090-D-APH-5180-3538-PP-6 NOTCHES-MOLD4</v>
      </c>
      <c r="H757">
        <v>0</v>
      </c>
      <c r="I757" cm="1">
        <f t="array" ref="I757">IFERROR(INDEX(ReferenceCard, MATCH(1, (INDEX(ReferenceCard,,1)=Table1[[#This Row],[SAP No]]) * (INDEX(ReferenceCard,,2)=Table1[[#This Row],[Mould No]]), 0), 4),)</f>
        <v>6</v>
      </c>
      <c r="J757" s="4" cm="1">
        <f t="array" ref="J757">IFERROR(INDEX(ReferenceCard, MATCH(1, (INDEX(ReferenceCard,,1)=Table1[[#This Row],[SAP No]]) * (INDEX(ReferenceCard,,2)=Table1[[#This Row],[Mould No]]), 0), 9),)</f>
        <v>18.8</v>
      </c>
      <c r="K757" s="4" cm="1">
        <f t="array" ref="K757">IFERROR(INDEX(ReferenceCard, MATCH(1, (INDEX(ReferenceCard,,1)=Table1[[#This Row],[SAP No]]) * (INDEX(ReferenceCard,,2)=Table1[[#This Row],[Mould No]]), 0), 7),)</f>
        <v>18.8</v>
      </c>
      <c r="L757">
        <v>78</v>
      </c>
      <c r="M757">
        <v>0</v>
      </c>
      <c r="N757">
        <v>0</v>
      </c>
      <c r="O757">
        <v>0</v>
      </c>
      <c r="P757">
        <f>Table1[[#This Row],[Shot]]*Table1[[#This Row],[Cav]]</f>
        <v>468</v>
      </c>
      <c r="Q757">
        <v>0</v>
      </c>
      <c r="R757">
        <f>(Table1[[#This Row],[Part Weight (gm)]]*Table1[[#This Row],[Finish Good]])/1000</f>
        <v>0</v>
      </c>
      <c r="S757">
        <v>0</v>
      </c>
      <c r="T757">
        <f>IF(Table1[[#This Row],[Qty Order]]="Sample","-",IF(Table1[[#This Row],[Qty Order]]="RTFN","-",Table1[[#This Row],[Qty Order]]-Table1[[#This Row],[Qty Accumulate]]))</f>
        <v>0</v>
      </c>
      <c r="U757">
        <f>((Table1[[#This Row],[Shift Output]]*Table1[[#This Row],[Part Weight (gm)]])/1000)+Table1[[#This Row],[Reject Startup (kg)]]+Table1[[#This Row],[Reject Purging (kg)]]+Table1[[#This Row],[Reject Preform (kg)]]</f>
        <v>17.798400000000001</v>
      </c>
      <c r="V757" s="37">
        <f>(Table1[[#This Row],[Gross Weight (gm)]]-Table1[[#This Row],[Part Weight (gm)]])*Table1[[#This Row],[Shift Output]]/1000</f>
        <v>0</v>
      </c>
      <c r="W757" s="3">
        <v>5</v>
      </c>
      <c r="X757" s="36">
        <f>Table1[[#This Row],[Reject Startup (kg)]]/Table1[[#This Row],[Material Used]]</f>
        <v>0.28092412801150662</v>
      </c>
      <c r="Y757" s="3">
        <v>0</v>
      </c>
      <c r="Z757" s="36">
        <f>Table1[[#This Row],[Reject Prod (kg)]]/Table1[[#This Row],[Material Used]]</f>
        <v>0</v>
      </c>
      <c r="AA757" s="4">
        <v>0</v>
      </c>
      <c r="AB757" s="5">
        <v>0.16</v>
      </c>
      <c r="AC757" s="4" cm="1">
        <f t="array" ref="AC757">IFERROR(INDEX(ReferenceCard, MATCH(1, (INDEX(ReferenceCard,,1)=Table1[[#This Row],[SAP No]]) * (INDEX(ReferenceCard,,2)=Table1[[#This Row],[Mould No]]), 0), 9),)</f>
        <v>18.8</v>
      </c>
      <c r="AD757" s="5">
        <v>0</v>
      </c>
      <c r="AE757" s="5">
        <v>0</v>
      </c>
      <c r="AF757" s="5">
        <v>0</v>
      </c>
      <c r="AG757" s="5">
        <v>0</v>
      </c>
      <c r="AH757" s="5">
        <v>10.14</v>
      </c>
      <c r="AI757" s="5">
        <v>0</v>
      </c>
      <c r="AJ757" s="5">
        <v>0</v>
      </c>
      <c r="AL757" s="2"/>
      <c r="AM757" s="2"/>
      <c r="AN757" s="3">
        <v>2</v>
      </c>
      <c r="AO757" s="3">
        <v>2</v>
      </c>
      <c r="AP757" s="6">
        <f>((Table1[[#This Row],[Reject Startup (kg)]]+Table1[[#This Row],[Reject Prod (kg)]]+Table1[[#This Row],[Reject Purging (kg)]]+Table1[[#This Row],[Reject Preform (kg)]])/Table1[[#This Row],[Part Weight (gm)]])*1000</f>
        <v>478.72340425531911</v>
      </c>
    </row>
    <row r="758" spans="1:42" x14ac:dyDescent="0.35">
      <c r="A758" s="1">
        <v>45999</v>
      </c>
      <c r="B758">
        <v>1</v>
      </c>
      <c r="C758" t="s">
        <v>25</v>
      </c>
      <c r="D758" t="str" cm="1">
        <f t="array" ref="D758">IFERROR(INDEX(ReferenceCard, MATCH(1, (INDEX(ReferenceCard,,1)=Table1[[#This Row],[SAP No]]) * (INDEX(ReferenceCard,,2)=Table1[[#This Row],[Mould No]]), 0), 6),)</f>
        <v>PET</v>
      </c>
      <c r="E758">
        <v>323133</v>
      </c>
      <c r="F758">
        <v>0</v>
      </c>
      <c r="G758" t="str" cm="1">
        <f t="array" ref="G758">IFERROR(INDEX(ReferenceCard, MATCH(1, (INDEX(ReferenceCard,,1)=Table1[[#This Row],[SAP No]]) * (INDEX(ReferenceCard,,2)=Table1[[#This Row],[Mould No]]), 0), 3),)</f>
        <v>BX38-2000-RH-R-CL(GREEN) (ASEM)</v>
      </c>
      <c r="H758">
        <v>0</v>
      </c>
      <c r="I758" cm="1">
        <f t="array" ref="I758">IFERROR(INDEX(ReferenceCard, MATCH(1, (INDEX(ReferenceCard,,1)=Table1[[#This Row],[SAP No]]) * (INDEX(ReferenceCard,,2)=Table1[[#This Row],[Mould No]]), 0), 4),)</f>
        <v>4</v>
      </c>
      <c r="J758" s="4" cm="1">
        <f t="array" ref="J758">IFERROR(INDEX(ReferenceCard, MATCH(1, (INDEX(ReferenceCard,,1)=Table1[[#This Row],[SAP No]]) * (INDEX(ReferenceCard,,2)=Table1[[#This Row],[Mould No]]), 0), 9),)</f>
        <v>77</v>
      </c>
      <c r="K758" s="4" cm="1">
        <f t="array" ref="K758">IFERROR(INDEX(ReferenceCard, MATCH(1, (INDEX(ReferenceCard,,1)=Table1[[#This Row],[SAP No]]) * (INDEX(ReferenceCard,,2)=Table1[[#This Row],[Mould No]]), 0), 7),)</f>
        <v>77</v>
      </c>
      <c r="L758">
        <v>988</v>
      </c>
      <c r="M758">
        <v>0</v>
      </c>
      <c r="N758">
        <v>0</v>
      </c>
      <c r="O758">
        <v>0</v>
      </c>
      <c r="P758">
        <f>Table1[[#This Row],[Shot]]*Table1[[#This Row],[Cav]]</f>
        <v>3952</v>
      </c>
      <c r="Q758">
        <v>0</v>
      </c>
      <c r="R758">
        <f>(Table1[[#This Row],[Part Weight (gm)]]*Table1[[#This Row],[Finish Good]])/1000</f>
        <v>0</v>
      </c>
      <c r="S758">
        <v>0</v>
      </c>
      <c r="T758">
        <f>IF(Table1[[#This Row],[Qty Order]]="Sample","-",IF(Table1[[#This Row],[Qty Order]]="RTFN","-",Table1[[#This Row],[Qty Order]]-Table1[[#This Row],[Qty Accumulate]]))</f>
        <v>0</v>
      </c>
      <c r="U758">
        <f>((Table1[[#This Row],[Shift Output]]*Table1[[#This Row],[Part Weight (gm)]])/1000)+Table1[[#This Row],[Reject Startup (kg)]]+Table1[[#This Row],[Reject Purging (kg)]]+Table1[[#This Row],[Reject Preform (kg)]]</f>
        <v>312.30399999999997</v>
      </c>
      <c r="V758" s="37">
        <f>(Table1[[#This Row],[Gross Weight (gm)]]-Table1[[#This Row],[Part Weight (gm)]])*Table1[[#This Row],[Shift Output]]/1000</f>
        <v>0</v>
      </c>
      <c r="W758" s="3">
        <v>3</v>
      </c>
      <c r="X758" s="36">
        <f>Table1[[#This Row],[Reject Startup (kg)]]/Table1[[#This Row],[Material Used]]</f>
        <v>9.606024898816538E-3</v>
      </c>
      <c r="Y758" s="3">
        <v>3</v>
      </c>
      <c r="Z758" s="36">
        <f>Table1[[#This Row],[Reject Prod (kg)]]/Table1[[#This Row],[Material Used]]</f>
        <v>9.606024898816538E-3</v>
      </c>
      <c r="AA758" s="4">
        <v>35.165760040283203</v>
      </c>
      <c r="AB758" s="5">
        <v>9.75</v>
      </c>
      <c r="AC758" s="4" cm="1">
        <f t="array" ref="AC758">IFERROR(INDEX(ReferenceCard, MATCH(1, (INDEX(ReferenceCard,,1)=Table1[[#This Row],[SAP No]]) * (INDEX(ReferenceCard,,2)=Table1[[#This Row],[Mould No]]), 0), 9),)</f>
        <v>77</v>
      </c>
      <c r="AD758" s="5">
        <v>0</v>
      </c>
      <c r="AE758" s="5">
        <v>0</v>
      </c>
      <c r="AF758" s="5">
        <v>0</v>
      </c>
      <c r="AG758" s="5">
        <v>0</v>
      </c>
      <c r="AH758" s="5">
        <v>0.56000000000000005</v>
      </c>
      <c r="AI758" s="5">
        <v>0</v>
      </c>
      <c r="AJ758" s="5">
        <v>0</v>
      </c>
      <c r="AL758" s="2"/>
      <c r="AM758" s="2"/>
      <c r="AN758" s="3">
        <v>3</v>
      </c>
      <c r="AO758" s="3">
        <v>2</v>
      </c>
      <c r="AP758" s="6">
        <f>((Table1[[#This Row],[Reject Startup (kg)]]+Table1[[#This Row],[Reject Prod (kg)]]+Table1[[#This Row],[Reject Purging (kg)]]+Table1[[#This Row],[Reject Preform (kg)]])/Table1[[#This Row],[Part Weight (gm)]])*1000</f>
        <v>142.85714285714286</v>
      </c>
    </row>
    <row r="759" spans="1:42" x14ac:dyDescent="0.35">
      <c r="A759" s="1">
        <v>45999</v>
      </c>
      <c r="B759">
        <v>1</v>
      </c>
      <c r="C759" t="s">
        <v>23</v>
      </c>
      <c r="D759" t="str" cm="1">
        <f t="array" ref="D759">IFERROR(INDEX(ReferenceCard, MATCH(1, (INDEX(ReferenceCard,,1)=Table1[[#This Row],[SAP No]]) * (INDEX(ReferenceCard,,2)=Table1[[#This Row],[Mould No]]), 0), 6),)</f>
        <v>PPSB520Y</v>
      </c>
      <c r="E759">
        <v>586276</v>
      </c>
      <c r="F759">
        <v>2</v>
      </c>
      <c r="G759" t="str" cm="1">
        <f t="array" ref="G759">IFERROR(INDEX(ReferenceCard, MATCH(1, (INDEX(ReferenceCard,,1)=Table1[[#This Row],[SAP No]]) * (INDEX(ReferenceCard,,2)=Table1[[#This Row],[Mould No]]), 0), 3),)</f>
        <v>BC28-0056-D-APH-LEB-604001-MOLD2</v>
      </c>
      <c r="H759">
        <v>0</v>
      </c>
      <c r="I759" cm="1">
        <f t="array" ref="I759">IFERROR(INDEX(ReferenceCard, MATCH(1, (INDEX(ReferenceCard,,1)=Table1[[#This Row],[SAP No]]) * (INDEX(ReferenceCard,,2)=Table1[[#This Row],[Mould No]]), 0), 4),)</f>
        <v>6</v>
      </c>
      <c r="J759" s="4" cm="1">
        <f t="array" ref="J759">IFERROR(INDEX(ReferenceCard, MATCH(1, (INDEX(ReferenceCard,,1)=Table1[[#This Row],[SAP No]]) * (INDEX(ReferenceCard,,2)=Table1[[#This Row],[Mould No]]), 0), 9),)</f>
        <v>12.3</v>
      </c>
      <c r="K759" s="4" cm="1">
        <f t="array" ref="K759">IFERROR(INDEX(ReferenceCard, MATCH(1, (INDEX(ReferenceCard,,1)=Table1[[#This Row],[SAP No]]) * (INDEX(ReferenceCard,,2)=Table1[[#This Row],[Mould No]]), 0), 7),)</f>
        <v>12.3</v>
      </c>
      <c r="L759">
        <v>1253</v>
      </c>
      <c r="M759">
        <v>0</v>
      </c>
      <c r="N759">
        <v>0</v>
      </c>
      <c r="O759">
        <v>0</v>
      </c>
      <c r="P759">
        <f>Table1[[#This Row],[Shot]]*Table1[[#This Row],[Cav]]</f>
        <v>7518</v>
      </c>
      <c r="Q759">
        <v>0</v>
      </c>
      <c r="R759">
        <f>(Table1[[#This Row],[Part Weight (gm)]]*Table1[[#This Row],[Finish Good]])/1000</f>
        <v>0</v>
      </c>
      <c r="S759">
        <v>0</v>
      </c>
      <c r="T759">
        <f>IF(Table1[[#This Row],[Qty Order]]="Sample","-",IF(Table1[[#This Row],[Qty Order]]="RTFN","-",Table1[[#This Row],[Qty Order]]-Table1[[#This Row],[Qty Accumulate]]))</f>
        <v>0</v>
      </c>
      <c r="U759">
        <f>((Table1[[#This Row],[Shift Output]]*Table1[[#This Row],[Part Weight (gm)]])/1000)+Table1[[#This Row],[Reject Startup (kg)]]+Table1[[#This Row],[Reject Purging (kg)]]+Table1[[#This Row],[Reject Preform (kg)]]</f>
        <v>100.4714</v>
      </c>
      <c r="V759" s="37">
        <f>(Table1[[#This Row],[Gross Weight (gm)]]-Table1[[#This Row],[Part Weight (gm)]])*Table1[[#This Row],[Shift Output]]/1000</f>
        <v>0</v>
      </c>
      <c r="W759" s="3">
        <v>5</v>
      </c>
      <c r="X759" s="36">
        <f>Table1[[#This Row],[Reject Startup (kg)]]/Table1[[#This Row],[Material Used]]</f>
        <v>4.9765405876697248E-2</v>
      </c>
      <c r="Y759" s="3">
        <v>1</v>
      </c>
      <c r="Z759" s="36">
        <f>Table1[[#This Row],[Reject Prod (kg)]]/Table1[[#This Row],[Material Used]]</f>
        <v>9.9530811753394503E-3</v>
      </c>
      <c r="AA759" s="4">
        <v>25.4861850738525</v>
      </c>
      <c r="AB759" s="5">
        <v>9.08</v>
      </c>
      <c r="AC759" s="4" cm="1">
        <f t="array" ref="AC759">IFERROR(INDEX(ReferenceCard, MATCH(1, (INDEX(ReferenceCard,,1)=Table1[[#This Row],[SAP No]]) * (INDEX(ReferenceCard,,2)=Table1[[#This Row],[Mould No]]), 0), 9),)</f>
        <v>12.3</v>
      </c>
      <c r="AD759" s="5">
        <v>0</v>
      </c>
      <c r="AE759" s="5">
        <v>0</v>
      </c>
      <c r="AF759" s="5">
        <v>0</v>
      </c>
      <c r="AG759" s="5">
        <v>0</v>
      </c>
      <c r="AH759" s="5">
        <v>1.22</v>
      </c>
      <c r="AI759" s="5">
        <v>0</v>
      </c>
      <c r="AJ759" s="5">
        <v>0</v>
      </c>
      <c r="AL759" s="2"/>
      <c r="AM759" s="2"/>
      <c r="AN759" s="3">
        <v>2</v>
      </c>
      <c r="AO759" s="3">
        <v>1</v>
      </c>
      <c r="AP759" s="6">
        <f>((Table1[[#This Row],[Reject Startup (kg)]]+Table1[[#This Row],[Reject Prod (kg)]]+Table1[[#This Row],[Reject Purging (kg)]]+Table1[[#This Row],[Reject Preform (kg)]])/Table1[[#This Row],[Part Weight (gm)]])*1000</f>
        <v>731.70731707317077</v>
      </c>
    </row>
    <row r="760" spans="1:42" x14ac:dyDescent="0.35">
      <c r="A760" s="1">
        <v>45999</v>
      </c>
      <c r="B760">
        <v>1</v>
      </c>
      <c r="C760" t="s">
        <v>16</v>
      </c>
      <c r="D760" t="str" cm="1">
        <f t="array" ref="D760">IFERROR(INDEX(ReferenceCard, MATCH(1, (INDEX(ReferenceCard,,1)=Table1[[#This Row],[SAP No]]) * (INDEX(ReferenceCard,,2)=Table1[[#This Row],[Mould No]]), 0), 6),)</f>
        <v>PET</v>
      </c>
      <c r="E760">
        <v>323092</v>
      </c>
      <c r="F760">
        <v>0</v>
      </c>
      <c r="G760" t="str" cm="1">
        <f t="array" ref="G760">IFERROR(INDEX(ReferenceCard, MATCH(1, (INDEX(ReferenceCard,,1)=Table1[[#This Row],[SAP No]]) * (INDEX(ReferenceCard,,2)=Table1[[#This Row],[Mould No]]), 0), 3),)</f>
        <v>BX38-1000-GH-R-CL(GREEN) (ASEM)</v>
      </c>
      <c r="H760">
        <v>0</v>
      </c>
      <c r="I760" cm="1">
        <f t="array" ref="I760">IFERROR(INDEX(ReferenceCard, MATCH(1, (INDEX(ReferenceCard,,1)=Table1[[#This Row],[SAP No]]) * (INDEX(ReferenceCard,,2)=Table1[[#This Row],[Mould No]]), 0), 4),)</f>
        <v>4</v>
      </c>
      <c r="J760" s="4" cm="1">
        <f t="array" ref="J760">IFERROR(INDEX(ReferenceCard, MATCH(1, (INDEX(ReferenceCard,,1)=Table1[[#This Row],[SAP No]]) * (INDEX(ReferenceCard,,2)=Table1[[#This Row],[Mould No]]), 0), 9),)</f>
        <v>48.9</v>
      </c>
      <c r="K760" s="4" cm="1">
        <f t="array" ref="K760">IFERROR(INDEX(ReferenceCard, MATCH(1, (INDEX(ReferenceCard,,1)=Table1[[#This Row],[SAP No]]) * (INDEX(ReferenceCard,,2)=Table1[[#This Row],[Mould No]]), 0), 7),)</f>
        <v>48.9</v>
      </c>
      <c r="L760">
        <v>645</v>
      </c>
      <c r="M760">
        <v>0</v>
      </c>
      <c r="N760">
        <v>0</v>
      </c>
      <c r="O760">
        <v>0</v>
      </c>
      <c r="P760">
        <f>Table1[[#This Row],[Shot]]*Table1[[#This Row],[Cav]]</f>
        <v>2580</v>
      </c>
      <c r="Q760">
        <v>0</v>
      </c>
      <c r="R760">
        <f>(Table1[[#This Row],[Part Weight (gm)]]*Table1[[#This Row],[Finish Good]])/1000</f>
        <v>0</v>
      </c>
      <c r="S760">
        <v>0</v>
      </c>
      <c r="T760">
        <f>IF(Table1[[#This Row],[Qty Order]]="Sample","-",IF(Table1[[#This Row],[Qty Order]]="RTFN","-",Table1[[#This Row],[Qty Order]]-Table1[[#This Row],[Qty Accumulate]]))</f>
        <v>0</v>
      </c>
      <c r="U760">
        <f>((Table1[[#This Row],[Shift Output]]*Table1[[#This Row],[Part Weight (gm)]])/1000)+Table1[[#This Row],[Reject Startup (kg)]]+Table1[[#This Row],[Reject Purging (kg)]]+Table1[[#This Row],[Reject Preform (kg)]]</f>
        <v>142.16200000000001</v>
      </c>
      <c r="V760" s="37">
        <f>(Table1[[#This Row],[Gross Weight (gm)]]-Table1[[#This Row],[Part Weight (gm)]])*Table1[[#This Row],[Shift Output]]/1000</f>
        <v>0</v>
      </c>
      <c r="W760" s="3">
        <v>3</v>
      </c>
      <c r="X760" s="36">
        <f>Table1[[#This Row],[Reject Startup (kg)]]/Table1[[#This Row],[Material Used]]</f>
        <v>2.110268566846274E-2</v>
      </c>
      <c r="Y760" s="3">
        <v>3</v>
      </c>
      <c r="Z760" s="36">
        <f>Table1[[#This Row],[Reject Prod (kg)]]/Table1[[#This Row],[Material Used]]</f>
        <v>2.110268566846274E-2</v>
      </c>
      <c r="AA760" s="4">
        <v>51.914218902587798</v>
      </c>
      <c r="AB760" s="5">
        <v>5.1799999999999899</v>
      </c>
      <c r="AC760" s="4" cm="1">
        <f t="array" ref="AC760">IFERROR(INDEX(ReferenceCard, MATCH(1, (INDEX(ReferenceCard,,1)=Table1[[#This Row],[SAP No]]) * (INDEX(ReferenceCard,,2)=Table1[[#This Row],[Mould No]]), 0), 9),)</f>
        <v>48.9</v>
      </c>
      <c r="AD760" s="5">
        <v>0</v>
      </c>
      <c r="AE760" s="5">
        <v>0</v>
      </c>
      <c r="AF760" s="5">
        <v>0</v>
      </c>
      <c r="AG760" s="5">
        <v>3.0499999999999901</v>
      </c>
      <c r="AH760" s="5">
        <v>2.08</v>
      </c>
      <c r="AI760" s="5">
        <v>0</v>
      </c>
      <c r="AJ760" s="5">
        <v>0</v>
      </c>
      <c r="AK760" t="s">
        <v>185</v>
      </c>
      <c r="AL760" s="2"/>
      <c r="AM760" s="2"/>
      <c r="AN760" s="3">
        <v>6</v>
      </c>
      <c r="AO760" s="3">
        <v>7</v>
      </c>
      <c r="AP760" s="6">
        <f>((Table1[[#This Row],[Reject Startup (kg)]]+Table1[[#This Row],[Reject Prod (kg)]]+Table1[[#This Row],[Reject Purging (kg)]]+Table1[[#This Row],[Reject Preform (kg)]])/Table1[[#This Row],[Part Weight (gm)]])*1000</f>
        <v>388.54805725971369</v>
      </c>
    </row>
    <row r="761" spans="1:42" x14ac:dyDescent="0.35">
      <c r="A761" s="1">
        <v>45999</v>
      </c>
      <c r="B761">
        <v>1</v>
      </c>
      <c r="C761" t="s">
        <v>14</v>
      </c>
      <c r="D761" t="str" cm="1">
        <f t="array" ref="D761">IFERROR(INDEX(ReferenceCard, MATCH(1, (INDEX(ReferenceCard,,1)=Table1[[#This Row],[SAP No]]) * (INDEX(ReferenceCard,,2)=Table1[[#This Row],[Mould No]]), 0), 6),)</f>
        <v>PET</v>
      </c>
      <c r="E761">
        <v>324165</v>
      </c>
      <c r="F761">
        <v>0</v>
      </c>
      <c r="G761" t="str" cm="1">
        <f t="array" ref="G761">IFERROR(INDEX(ReferenceCard, MATCH(1, (INDEX(ReferenceCard,,1)=Table1[[#This Row],[SAP No]]) * (INDEX(ReferenceCard,,2)=Table1[[#This Row],[Mould No]]), 0), 3),)</f>
        <v>JJ63-0400-SH-S-WH</v>
      </c>
      <c r="H761">
        <v>0</v>
      </c>
      <c r="I761" cm="1">
        <f t="array" ref="I761">IFERROR(INDEX(ReferenceCard, MATCH(1, (INDEX(ReferenceCard,,1)=Table1[[#This Row],[SAP No]]) * (INDEX(ReferenceCard,,2)=Table1[[#This Row],[Mould No]]), 0), 4),)</f>
        <v>4</v>
      </c>
      <c r="J761" s="4" cm="1">
        <f t="array" ref="J761">IFERROR(INDEX(ReferenceCard, MATCH(1, (INDEX(ReferenceCard,,1)=Table1[[#This Row],[SAP No]]) * (INDEX(ReferenceCard,,2)=Table1[[#This Row],[Mould No]]), 0), 9),)</f>
        <v>32.56</v>
      </c>
      <c r="K761" s="4" cm="1">
        <f t="array" ref="K761">IFERROR(INDEX(ReferenceCard, MATCH(1, (INDEX(ReferenceCard,,1)=Table1[[#This Row],[SAP No]]) * (INDEX(ReferenceCard,,2)=Table1[[#This Row],[Mould No]]), 0), 7),)</f>
        <v>33</v>
      </c>
      <c r="L761">
        <v>12264</v>
      </c>
      <c r="M761">
        <v>0</v>
      </c>
      <c r="N761">
        <v>0</v>
      </c>
      <c r="O761">
        <v>0</v>
      </c>
      <c r="P761">
        <f>Table1[[#This Row],[Shot]]*Table1[[#This Row],[Cav]]</f>
        <v>49056</v>
      </c>
      <c r="Q761">
        <v>0</v>
      </c>
      <c r="R761">
        <f>(Table1[[#This Row],[Part Weight (gm)]]*Table1[[#This Row],[Finish Good]])/1000</f>
        <v>0</v>
      </c>
      <c r="S761">
        <v>0</v>
      </c>
      <c r="T761">
        <f>IF(Table1[[#This Row],[Qty Order]]="Sample","-",IF(Table1[[#This Row],[Qty Order]]="RTFN","-",Table1[[#This Row],[Qty Order]]-Table1[[#This Row],[Qty Accumulate]]))</f>
        <v>0</v>
      </c>
      <c r="U761">
        <f>((Table1[[#This Row],[Shift Output]]*Table1[[#This Row],[Part Weight (gm)]])/1000)+Table1[[#This Row],[Reject Startup (kg)]]+Table1[[#This Row],[Reject Purging (kg)]]+Table1[[#This Row],[Reject Preform (kg)]]</f>
        <v>1633.848</v>
      </c>
      <c r="V761" s="37">
        <f>(Table1[[#This Row],[Gross Weight (gm)]]-Table1[[#This Row],[Part Weight (gm)]])*Table1[[#This Row],[Shift Output]]/1000</f>
        <v>-21.58463999999989</v>
      </c>
      <c r="W761" s="3">
        <v>10</v>
      </c>
      <c r="X761" s="36">
        <f>Table1[[#This Row],[Reject Startup (kg)]]/Table1[[#This Row],[Material Used]]</f>
        <v>6.1205203911257351E-3</v>
      </c>
      <c r="Y761" s="3">
        <v>4</v>
      </c>
      <c r="Z761" s="36">
        <f>Table1[[#This Row],[Reject Prod (kg)]]/Table1[[#This Row],[Material Used]]</f>
        <v>2.448208156450294E-3</v>
      </c>
      <c r="AA761" s="4">
        <v>23.987634658813398</v>
      </c>
      <c r="AB761" s="5">
        <v>8.7899999999999903</v>
      </c>
      <c r="AC761" s="4" cm="1">
        <f t="array" ref="AC761">IFERROR(INDEX(ReferenceCard, MATCH(1, (INDEX(ReferenceCard,,1)=Table1[[#This Row],[SAP No]]) * (INDEX(ReferenceCard,,2)=Table1[[#This Row],[Mould No]]), 0), 9),)</f>
        <v>32.56</v>
      </c>
      <c r="AD761" s="5">
        <v>0</v>
      </c>
      <c r="AE761" s="5">
        <v>0</v>
      </c>
      <c r="AF761" s="5">
        <v>0</v>
      </c>
      <c r="AG761" s="5">
        <v>0.70999999999999897</v>
      </c>
      <c r="AH761" s="5">
        <v>0.8</v>
      </c>
      <c r="AI761" s="5">
        <v>0</v>
      </c>
      <c r="AJ761" s="5">
        <v>0</v>
      </c>
      <c r="AL761" s="2"/>
      <c r="AM761" s="2"/>
      <c r="AN761" s="3">
        <v>3</v>
      </c>
      <c r="AO761" s="3">
        <v>2</v>
      </c>
      <c r="AP761" s="6">
        <f>((Table1[[#This Row],[Reject Startup (kg)]]+Table1[[#This Row],[Reject Prod (kg)]]+Table1[[#This Row],[Reject Purging (kg)]]+Table1[[#This Row],[Reject Preform (kg)]])/Table1[[#This Row],[Part Weight (gm)]])*1000</f>
        <v>575.75757575757575</v>
      </c>
    </row>
    <row r="762" spans="1:42" x14ac:dyDescent="0.35">
      <c r="A762" s="1">
        <v>45999</v>
      </c>
      <c r="B762">
        <v>1</v>
      </c>
      <c r="C762" t="s">
        <v>11</v>
      </c>
      <c r="D762" t="str" cm="1">
        <f t="array" ref="D762">IFERROR(INDEX(ReferenceCard, MATCH(1, (INDEX(ReferenceCard,,1)=Table1[[#This Row],[SAP No]]) * (INDEX(ReferenceCard,,2)=Table1[[#This Row],[Mould No]]), 0), 6),)</f>
        <v>rPET</v>
      </c>
      <c r="E762">
        <v>620994</v>
      </c>
      <c r="F762">
        <v>0</v>
      </c>
      <c r="G762" t="str" cm="1">
        <f t="array" ref="G762">IFERROR(INDEX(ReferenceCard, MATCH(1, (INDEX(ReferenceCard,,1)=Table1[[#This Row],[SAP No]]) * (INDEX(ReferenceCard,,2)=Table1[[#This Row],[Mould No]]), 0), 3),)</f>
        <v>JJ63-0400-SH-S-CL-rPET</v>
      </c>
      <c r="H762">
        <v>0</v>
      </c>
      <c r="I762" cm="1">
        <f t="array" ref="I762">IFERROR(INDEX(ReferenceCard, MATCH(1, (INDEX(ReferenceCard,,1)=Table1[[#This Row],[SAP No]]) * (INDEX(ReferenceCard,,2)=Table1[[#This Row],[Mould No]]), 0), 4),)</f>
        <v>4</v>
      </c>
      <c r="J762" s="4" cm="1">
        <f t="array" ref="J762">IFERROR(INDEX(ReferenceCard, MATCH(1, (INDEX(ReferenceCard,,1)=Table1[[#This Row],[SAP No]]) * (INDEX(ReferenceCard,,2)=Table1[[#This Row],[Mould No]]), 0), 9),)</f>
        <v>32.74</v>
      </c>
      <c r="K762" s="4" cm="1">
        <f t="array" ref="K762">IFERROR(INDEX(ReferenceCard, MATCH(1, (INDEX(ReferenceCard,,1)=Table1[[#This Row],[SAP No]]) * (INDEX(ReferenceCard,,2)=Table1[[#This Row],[Mould No]]), 0), 7),)</f>
        <v>33</v>
      </c>
      <c r="L762">
        <v>1571</v>
      </c>
      <c r="M762">
        <v>0</v>
      </c>
      <c r="N762">
        <v>0</v>
      </c>
      <c r="O762">
        <v>0</v>
      </c>
      <c r="P762">
        <f>Table1[[#This Row],[Shot]]*Table1[[#This Row],[Cav]]</f>
        <v>6284</v>
      </c>
      <c r="Q762">
        <v>0</v>
      </c>
      <c r="R762">
        <f>(Table1[[#This Row],[Part Weight (gm)]]*Table1[[#This Row],[Finish Good]])/1000</f>
        <v>0</v>
      </c>
      <c r="S762">
        <v>0</v>
      </c>
      <c r="T762">
        <f>IF(Table1[[#This Row],[Qty Order]]="Sample","-",IF(Table1[[#This Row],[Qty Order]]="RTFN","-",Table1[[#This Row],[Qty Order]]-Table1[[#This Row],[Qty Accumulate]]))</f>
        <v>0</v>
      </c>
      <c r="U762">
        <f>((Table1[[#This Row],[Shift Output]]*Table1[[#This Row],[Part Weight (gm)]])/1000)+Table1[[#This Row],[Reject Startup (kg)]]+Table1[[#This Row],[Reject Purging (kg)]]+Table1[[#This Row],[Reject Preform (kg)]]</f>
        <v>222.37200000000001</v>
      </c>
      <c r="V762" s="37">
        <f>(Table1[[#This Row],[Gross Weight (gm)]]-Table1[[#This Row],[Part Weight (gm)]])*Table1[[#This Row],[Shift Output]]/1000</f>
        <v>-1.6338399999999873</v>
      </c>
      <c r="W762" s="3">
        <v>10</v>
      </c>
      <c r="X762" s="36">
        <f>Table1[[#This Row],[Reject Startup (kg)]]/Table1[[#This Row],[Material Used]]</f>
        <v>4.4969690428651087E-2</v>
      </c>
      <c r="Y762" s="3">
        <v>6</v>
      </c>
      <c r="Z762" s="36">
        <f>Table1[[#This Row],[Reject Prod (kg)]]/Table1[[#This Row],[Material Used]]</f>
        <v>2.6981814257190651E-2</v>
      </c>
      <c r="AA762" s="4">
        <v>22.714418411254801</v>
      </c>
      <c r="AB762" s="5">
        <v>9.5899999999999892</v>
      </c>
      <c r="AC762" s="4" cm="1">
        <f t="array" ref="AC762">IFERROR(INDEX(ReferenceCard, MATCH(1, (INDEX(ReferenceCard,,1)=Table1[[#This Row],[SAP No]]) * (INDEX(ReferenceCard,,2)=Table1[[#This Row],[Mould No]]), 0), 9),)</f>
        <v>32.74</v>
      </c>
      <c r="AD762" s="5">
        <v>0</v>
      </c>
      <c r="AE762" s="5">
        <v>0</v>
      </c>
      <c r="AF762" s="5">
        <v>0</v>
      </c>
      <c r="AG762" s="5">
        <v>0.11</v>
      </c>
      <c r="AH762" s="5">
        <v>0.60999999999999899</v>
      </c>
      <c r="AI762" s="5">
        <v>0</v>
      </c>
      <c r="AJ762" s="5">
        <v>0</v>
      </c>
      <c r="AK762" t="s">
        <v>186</v>
      </c>
      <c r="AL762" s="2"/>
      <c r="AM762" s="2"/>
      <c r="AN762" s="3">
        <v>3</v>
      </c>
      <c r="AO762" s="3">
        <v>2</v>
      </c>
      <c r="AP762" s="6">
        <f>((Table1[[#This Row],[Reject Startup (kg)]]+Table1[[#This Row],[Reject Prod (kg)]]+Table1[[#This Row],[Reject Purging (kg)]]+Table1[[#This Row],[Reject Preform (kg)]])/Table1[[#This Row],[Part Weight (gm)]])*1000</f>
        <v>636.36363636363637</v>
      </c>
    </row>
    <row r="763" spans="1:42" x14ac:dyDescent="0.35">
      <c r="A763" s="1">
        <v>45999</v>
      </c>
      <c r="B763">
        <v>1</v>
      </c>
      <c r="C763" t="s">
        <v>9</v>
      </c>
      <c r="D763" t="str" cm="1">
        <f t="array" ref="D763">IFERROR(INDEX(ReferenceCard, MATCH(1, (INDEX(ReferenceCard,,1)=Table1[[#This Row],[SAP No]]) * (INDEX(ReferenceCard,,2)=Table1[[#This Row],[Mould No]]), 0), 6),)</f>
        <v>rPET</v>
      </c>
      <c r="E763">
        <v>593537</v>
      </c>
      <c r="F763">
        <v>0</v>
      </c>
      <c r="G763" t="str" cm="1">
        <f t="array" ref="G763">IFERROR(INDEX(ReferenceCard, MATCH(1, (INDEX(ReferenceCard,,1)=Table1[[#This Row],[SAP No]]) * (INDEX(ReferenceCard,,2)=Table1[[#This Row],[Mould No]]), 0), 3),)</f>
        <v>BX38-1000-RN-R-CL-rPET</v>
      </c>
      <c r="H763">
        <v>0</v>
      </c>
      <c r="I763" cm="1">
        <f t="array" ref="I763">IFERROR(INDEX(ReferenceCard, MATCH(1, (INDEX(ReferenceCard,,1)=Table1[[#This Row],[SAP No]]) * (INDEX(ReferenceCard,,2)=Table1[[#This Row],[Mould No]]), 0), 4),)</f>
        <v>4</v>
      </c>
      <c r="J763" s="4" cm="1">
        <f t="array" ref="J763">IFERROR(INDEX(ReferenceCard, MATCH(1, (INDEX(ReferenceCard,,1)=Table1[[#This Row],[SAP No]]) * (INDEX(ReferenceCard,,2)=Table1[[#This Row],[Mould No]]), 0), 9),)</f>
        <v>56.5</v>
      </c>
      <c r="K763" s="4" cm="1">
        <f t="array" ref="K763">IFERROR(INDEX(ReferenceCard, MATCH(1, (INDEX(ReferenceCard,,1)=Table1[[#This Row],[SAP No]]) * (INDEX(ReferenceCard,,2)=Table1[[#This Row],[Mould No]]), 0), 7),)</f>
        <v>56.8</v>
      </c>
      <c r="L763">
        <v>1103</v>
      </c>
      <c r="M763">
        <v>0</v>
      </c>
      <c r="N763">
        <v>0</v>
      </c>
      <c r="O763">
        <v>0</v>
      </c>
      <c r="P763">
        <f>Table1[[#This Row],[Shot]]*Table1[[#This Row],[Cav]]</f>
        <v>4412</v>
      </c>
      <c r="Q763">
        <v>0</v>
      </c>
      <c r="R763">
        <f>(Table1[[#This Row],[Part Weight (gm)]]*Table1[[#This Row],[Finish Good]])/1000</f>
        <v>0</v>
      </c>
      <c r="S763">
        <v>0</v>
      </c>
      <c r="T763">
        <f>IF(Table1[[#This Row],[Qty Order]]="Sample","-",IF(Table1[[#This Row],[Qty Order]]="RTFN","-",Table1[[#This Row],[Qty Order]]-Table1[[#This Row],[Qty Accumulate]]))</f>
        <v>0</v>
      </c>
      <c r="U763">
        <f>((Table1[[#This Row],[Shift Output]]*Table1[[#This Row],[Part Weight (gm)]])/1000)+Table1[[#This Row],[Reject Startup (kg)]]+Table1[[#This Row],[Reject Purging (kg)]]+Table1[[#This Row],[Reject Preform (kg)]]</f>
        <v>258.60159999999996</v>
      </c>
      <c r="V763" s="37">
        <f>(Table1[[#This Row],[Gross Weight (gm)]]-Table1[[#This Row],[Part Weight (gm)]])*Table1[[#This Row],[Shift Output]]/1000</f>
        <v>-1.3235999999999875</v>
      </c>
      <c r="W763" s="3">
        <v>3</v>
      </c>
      <c r="X763" s="36">
        <f>Table1[[#This Row],[Reject Startup (kg)]]/Table1[[#This Row],[Material Used]]</f>
        <v>1.1600856297872868E-2</v>
      </c>
      <c r="Y763" s="3">
        <v>1</v>
      </c>
      <c r="Z763" s="36">
        <f>Table1[[#This Row],[Reject Prod (kg)]]/Table1[[#This Row],[Material Used]]</f>
        <v>3.8669520992909564E-3</v>
      </c>
      <c r="AA763" s="4">
        <v>28.465652465820298</v>
      </c>
      <c r="AB763" s="5">
        <v>9.66</v>
      </c>
      <c r="AC763" s="4" cm="1">
        <f t="array" ref="AC763">IFERROR(INDEX(ReferenceCard, MATCH(1, (INDEX(ReferenceCard,,1)=Table1[[#This Row],[SAP No]]) * (INDEX(ReferenceCard,,2)=Table1[[#This Row],[Mould No]]), 0), 9),)</f>
        <v>56.5</v>
      </c>
      <c r="AD763" s="5">
        <v>0</v>
      </c>
      <c r="AE763" s="5">
        <v>0</v>
      </c>
      <c r="AF763" s="5">
        <v>0</v>
      </c>
      <c r="AG763" s="5">
        <v>0</v>
      </c>
      <c r="AH763" s="5">
        <v>0.65</v>
      </c>
      <c r="AI763" s="5">
        <v>0</v>
      </c>
      <c r="AJ763" s="5">
        <v>0</v>
      </c>
      <c r="AL763" s="2"/>
      <c r="AM763" s="2"/>
      <c r="AN763" s="3">
        <v>3</v>
      </c>
      <c r="AO763" s="3">
        <v>2</v>
      </c>
      <c r="AP763" s="6">
        <f>((Table1[[#This Row],[Reject Startup (kg)]]+Table1[[#This Row],[Reject Prod (kg)]]+Table1[[#This Row],[Reject Purging (kg)]]+Table1[[#This Row],[Reject Preform (kg)]])/Table1[[#This Row],[Part Weight (gm)]])*1000</f>
        <v>158.45070422535213</v>
      </c>
    </row>
    <row r="764" spans="1:42" x14ac:dyDescent="0.35">
      <c r="A764" s="1">
        <v>45999</v>
      </c>
      <c r="B764">
        <v>1</v>
      </c>
      <c r="C764" t="s">
        <v>7</v>
      </c>
      <c r="D764" t="str" cm="1">
        <f t="array" ref="D764">IFERROR(INDEX(ReferenceCard, MATCH(1, (INDEX(ReferenceCard,,1)=Table1[[#This Row],[SAP No]]) * (INDEX(ReferenceCard,,2)=Table1[[#This Row],[Mould No]]), 0), 6),)</f>
        <v>PET</v>
      </c>
      <c r="E764">
        <v>426555</v>
      </c>
      <c r="F764">
        <v>0</v>
      </c>
      <c r="G764" t="str" cm="1">
        <f t="array" ref="G764">IFERROR(INDEX(ReferenceCard, MATCH(1, (INDEX(ReferenceCard,,1)=Table1[[#This Row],[SAP No]]) * (INDEX(ReferenceCard,,2)=Table1[[#This Row],[Mould No]]), 0), 3),)</f>
        <v>BX38-0330-Z-S-CL-HW</v>
      </c>
      <c r="H764">
        <v>0</v>
      </c>
      <c r="I764" cm="1">
        <f t="array" ref="I764">IFERROR(INDEX(ReferenceCard, MATCH(1, (INDEX(ReferenceCard,,1)=Table1[[#This Row],[SAP No]]) * (INDEX(ReferenceCard,,2)=Table1[[#This Row],[Mould No]]), 0), 4),)</f>
        <v>4</v>
      </c>
      <c r="J764" s="4" cm="1">
        <f t="array" ref="J764">IFERROR(INDEX(ReferenceCard, MATCH(1, (INDEX(ReferenceCard,,1)=Table1[[#This Row],[SAP No]]) * (INDEX(ReferenceCard,,2)=Table1[[#This Row],[Mould No]]), 0), 9),)</f>
        <v>29</v>
      </c>
      <c r="K764" s="4" cm="1">
        <f t="array" ref="K764">IFERROR(INDEX(ReferenceCard, MATCH(1, (INDEX(ReferenceCard,,1)=Table1[[#This Row],[SAP No]]) * (INDEX(ReferenceCard,,2)=Table1[[#This Row],[Mould No]]), 0), 7),)</f>
        <v>29</v>
      </c>
      <c r="L764">
        <v>1677</v>
      </c>
      <c r="M764">
        <v>0</v>
      </c>
      <c r="N764">
        <v>0</v>
      </c>
      <c r="O764">
        <v>0</v>
      </c>
      <c r="P764">
        <f>Table1[[#This Row],[Shot]]*Table1[[#This Row],[Cav]]</f>
        <v>6708</v>
      </c>
      <c r="Q764">
        <v>0</v>
      </c>
      <c r="R764">
        <f>(Table1[[#This Row],[Part Weight (gm)]]*Table1[[#This Row],[Finish Good]])/1000</f>
        <v>0</v>
      </c>
      <c r="S764">
        <v>0</v>
      </c>
      <c r="T764">
        <f>IF(Table1[[#This Row],[Qty Order]]="Sample","-",IF(Table1[[#This Row],[Qty Order]]="RTFN","-",Table1[[#This Row],[Qty Order]]-Table1[[#This Row],[Qty Accumulate]]))</f>
        <v>0</v>
      </c>
      <c r="U764">
        <f>((Table1[[#This Row],[Shift Output]]*Table1[[#This Row],[Part Weight (gm)]])/1000)+Table1[[#This Row],[Reject Startup (kg)]]+Table1[[#This Row],[Reject Purging (kg)]]+Table1[[#This Row],[Reject Preform (kg)]]</f>
        <v>216.53200000000001</v>
      </c>
      <c r="V764" s="37">
        <f>(Table1[[#This Row],[Gross Weight (gm)]]-Table1[[#This Row],[Part Weight (gm)]])*Table1[[#This Row],[Shift Output]]/1000</f>
        <v>0</v>
      </c>
      <c r="W764" s="3">
        <v>7</v>
      </c>
      <c r="X764" s="36">
        <f>Table1[[#This Row],[Reject Startup (kg)]]/Table1[[#This Row],[Material Used]]</f>
        <v>3.2327785269613725E-2</v>
      </c>
      <c r="Y764" s="3">
        <v>0</v>
      </c>
      <c r="Z764" s="36">
        <f>Table1[[#This Row],[Reject Prod (kg)]]/Table1[[#This Row],[Material Used]]</f>
        <v>0</v>
      </c>
      <c r="AA764" s="4">
        <v>0</v>
      </c>
      <c r="AB764" s="5">
        <v>0</v>
      </c>
      <c r="AC764" s="4" cm="1">
        <f t="array" ref="AC764">IFERROR(INDEX(ReferenceCard, MATCH(1, (INDEX(ReferenceCard,,1)=Table1[[#This Row],[SAP No]]) * (INDEX(ReferenceCard,,2)=Table1[[#This Row],[Mould No]]), 0), 9),)</f>
        <v>29</v>
      </c>
      <c r="AD764" s="5">
        <v>0</v>
      </c>
      <c r="AE764" s="5">
        <v>0</v>
      </c>
      <c r="AF764" s="5">
        <v>0</v>
      </c>
      <c r="AG764" s="5">
        <v>10.3</v>
      </c>
      <c r="AH764" s="5">
        <v>0</v>
      </c>
      <c r="AI764" s="5">
        <v>0</v>
      </c>
      <c r="AJ764" s="5">
        <v>0</v>
      </c>
      <c r="AK764" t="s">
        <v>187</v>
      </c>
      <c r="AL764" s="2" t="s">
        <v>188</v>
      </c>
      <c r="AM764" s="2"/>
      <c r="AN764" s="3"/>
      <c r="AO764" s="3">
        <v>15</v>
      </c>
      <c r="AP764" s="6">
        <f>((Table1[[#This Row],[Reject Startup (kg)]]+Table1[[#This Row],[Reject Prod (kg)]]+Table1[[#This Row],[Reject Purging (kg)]]+Table1[[#This Row],[Reject Preform (kg)]])/Table1[[#This Row],[Part Weight (gm)]])*1000</f>
        <v>758.62068965517233</v>
      </c>
    </row>
    <row r="765" spans="1:42" x14ac:dyDescent="0.35">
      <c r="A765" s="1">
        <v>45999</v>
      </c>
      <c r="B765">
        <v>1</v>
      </c>
      <c r="C765" t="s">
        <v>5</v>
      </c>
      <c r="D765" t="str" cm="1">
        <f t="array" ref="D765">IFERROR(INDEX(ReferenceCard, MATCH(1, (INDEX(ReferenceCard,,1)=Table1[[#This Row],[SAP No]]) * (INDEX(ReferenceCard,,2)=Table1[[#This Row],[Mould No]]), 0), 6),)</f>
        <v>PET</v>
      </c>
      <c r="E765">
        <v>543590</v>
      </c>
      <c r="F765">
        <v>0</v>
      </c>
      <c r="G765" t="str" cm="1">
        <f t="array" ref="G765">IFERROR(INDEX(ReferenceCard, MATCH(1, (INDEX(ReferenceCard,,1)=Table1[[#This Row],[SAP No]]) * (INDEX(ReferenceCard,,2)=Table1[[#This Row],[Mould No]]), 0), 3),)</f>
        <v>BC28-0130-R-R-AM</v>
      </c>
      <c r="H765">
        <v>0</v>
      </c>
      <c r="I765" cm="1">
        <f t="array" ref="I765">IFERROR(INDEX(ReferenceCard, MATCH(1, (INDEX(ReferenceCard,,1)=Table1[[#This Row],[SAP No]]) * (INDEX(ReferenceCard,,2)=Table1[[#This Row],[Mould No]]), 0), 4),)</f>
        <v>4</v>
      </c>
      <c r="J765" s="4" cm="1">
        <f t="array" ref="J765">IFERROR(INDEX(ReferenceCard, MATCH(1, (INDEX(ReferenceCard,,1)=Table1[[#This Row],[SAP No]]) * (INDEX(ReferenceCard,,2)=Table1[[#This Row],[Mould No]]), 0), 9),)</f>
        <v>19</v>
      </c>
      <c r="K765" s="4" cm="1">
        <f t="array" ref="K765">IFERROR(INDEX(ReferenceCard, MATCH(1, (INDEX(ReferenceCard,,1)=Table1[[#This Row],[SAP No]]) * (INDEX(ReferenceCard,,2)=Table1[[#This Row],[Mould No]]), 0), 7),)</f>
        <v>19</v>
      </c>
      <c r="L765">
        <v>1700</v>
      </c>
      <c r="M765">
        <v>0</v>
      </c>
      <c r="N765">
        <v>0</v>
      </c>
      <c r="O765">
        <v>0</v>
      </c>
      <c r="P765">
        <f>Table1[[#This Row],[Shot]]*Table1[[#This Row],[Cav]]</f>
        <v>6800</v>
      </c>
      <c r="Q765">
        <v>0</v>
      </c>
      <c r="R765">
        <f>(Table1[[#This Row],[Part Weight (gm)]]*Table1[[#This Row],[Finish Good]])/1000</f>
        <v>0</v>
      </c>
      <c r="S765">
        <v>0</v>
      </c>
      <c r="T765">
        <f>IF(Table1[[#This Row],[Qty Order]]="Sample","-",IF(Table1[[#This Row],[Qty Order]]="RTFN","-",Table1[[#This Row],[Qty Order]]-Table1[[#This Row],[Qty Accumulate]]))</f>
        <v>0</v>
      </c>
      <c r="U765">
        <f>((Table1[[#This Row],[Shift Output]]*Table1[[#This Row],[Part Weight (gm)]])/1000)+Table1[[#This Row],[Reject Startup (kg)]]+Table1[[#This Row],[Reject Purging (kg)]]+Table1[[#This Row],[Reject Preform (kg)]]</f>
        <v>139.19999999999999</v>
      </c>
      <c r="V765" s="37">
        <f>(Table1[[#This Row],[Gross Weight (gm)]]-Table1[[#This Row],[Part Weight (gm)]])*Table1[[#This Row],[Shift Output]]/1000</f>
        <v>0</v>
      </c>
      <c r="W765" s="3">
        <v>5</v>
      </c>
      <c r="X765" s="36">
        <f>Table1[[#This Row],[Reject Startup (kg)]]/Table1[[#This Row],[Material Used]]</f>
        <v>3.5919540229885062E-2</v>
      </c>
      <c r="Y765" s="3">
        <v>2</v>
      </c>
      <c r="Z765" s="36">
        <f>Table1[[#This Row],[Reject Prod (kg)]]/Table1[[#This Row],[Material Used]]</f>
        <v>1.4367816091954025E-2</v>
      </c>
      <c r="AA765" s="4">
        <v>22.522768020629801</v>
      </c>
      <c r="AB765" s="5">
        <v>9.4299999999999908</v>
      </c>
      <c r="AC765" s="4" cm="1">
        <f t="array" ref="AC765">IFERROR(INDEX(ReferenceCard, MATCH(1, (INDEX(ReferenceCard,,1)=Table1[[#This Row],[SAP No]]) * (INDEX(ReferenceCard,,2)=Table1[[#This Row],[Mould No]]), 0), 9),)</f>
        <v>19</v>
      </c>
      <c r="AD765" s="5">
        <v>0</v>
      </c>
      <c r="AE765" s="5">
        <v>0</v>
      </c>
      <c r="AF765" s="5">
        <v>0</v>
      </c>
      <c r="AG765" s="5">
        <v>0</v>
      </c>
      <c r="AH765" s="5">
        <v>0.88</v>
      </c>
      <c r="AI765" s="5">
        <v>0</v>
      </c>
      <c r="AJ765" s="5">
        <v>0</v>
      </c>
      <c r="AL765" s="2"/>
      <c r="AM765" s="2"/>
      <c r="AN765" s="3">
        <v>3</v>
      </c>
      <c r="AO765" s="3">
        <v>2</v>
      </c>
      <c r="AP765" s="6">
        <f>((Table1[[#This Row],[Reject Startup (kg)]]+Table1[[#This Row],[Reject Prod (kg)]]+Table1[[#This Row],[Reject Purging (kg)]]+Table1[[#This Row],[Reject Preform (kg)]])/Table1[[#This Row],[Part Weight (gm)]])*1000</f>
        <v>631.57894736842104</v>
      </c>
    </row>
    <row r="766" spans="1:42" x14ac:dyDescent="0.35">
      <c r="A766" s="1">
        <v>45999</v>
      </c>
      <c r="B766">
        <v>1</v>
      </c>
      <c r="C766" t="s">
        <v>3</v>
      </c>
      <c r="D766" t="str" cm="1">
        <f t="array" ref="D766">IFERROR(INDEX(ReferenceCard, MATCH(1, (INDEX(ReferenceCard,,1)=Table1[[#This Row],[SAP No]]) * (INDEX(ReferenceCard,,2)=Table1[[#This Row],[Mould No]]), 0), 6),)</f>
        <v>PET</v>
      </c>
      <c r="E766">
        <v>324163</v>
      </c>
      <c r="F766">
        <v>0</v>
      </c>
      <c r="G766" t="str" cm="1">
        <f t="array" ref="G766">IFERROR(INDEX(ReferenceCard, MATCH(1, (INDEX(ReferenceCard,,1)=Table1[[#This Row],[SAP No]]) * (INDEX(ReferenceCard,,2)=Table1[[#This Row],[Mould No]]), 0), 3),)</f>
        <v>BC28-0265-A-Q-CL</v>
      </c>
      <c r="H766">
        <v>0</v>
      </c>
      <c r="I766" cm="1">
        <f t="array" ref="I766">IFERROR(INDEX(ReferenceCard, MATCH(1, (INDEX(ReferenceCard,,1)=Table1[[#This Row],[SAP No]]) * (INDEX(ReferenceCard,,2)=Table1[[#This Row],[Mould No]]), 0), 4),)</f>
        <v>4</v>
      </c>
      <c r="J766" s="4" cm="1">
        <f t="array" ref="J766">IFERROR(INDEX(ReferenceCard, MATCH(1, (INDEX(ReferenceCard,,1)=Table1[[#This Row],[SAP No]]) * (INDEX(ReferenceCard,,2)=Table1[[#This Row],[Mould No]]), 0), 9),)</f>
        <v>24</v>
      </c>
      <c r="K766" s="4" cm="1">
        <f t="array" ref="K766">IFERROR(INDEX(ReferenceCard, MATCH(1, (INDEX(ReferenceCard,,1)=Table1[[#This Row],[SAP No]]) * (INDEX(ReferenceCard,,2)=Table1[[#This Row],[Mould No]]), 0), 7),)</f>
        <v>23.5</v>
      </c>
      <c r="L766">
        <v>151</v>
      </c>
      <c r="M766">
        <v>0</v>
      </c>
      <c r="N766">
        <v>0</v>
      </c>
      <c r="O766">
        <v>0</v>
      </c>
      <c r="P766">
        <f>Table1[[#This Row],[Shot]]*Table1[[#This Row],[Cav]]</f>
        <v>604</v>
      </c>
      <c r="Q766">
        <v>0</v>
      </c>
      <c r="R766">
        <f>(Table1[[#This Row],[Part Weight (gm)]]*Table1[[#This Row],[Finish Good]])/1000</f>
        <v>0</v>
      </c>
      <c r="S766">
        <v>0</v>
      </c>
      <c r="T766">
        <f>IF(Table1[[#This Row],[Qty Order]]="Sample","-",IF(Table1[[#This Row],[Qty Order]]="RTFN","-",Table1[[#This Row],[Qty Order]]-Table1[[#This Row],[Qty Accumulate]]))</f>
        <v>0</v>
      </c>
      <c r="U766">
        <f>((Table1[[#This Row],[Shift Output]]*Table1[[#This Row],[Part Weight (gm)]])/1000)+Table1[[#This Row],[Reject Startup (kg)]]+Table1[[#This Row],[Reject Purging (kg)]]+Table1[[#This Row],[Reject Preform (kg)]]</f>
        <v>29.194000000000003</v>
      </c>
      <c r="V766" s="37">
        <f>(Table1[[#This Row],[Gross Weight (gm)]]-Table1[[#This Row],[Part Weight (gm)]])*Table1[[#This Row],[Shift Output]]/1000</f>
        <v>0.30199999999999999</v>
      </c>
      <c r="W766" s="3">
        <v>0</v>
      </c>
      <c r="X766" s="36">
        <f>Table1[[#This Row],[Reject Startup (kg)]]/Table1[[#This Row],[Material Used]]</f>
        <v>0</v>
      </c>
      <c r="Y766" s="3">
        <v>0</v>
      </c>
      <c r="Z766" s="36">
        <f>Table1[[#This Row],[Reject Prod (kg)]]/Table1[[#This Row],[Material Used]]</f>
        <v>0</v>
      </c>
      <c r="AA766" s="4">
        <v>0</v>
      </c>
      <c r="AB766" s="5">
        <v>0</v>
      </c>
      <c r="AC766" s="4" cm="1">
        <f t="array" ref="AC766">IFERROR(INDEX(ReferenceCard, MATCH(1, (INDEX(ReferenceCard,,1)=Table1[[#This Row],[SAP No]]) * (INDEX(ReferenceCard,,2)=Table1[[#This Row],[Mould No]]), 0), 9),)</f>
        <v>24</v>
      </c>
      <c r="AD766" s="5">
        <v>0</v>
      </c>
      <c r="AE766" s="5">
        <v>0</v>
      </c>
      <c r="AF766" s="5">
        <v>0</v>
      </c>
      <c r="AG766" s="5">
        <v>0</v>
      </c>
      <c r="AH766" s="5">
        <v>10.31</v>
      </c>
      <c r="AI766" s="5">
        <v>0</v>
      </c>
      <c r="AJ766" s="5">
        <v>0</v>
      </c>
      <c r="AK766" t="s">
        <v>189</v>
      </c>
      <c r="AL766" s="2" t="s">
        <v>190</v>
      </c>
      <c r="AM766" s="2"/>
      <c r="AN766" s="3"/>
      <c r="AO766" s="3">
        <v>15</v>
      </c>
      <c r="AP766" s="6">
        <f>((Table1[[#This Row],[Reject Startup (kg)]]+Table1[[#This Row],[Reject Prod (kg)]]+Table1[[#This Row],[Reject Purging (kg)]]+Table1[[#This Row],[Reject Preform (kg)]])/Table1[[#This Row],[Part Weight (gm)]])*1000</f>
        <v>638.29787234042556</v>
      </c>
    </row>
    <row r="767" spans="1:42" x14ac:dyDescent="0.35">
      <c r="A767" s="1">
        <v>45999</v>
      </c>
      <c r="B767">
        <v>1</v>
      </c>
      <c r="C767" t="s">
        <v>0</v>
      </c>
      <c r="D767" t="str" cm="1">
        <f t="array" ref="D767">IFERROR(INDEX(ReferenceCard, MATCH(1, (INDEX(ReferenceCard,,1)=Table1[[#This Row],[SAP No]]) * (INDEX(ReferenceCard,,2)=Table1[[#This Row],[Mould No]]), 0), 6),)</f>
        <v>PET</v>
      </c>
      <c r="E767">
        <v>369308</v>
      </c>
      <c r="F767">
        <v>0</v>
      </c>
      <c r="G767" t="str" cm="1">
        <f t="array" ref="G767">IFERROR(INDEX(ReferenceCard, MATCH(1, (INDEX(ReferenceCard,,1)=Table1[[#This Row],[SAP No]]) * (INDEX(ReferenceCard,,2)=Table1[[#This Row],[Mould No]]), 0), 3),)</f>
        <v>BW38-0280-LS-R-RED</v>
      </c>
      <c r="H767">
        <v>0</v>
      </c>
      <c r="I767" cm="1">
        <f t="array" ref="I767">IFERROR(INDEX(ReferenceCard, MATCH(1, (INDEX(ReferenceCard,,1)=Table1[[#This Row],[SAP No]]) * (INDEX(ReferenceCard,,2)=Table1[[#This Row],[Mould No]]), 0), 4),)</f>
        <v>4</v>
      </c>
      <c r="J767" s="4" cm="1">
        <f t="array" ref="J767">IFERROR(INDEX(ReferenceCard, MATCH(1, (INDEX(ReferenceCard,,1)=Table1[[#This Row],[SAP No]]) * (INDEX(ReferenceCard,,2)=Table1[[#This Row],[Mould No]]), 0), 9),)</f>
        <v>31</v>
      </c>
      <c r="K767" s="4" cm="1">
        <f t="array" ref="K767">IFERROR(INDEX(ReferenceCard, MATCH(1, (INDEX(ReferenceCard,,1)=Table1[[#This Row],[SAP No]]) * (INDEX(ReferenceCard,,2)=Table1[[#This Row],[Mould No]]), 0), 7),)</f>
        <v>31</v>
      </c>
      <c r="L767">
        <v>1266</v>
      </c>
      <c r="M767">
        <v>0</v>
      </c>
      <c r="N767">
        <v>0</v>
      </c>
      <c r="O767">
        <v>0</v>
      </c>
      <c r="P767">
        <f>Table1[[#This Row],[Shot]]*Table1[[#This Row],[Cav]]</f>
        <v>5064</v>
      </c>
      <c r="Q767">
        <v>0</v>
      </c>
      <c r="R767">
        <f>(Table1[[#This Row],[Part Weight (gm)]]*Table1[[#This Row],[Finish Good]])/1000</f>
        <v>0</v>
      </c>
      <c r="S767">
        <v>0</v>
      </c>
      <c r="T767">
        <f>IF(Table1[[#This Row],[Qty Order]]="Sample","-",IF(Table1[[#This Row],[Qty Order]]="RTFN","-",Table1[[#This Row],[Qty Order]]-Table1[[#This Row],[Qty Accumulate]]))</f>
        <v>0</v>
      </c>
      <c r="U767">
        <f>((Table1[[#This Row],[Shift Output]]*Table1[[#This Row],[Part Weight (gm)]])/1000)+Table1[[#This Row],[Reject Startup (kg)]]+Table1[[#This Row],[Reject Purging (kg)]]+Table1[[#This Row],[Reject Preform (kg)]]</f>
        <v>202.98400000000001</v>
      </c>
      <c r="V767" s="37">
        <f>(Table1[[#This Row],[Gross Weight (gm)]]-Table1[[#This Row],[Part Weight (gm)]])*Table1[[#This Row],[Shift Output]]/1000</f>
        <v>0</v>
      </c>
      <c r="W767" s="3">
        <v>13</v>
      </c>
      <c r="X767" s="36">
        <f>Table1[[#This Row],[Reject Startup (kg)]]/Table1[[#This Row],[Material Used]]</f>
        <v>6.4044456705947259E-2</v>
      </c>
      <c r="Y767" s="3">
        <v>0</v>
      </c>
      <c r="Z767" s="36">
        <f>Table1[[#This Row],[Reject Prod (kg)]]/Table1[[#This Row],[Material Used]]</f>
        <v>0</v>
      </c>
      <c r="AA767" s="4">
        <v>27.285692214965799</v>
      </c>
      <c r="AB767" s="5">
        <v>2.25</v>
      </c>
      <c r="AC767" s="4" cm="1">
        <f t="array" ref="AC767">IFERROR(INDEX(ReferenceCard, MATCH(1, (INDEX(ReferenceCard,,1)=Table1[[#This Row],[SAP No]]) * (INDEX(ReferenceCard,,2)=Table1[[#This Row],[Mould No]]), 0), 9),)</f>
        <v>31</v>
      </c>
      <c r="AD767" s="5">
        <v>0</v>
      </c>
      <c r="AE767" s="5">
        <v>0</v>
      </c>
      <c r="AF767" s="5">
        <v>0</v>
      </c>
      <c r="AG767" s="5">
        <v>0</v>
      </c>
      <c r="AH767" s="5">
        <v>6.7</v>
      </c>
      <c r="AI767" s="5">
        <v>1.36</v>
      </c>
      <c r="AJ767" s="5">
        <v>0</v>
      </c>
      <c r="AL767" s="2"/>
      <c r="AM767" s="2"/>
      <c r="AN767" s="3">
        <v>25</v>
      </c>
      <c r="AO767" s="3">
        <v>8</v>
      </c>
      <c r="AP767" s="6">
        <f>((Table1[[#This Row],[Reject Startup (kg)]]+Table1[[#This Row],[Reject Prod (kg)]]+Table1[[#This Row],[Reject Purging (kg)]]+Table1[[#This Row],[Reject Preform (kg)]])/Table1[[#This Row],[Part Weight (gm)]])*1000</f>
        <v>1483.8709677419356</v>
      </c>
    </row>
    <row r="768" spans="1:42" x14ac:dyDescent="0.35">
      <c r="A768" s="1">
        <v>45997</v>
      </c>
      <c r="B768">
        <v>2</v>
      </c>
      <c r="C768" t="s">
        <v>33</v>
      </c>
      <c r="D768" t="str" cm="1">
        <f t="array" ref="D768">IFERROR(INDEX(ReferenceCard, MATCH(1, (INDEX(ReferenceCard,,1)=Table1[[#This Row],[SAP No]]) * (INDEX(ReferenceCard,,2)=Table1[[#This Row],[Mould No]]), 0), 6),)</f>
        <v>PET</v>
      </c>
      <c r="E768">
        <v>541381</v>
      </c>
      <c r="F768">
        <v>0</v>
      </c>
      <c r="G768" t="str" cm="1">
        <f t="array" ref="G768">IFERROR(INDEX(ReferenceCard, MATCH(1, (INDEX(ReferenceCard,,1)=Table1[[#This Row],[SAP No]]) * (INDEX(ReferenceCard,,2)=Table1[[#This Row],[Mould No]]), 0), 3),)</f>
        <v>BC28-1200-K-R-CL</v>
      </c>
      <c r="I768" cm="1">
        <f t="array" ref="I768">IFERROR(INDEX(ReferenceCard, MATCH(1, (INDEX(ReferenceCard,,1)=Table1[[#This Row],[SAP No]]) * (INDEX(ReferenceCard,,2)=Table1[[#This Row],[Mould No]]), 0), 4),)</f>
        <v>4</v>
      </c>
      <c r="J768" s="4" cm="1">
        <f t="array" ref="J768">IFERROR(INDEX(ReferenceCard, MATCH(1, (INDEX(ReferenceCard,,1)=Table1[[#This Row],[SAP No]]) * (INDEX(ReferenceCard,,2)=Table1[[#This Row],[Mould No]]), 0), 9),)</f>
        <v>55</v>
      </c>
      <c r="K768" s="4" cm="1">
        <f t="array" ref="K768">IFERROR(INDEX(ReferenceCard, MATCH(1, (INDEX(ReferenceCard,,1)=Table1[[#This Row],[SAP No]]) * (INDEX(ReferenceCard,,2)=Table1[[#This Row],[Mould No]]), 0), 7),)</f>
        <v>55</v>
      </c>
      <c r="L768">
        <v>0</v>
      </c>
      <c r="P768">
        <f>Table1[[#This Row],[Shot]]*Table1[[#This Row],[Cav]]</f>
        <v>0</v>
      </c>
      <c r="R768">
        <f>(Table1[[#This Row],[Part Weight (gm)]]*Table1[[#This Row],[Finish Good]])/1000</f>
        <v>0</v>
      </c>
      <c r="T768">
        <f>IF(Table1[[#This Row],[Qty Order]]="Sample","-",IF(Table1[[#This Row],[Qty Order]]="RTFN","-",Table1[[#This Row],[Qty Order]]-Table1[[#This Row],[Qty Accumulate]]))</f>
        <v>0</v>
      </c>
      <c r="U768">
        <f>((Table1[[#This Row],[Shift Output]]*Table1[[#This Row],[Part Weight (gm)]])/1000)+Table1[[#This Row],[Reject Startup (kg)]]+Table1[[#This Row],[Reject Purging (kg)]]+Table1[[#This Row],[Reject Preform (kg)]]</f>
        <v>0</v>
      </c>
      <c r="V768" s="37">
        <f>(Table1[[#This Row],[Gross Weight (gm)]]-Table1[[#This Row],[Part Weight (gm)]])*Table1[[#This Row],[Shift Output]]/1000</f>
        <v>0</v>
      </c>
      <c r="W768" s="3">
        <v>0</v>
      </c>
      <c r="X768" s="36" t="e">
        <f>Table1[[#This Row],[Reject Startup (kg)]]/Table1[[#This Row],[Material Used]]</f>
        <v>#DIV/0!</v>
      </c>
      <c r="Y768" s="3">
        <v>0</v>
      </c>
      <c r="Z768" s="36" t="e">
        <f>Table1[[#This Row],[Reject Prod (kg)]]/Table1[[#This Row],[Material Used]]</f>
        <v>#DIV/0!</v>
      </c>
      <c r="AA768" s="4"/>
      <c r="AB768" s="5">
        <v>0</v>
      </c>
      <c r="AC768" s="4" cm="1">
        <f t="array" ref="AC768">IFERROR(INDEX(ReferenceCard, MATCH(1, (INDEX(ReferenceCard,,1)=Table1[[#This Row],[SAP No]]) * (INDEX(ReferenceCard,,2)=Table1[[#This Row],[Mould No]]), 0), 9),)</f>
        <v>55</v>
      </c>
      <c r="AD768" s="5">
        <v>0</v>
      </c>
      <c r="AE768" s="5">
        <v>0</v>
      </c>
      <c r="AF768" s="5">
        <v>0</v>
      </c>
      <c r="AG768" s="5">
        <v>37.700000000000003</v>
      </c>
      <c r="AH768" s="5">
        <v>0</v>
      </c>
      <c r="AI768" s="5">
        <v>0</v>
      </c>
      <c r="AJ768" s="5">
        <v>0</v>
      </c>
      <c r="AK768" t="s">
        <v>191</v>
      </c>
      <c r="AL768" s="2"/>
      <c r="AM768" s="2"/>
      <c r="AN768" s="3">
        <v>0</v>
      </c>
      <c r="AO768" s="3">
        <v>0</v>
      </c>
      <c r="AP76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69" spans="1:42" x14ac:dyDescent="0.35">
      <c r="A769" s="1">
        <v>45997</v>
      </c>
      <c r="B769">
        <v>2</v>
      </c>
      <c r="C769" t="s">
        <v>35</v>
      </c>
      <c r="D769" t="str" cm="1">
        <f t="array" ref="D769">IFERROR(INDEX(ReferenceCard, MATCH(1, (INDEX(ReferenceCard,,1)=Table1[[#This Row],[SAP No]]) * (INDEX(ReferenceCard,,2)=Table1[[#This Row],[Mould No]]), 0), 6),)</f>
        <v>PPSB520Y</v>
      </c>
      <c r="E769">
        <v>552181</v>
      </c>
      <c r="F769">
        <v>1</v>
      </c>
      <c r="G769" t="str" cm="1">
        <f t="array" ref="G769">IFERROR(INDEX(ReferenceCard, MATCH(1, (INDEX(ReferenceCard,,1)=Table1[[#This Row],[SAP No]]) * (INDEX(ReferenceCard,,2)=Table1[[#This Row],[Mould No]]), 0), 3),)</f>
        <v>BC28-0090-D-APH-5180-3538-PP-6 NOTCHES-MOLD1</v>
      </c>
      <c r="I769" cm="1">
        <f t="array" ref="I769">IFERROR(INDEX(ReferenceCard, MATCH(1, (INDEX(ReferenceCard,,1)=Table1[[#This Row],[SAP No]]) * (INDEX(ReferenceCard,,2)=Table1[[#This Row],[Mould No]]), 0), 4),)</f>
        <v>6</v>
      </c>
      <c r="J769" s="4" cm="1">
        <f t="array" ref="J769">IFERROR(INDEX(ReferenceCard, MATCH(1, (INDEX(ReferenceCard,,1)=Table1[[#This Row],[SAP No]]) * (INDEX(ReferenceCard,,2)=Table1[[#This Row],[Mould No]]), 0), 9),)</f>
        <v>18.8</v>
      </c>
      <c r="K769" s="4" cm="1">
        <f t="array" ref="K769">IFERROR(INDEX(ReferenceCard, MATCH(1, (INDEX(ReferenceCard,,1)=Table1[[#This Row],[SAP No]]) * (INDEX(ReferenceCard,,2)=Table1[[#This Row],[Mould No]]), 0), 7),)</f>
        <v>18.8</v>
      </c>
      <c r="L769">
        <v>0</v>
      </c>
      <c r="P769">
        <f>Table1[[#This Row],[Shot]]*Table1[[#This Row],[Cav]]</f>
        <v>0</v>
      </c>
      <c r="R769">
        <f>(Table1[[#This Row],[Part Weight (gm)]]*Table1[[#This Row],[Finish Good]])/1000</f>
        <v>0</v>
      </c>
      <c r="T769">
        <f>IF(Table1[[#This Row],[Qty Order]]="Sample","-",IF(Table1[[#This Row],[Qty Order]]="RTFN","-",Table1[[#This Row],[Qty Order]]-Table1[[#This Row],[Qty Accumulate]]))</f>
        <v>0</v>
      </c>
      <c r="U769">
        <f>((Table1[[#This Row],[Shift Output]]*Table1[[#This Row],[Part Weight (gm)]])/1000)+Table1[[#This Row],[Reject Startup (kg)]]+Table1[[#This Row],[Reject Purging (kg)]]+Table1[[#This Row],[Reject Preform (kg)]]</f>
        <v>0</v>
      </c>
      <c r="V769" s="37">
        <f>(Table1[[#This Row],[Gross Weight (gm)]]-Table1[[#This Row],[Part Weight (gm)]])*Table1[[#This Row],[Shift Output]]/1000</f>
        <v>0</v>
      </c>
      <c r="W769" s="3">
        <v>0</v>
      </c>
      <c r="X769" s="36" t="e">
        <f>Table1[[#This Row],[Reject Startup (kg)]]/Table1[[#This Row],[Material Used]]</f>
        <v>#DIV/0!</v>
      </c>
      <c r="Y769" s="3">
        <v>0</v>
      </c>
      <c r="Z769" s="36" t="e">
        <f>Table1[[#This Row],[Reject Prod (kg)]]/Table1[[#This Row],[Material Used]]</f>
        <v>#DIV/0!</v>
      </c>
      <c r="AA769" s="4"/>
      <c r="AB769" s="5">
        <v>0</v>
      </c>
      <c r="AC769" s="4" cm="1">
        <f t="array" ref="AC769">IFERROR(INDEX(ReferenceCard, MATCH(1, (INDEX(ReferenceCard,,1)=Table1[[#This Row],[SAP No]]) * (INDEX(ReferenceCard,,2)=Table1[[#This Row],[Mould No]]), 0), 9),)</f>
        <v>18.8</v>
      </c>
      <c r="AD769" s="5">
        <v>0</v>
      </c>
      <c r="AE769" s="5">
        <v>0</v>
      </c>
      <c r="AF769" s="5">
        <v>0</v>
      </c>
      <c r="AG769" s="5">
        <v>0</v>
      </c>
      <c r="AH769" s="5">
        <v>37.700000000000003</v>
      </c>
      <c r="AI769" s="5">
        <v>0</v>
      </c>
      <c r="AJ769" s="5">
        <v>0</v>
      </c>
      <c r="AL769" s="2"/>
      <c r="AM769" s="2"/>
      <c r="AN769" s="3">
        <v>0</v>
      </c>
      <c r="AO769" s="3">
        <v>0</v>
      </c>
      <c r="AP76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0" spans="1:42" x14ac:dyDescent="0.35">
      <c r="A770" s="1">
        <v>45997</v>
      </c>
      <c r="B770">
        <v>2</v>
      </c>
      <c r="C770" t="s">
        <v>18</v>
      </c>
      <c r="D770" t="str" cm="1">
        <f t="array" ref="D770">IFERROR(INDEX(ReferenceCard, MATCH(1, (INDEX(ReferenceCard,,1)=Table1[[#This Row],[SAP No]]) * (INDEX(ReferenceCard,,2)=Table1[[#This Row],[Mould No]]), 0), 6),)</f>
        <v>PPSB520Y</v>
      </c>
      <c r="E770">
        <v>555979</v>
      </c>
      <c r="F770">
        <v>4</v>
      </c>
      <c r="G770" t="str" cm="1">
        <f t="array" ref="G770">IFERROR(INDEX(ReferenceCard, MATCH(1, (INDEX(ReferenceCard,,1)=Table1[[#This Row],[SAP No]]) * (INDEX(ReferenceCard,,2)=Table1[[#This Row],[Mould No]]), 0), 3),)</f>
        <v>BC28-0170-D-APH-5180-3539-PP-6 NOTCHES-MOLD4</v>
      </c>
      <c r="I770" cm="1">
        <f t="array" ref="I770">IFERROR(INDEX(ReferenceCard, MATCH(1, (INDEX(ReferenceCard,,1)=Table1[[#This Row],[SAP No]]) * (INDEX(ReferenceCard,,2)=Table1[[#This Row],[Mould No]]), 0), 4),)</f>
        <v>6</v>
      </c>
      <c r="J770" s="4" cm="1">
        <f t="array" ref="J770">IFERROR(INDEX(ReferenceCard, MATCH(1, (INDEX(ReferenceCard,,1)=Table1[[#This Row],[SAP No]]) * (INDEX(ReferenceCard,,2)=Table1[[#This Row],[Mould No]]), 0), 9),)</f>
        <v>28</v>
      </c>
      <c r="K770" s="4" cm="1">
        <f t="array" ref="K770">IFERROR(INDEX(ReferenceCard, MATCH(1, (INDEX(ReferenceCard,,1)=Table1[[#This Row],[SAP No]]) * (INDEX(ReferenceCard,,2)=Table1[[#This Row],[Mould No]]), 0), 7),)</f>
        <v>28</v>
      </c>
      <c r="L770">
        <v>0</v>
      </c>
      <c r="P770">
        <f>Table1[[#This Row],[Shot]]*Table1[[#This Row],[Cav]]</f>
        <v>0</v>
      </c>
      <c r="R770">
        <f>(Table1[[#This Row],[Part Weight (gm)]]*Table1[[#This Row],[Finish Good]])/1000</f>
        <v>0</v>
      </c>
      <c r="T770">
        <f>IF(Table1[[#This Row],[Qty Order]]="Sample","-",IF(Table1[[#This Row],[Qty Order]]="RTFN","-",Table1[[#This Row],[Qty Order]]-Table1[[#This Row],[Qty Accumulate]]))</f>
        <v>0</v>
      </c>
      <c r="U770">
        <f>((Table1[[#This Row],[Shift Output]]*Table1[[#This Row],[Part Weight (gm)]])/1000)+Table1[[#This Row],[Reject Startup (kg)]]+Table1[[#This Row],[Reject Purging (kg)]]+Table1[[#This Row],[Reject Preform (kg)]]</f>
        <v>0</v>
      </c>
      <c r="V770" s="37">
        <f>(Table1[[#This Row],[Gross Weight (gm)]]-Table1[[#This Row],[Part Weight (gm)]])*Table1[[#This Row],[Shift Output]]/1000</f>
        <v>0</v>
      </c>
      <c r="W770" s="3">
        <v>0</v>
      </c>
      <c r="X770" s="36" t="e">
        <f>Table1[[#This Row],[Reject Startup (kg)]]/Table1[[#This Row],[Material Used]]</f>
        <v>#DIV/0!</v>
      </c>
      <c r="Y770" s="3">
        <v>0</v>
      </c>
      <c r="Z770" s="36" t="e">
        <f>Table1[[#This Row],[Reject Prod (kg)]]/Table1[[#This Row],[Material Used]]</f>
        <v>#DIV/0!</v>
      </c>
      <c r="AA770" s="4"/>
      <c r="AB770" s="5">
        <v>0</v>
      </c>
      <c r="AC770" s="4" cm="1">
        <f t="array" ref="AC770">IFERROR(INDEX(ReferenceCard, MATCH(1, (INDEX(ReferenceCard,,1)=Table1[[#This Row],[SAP No]]) * (INDEX(ReferenceCard,,2)=Table1[[#This Row],[Mould No]]), 0), 9),)</f>
        <v>28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12</v>
      </c>
      <c r="AJ770" s="5">
        <v>0</v>
      </c>
      <c r="AL770" s="2"/>
      <c r="AM770" s="2"/>
      <c r="AN770" s="3">
        <v>0</v>
      </c>
      <c r="AO770" s="3">
        <v>0</v>
      </c>
      <c r="AP77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1" spans="1:42" x14ac:dyDescent="0.35">
      <c r="A771" s="1">
        <v>45997</v>
      </c>
      <c r="B771">
        <v>2</v>
      </c>
      <c r="C771" t="s">
        <v>0</v>
      </c>
      <c r="D771" t="str" cm="1">
        <f t="array" ref="D771">IFERROR(INDEX(ReferenceCard, MATCH(1, (INDEX(ReferenceCard,,1)=Table1[[#This Row],[SAP No]]) * (INDEX(ReferenceCard,,2)=Table1[[#This Row],[Mould No]]), 0), 6),)</f>
        <v>PET</v>
      </c>
      <c r="E771">
        <v>369308</v>
      </c>
      <c r="F771">
        <v>0</v>
      </c>
      <c r="G771" t="str" cm="1">
        <f t="array" ref="G771">IFERROR(INDEX(ReferenceCard, MATCH(1, (INDEX(ReferenceCard,,1)=Table1[[#This Row],[SAP No]]) * (INDEX(ReferenceCard,,2)=Table1[[#This Row],[Mould No]]), 0), 3),)</f>
        <v>BW38-0280-LS-R-RED</v>
      </c>
      <c r="I771" cm="1">
        <f t="array" ref="I771">IFERROR(INDEX(ReferenceCard, MATCH(1, (INDEX(ReferenceCard,,1)=Table1[[#This Row],[SAP No]]) * (INDEX(ReferenceCard,,2)=Table1[[#This Row],[Mould No]]), 0), 4),)</f>
        <v>4</v>
      </c>
      <c r="J771" s="4" cm="1">
        <f t="array" ref="J771">IFERROR(INDEX(ReferenceCard, MATCH(1, (INDEX(ReferenceCard,,1)=Table1[[#This Row],[SAP No]]) * (INDEX(ReferenceCard,,2)=Table1[[#This Row],[Mould No]]), 0), 9),)</f>
        <v>31</v>
      </c>
      <c r="K771" s="4" cm="1">
        <f t="array" ref="K771">IFERROR(INDEX(ReferenceCard, MATCH(1, (INDEX(ReferenceCard,,1)=Table1[[#This Row],[SAP No]]) * (INDEX(ReferenceCard,,2)=Table1[[#This Row],[Mould No]]), 0), 7),)</f>
        <v>31</v>
      </c>
      <c r="L771">
        <v>0</v>
      </c>
      <c r="P771">
        <f>Table1[[#This Row],[Shot]]*Table1[[#This Row],[Cav]]</f>
        <v>0</v>
      </c>
      <c r="R771">
        <f>(Table1[[#This Row],[Part Weight (gm)]]*Table1[[#This Row],[Finish Good]])/1000</f>
        <v>0</v>
      </c>
      <c r="T771">
        <f>IF(Table1[[#This Row],[Qty Order]]="Sample","-",IF(Table1[[#This Row],[Qty Order]]="RTFN","-",Table1[[#This Row],[Qty Order]]-Table1[[#This Row],[Qty Accumulate]]))</f>
        <v>0</v>
      </c>
      <c r="U771">
        <f>((Table1[[#This Row],[Shift Output]]*Table1[[#This Row],[Part Weight (gm)]])/1000)+Table1[[#This Row],[Reject Startup (kg)]]+Table1[[#This Row],[Reject Purging (kg)]]+Table1[[#This Row],[Reject Preform (kg)]]</f>
        <v>0</v>
      </c>
      <c r="V771" s="37">
        <f>(Table1[[#This Row],[Gross Weight (gm)]]-Table1[[#This Row],[Part Weight (gm)]])*Table1[[#This Row],[Shift Output]]/1000</f>
        <v>0</v>
      </c>
      <c r="W771" s="3">
        <v>0</v>
      </c>
      <c r="X771" s="36" t="e">
        <f>Table1[[#This Row],[Reject Startup (kg)]]/Table1[[#This Row],[Material Used]]</f>
        <v>#DIV/0!</v>
      </c>
      <c r="Y771" s="3">
        <v>0</v>
      </c>
      <c r="Z771" s="36" t="e">
        <f>Table1[[#This Row],[Reject Prod (kg)]]/Table1[[#This Row],[Material Used]]</f>
        <v>#DIV/0!</v>
      </c>
      <c r="AA771" s="4"/>
      <c r="AB771" s="5">
        <v>0</v>
      </c>
      <c r="AC771" s="4" cm="1">
        <f t="array" ref="AC771">IFERROR(INDEX(ReferenceCard, MATCH(1, (INDEX(ReferenceCard,,1)=Table1[[#This Row],[SAP No]]) * (INDEX(ReferenceCard,,2)=Table1[[#This Row],[Mould No]]), 0), 9),)</f>
        <v>31</v>
      </c>
      <c r="AD771" s="5">
        <v>0</v>
      </c>
      <c r="AE771" s="5">
        <v>0</v>
      </c>
      <c r="AF771" s="5">
        <v>0</v>
      </c>
      <c r="AG771" s="5">
        <v>0</v>
      </c>
      <c r="AH771" s="5">
        <v>37.689999999999898</v>
      </c>
      <c r="AI771" s="5">
        <v>0</v>
      </c>
      <c r="AJ771" s="5">
        <v>0</v>
      </c>
      <c r="AL771" s="2"/>
      <c r="AM771" s="2"/>
      <c r="AN771" s="3">
        <v>0</v>
      </c>
      <c r="AO771" s="3">
        <v>0</v>
      </c>
      <c r="AP77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2" spans="1:42" x14ac:dyDescent="0.35">
      <c r="A772" s="1">
        <v>45997</v>
      </c>
      <c r="B772">
        <v>2</v>
      </c>
      <c r="C772" t="s">
        <v>3</v>
      </c>
      <c r="D772" t="str" cm="1">
        <f t="array" ref="D772">IFERROR(INDEX(ReferenceCard, MATCH(1, (INDEX(ReferenceCard,,1)=Table1[[#This Row],[SAP No]]) * (INDEX(ReferenceCard,,2)=Table1[[#This Row],[Mould No]]), 0), 6),)</f>
        <v>PET</v>
      </c>
      <c r="E772">
        <v>324163</v>
      </c>
      <c r="F772">
        <v>0</v>
      </c>
      <c r="G772" t="str" cm="1">
        <f t="array" ref="G772">IFERROR(INDEX(ReferenceCard, MATCH(1, (INDEX(ReferenceCard,,1)=Table1[[#This Row],[SAP No]]) * (INDEX(ReferenceCard,,2)=Table1[[#This Row],[Mould No]]), 0), 3),)</f>
        <v>BC28-0265-A-Q-CL</v>
      </c>
      <c r="I772" cm="1">
        <f t="array" ref="I772">IFERROR(INDEX(ReferenceCard, MATCH(1, (INDEX(ReferenceCard,,1)=Table1[[#This Row],[SAP No]]) * (INDEX(ReferenceCard,,2)=Table1[[#This Row],[Mould No]]), 0), 4),)</f>
        <v>4</v>
      </c>
      <c r="J772" s="4" cm="1">
        <f t="array" ref="J772">IFERROR(INDEX(ReferenceCard, MATCH(1, (INDEX(ReferenceCard,,1)=Table1[[#This Row],[SAP No]]) * (INDEX(ReferenceCard,,2)=Table1[[#This Row],[Mould No]]), 0), 9),)</f>
        <v>24</v>
      </c>
      <c r="K772" s="4" cm="1">
        <f t="array" ref="K772">IFERROR(INDEX(ReferenceCard, MATCH(1, (INDEX(ReferenceCard,,1)=Table1[[#This Row],[SAP No]]) * (INDEX(ReferenceCard,,2)=Table1[[#This Row],[Mould No]]), 0), 7),)</f>
        <v>23.5</v>
      </c>
      <c r="L772">
        <v>2</v>
      </c>
      <c r="P772">
        <f>Table1[[#This Row],[Shot]]*Table1[[#This Row],[Cav]]</f>
        <v>8</v>
      </c>
      <c r="R772">
        <f>(Table1[[#This Row],[Part Weight (gm)]]*Table1[[#This Row],[Finish Good]])/1000</f>
        <v>0</v>
      </c>
      <c r="T772">
        <f>IF(Table1[[#This Row],[Qty Order]]="Sample","-",IF(Table1[[#This Row],[Qty Order]]="RTFN","-",Table1[[#This Row],[Qty Order]]-Table1[[#This Row],[Qty Accumulate]]))</f>
        <v>0</v>
      </c>
      <c r="U772">
        <f>((Table1[[#This Row],[Shift Output]]*Table1[[#This Row],[Part Weight (gm)]])/1000)+Table1[[#This Row],[Reject Startup (kg)]]+Table1[[#This Row],[Reject Purging (kg)]]+Table1[[#This Row],[Reject Preform (kg)]]</f>
        <v>0.188</v>
      </c>
      <c r="V772" s="37">
        <f>(Table1[[#This Row],[Gross Weight (gm)]]-Table1[[#This Row],[Part Weight (gm)]])*Table1[[#This Row],[Shift Output]]/1000</f>
        <v>4.0000000000000001E-3</v>
      </c>
      <c r="W772" s="3">
        <v>0</v>
      </c>
      <c r="X772" s="36">
        <f>Table1[[#This Row],[Reject Startup (kg)]]/Table1[[#This Row],[Material Used]]</f>
        <v>0</v>
      </c>
      <c r="Y772" s="3">
        <v>0</v>
      </c>
      <c r="Z772" s="36">
        <f>Table1[[#This Row],[Reject Prod (kg)]]/Table1[[#This Row],[Material Used]]</f>
        <v>0</v>
      </c>
      <c r="AA772" s="4"/>
      <c r="AB772" s="5">
        <v>0</v>
      </c>
      <c r="AC772" s="4" cm="1">
        <f t="array" ref="AC772">IFERROR(INDEX(ReferenceCard, MATCH(1, (INDEX(ReferenceCard,,1)=Table1[[#This Row],[SAP No]]) * (INDEX(ReferenceCard,,2)=Table1[[#This Row],[Mould No]]), 0), 9),)</f>
        <v>24</v>
      </c>
      <c r="AD772" s="5">
        <v>0</v>
      </c>
      <c r="AE772" s="5">
        <v>0</v>
      </c>
      <c r="AF772" s="5">
        <v>0</v>
      </c>
      <c r="AG772" s="5">
        <v>0</v>
      </c>
      <c r="AH772" s="5">
        <v>37.689999999999898</v>
      </c>
      <c r="AI772" s="5">
        <v>0</v>
      </c>
      <c r="AJ772" s="5">
        <v>0</v>
      </c>
      <c r="AK772" t="s">
        <v>192</v>
      </c>
      <c r="AL772" s="2"/>
      <c r="AM772" s="2"/>
      <c r="AN772" s="3">
        <v>0</v>
      </c>
      <c r="AO772" s="3">
        <v>0</v>
      </c>
      <c r="AP77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3" spans="1:42" x14ac:dyDescent="0.35">
      <c r="A773" s="1">
        <v>45997</v>
      </c>
      <c r="B773">
        <v>2</v>
      </c>
      <c r="C773" t="s">
        <v>5</v>
      </c>
      <c r="D773" t="str" cm="1">
        <f t="array" ref="D773">IFERROR(INDEX(ReferenceCard, MATCH(1, (INDEX(ReferenceCard,,1)=Table1[[#This Row],[SAP No]]) * (INDEX(ReferenceCard,,2)=Table1[[#This Row],[Mould No]]), 0), 6),)</f>
        <v>PET</v>
      </c>
      <c r="E773">
        <v>543590</v>
      </c>
      <c r="F773">
        <v>0</v>
      </c>
      <c r="G773" t="str" cm="1">
        <f t="array" ref="G773">IFERROR(INDEX(ReferenceCard, MATCH(1, (INDEX(ReferenceCard,,1)=Table1[[#This Row],[SAP No]]) * (INDEX(ReferenceCard,,2)=Table1[[#This Row],[Mould No]]), 0), 3),)</f>
        <v>BC28-0130-R-R-AM</v>
      </c>
      <c r="I773" cm="1">
        <f t="array" ref="I773">IFERROR(INDEX(ReferenceCard, MATCH(1, (INDEX(ReferenceCard,,1)=Table1[[#This Row],[SAP No]]) * (INDEX(ReferenceCard,,2)=Table1[[#This Row],[Mould No]]), 0), 4),)</f>
        <v>4</v>
      </c>
      <c r="J773" s="4" cm="1">
        <f t="array" ref="J773">IFERROR(INDEX(ReferenceCard, MATCH(1, (INDEX(ReferenceCard,,1)=Table1[[#This Row],[SAP No]]) * (INDEX(ReferenceCard,,2)=Table1[[#This Row],[Mould No]]), 0), 9),)</f>
        <v>19</v>
      </c>
      <c r="K773" s="4" cm="1">
        <f t="array" ref="K773">IFERROR(INDEX(ReferenceCard, MATCH(1, (INDEX(ReferenceCard,,1)=Table1[[#This Row],[SAP No]]) * (INDEX(ReferenceCard,,2)=Table1[[#This Row],[Mould No]]), 0), 7),)</f>
        <v>19</v>
      </c>
      <c r="L773">
        <v>283</v>
      </c>
      <c r="P773">
        <f>Table1[[#This Row],[Shot]]*Table1[[#This Row],[Cav]]</f>
        <v>1132</v>
      </c>
      <c r="R773">
        <f>(Table1[[#This Row],[Part Weight (gm)]]*Table1[[#This Row],[Finish Good]])/1000</f>
        <v>0</v>
      </c>
      <c r="T773">
        <f>IF(Table1[[#This Row],[Qty Order]]="Sample","-",IF(Table1[[#This Row],[Qty Order]]="RTFN","-",Table1[[#This Row],[Qty Order]]-Table1[[#This Row],[Qty Accumulate]]))</f>
        <v>0</v>
      </c>
      <c r="U773">
        <f>((Table1[[#This Row],[Shift Output]]*Table1[[#This Row],[Part Weight (gm)]])/1000)+Table1[[#This Row],[Reject Startup (kg)]]+Table1[[#This Row],[Reject Purging (kg)]]+Table1[[#This Row],[Reject Preform (kg)]]</f>
        <v>21.507999999999999</v>
      </c>
      <c r="V773" s="37">
        <f>(Table1[[#This Row],[Gross Weight (gm)]]-Table1[[#This Row],[Part Weight (gm)]])*Table1[[#This Row],[Shift Output]]/1000</f>
        <v>0</v>
      </c>
      <c r="W773" s="3">
        <v>0</v>
      </c>
      <c r="X773" s="36">
        <f>Table1[[#This Row],[Reject Startup (kg)]]/Table1[[#This Row],[Material Used]]</f>
        <v>0</v>
      </c>
      <c r="Y773" s="3">
        <v>0</v>
      </c>
      <c r="Z773" s="36">
        <f>Table1[[#This Row],[Reject Prod (kg)]]/Table1[[#This Row],[Material Used]]</f>
        <v>0</v>
      </c>
      <c r="AA773" s="4"/>
      <c r="AB773" s="5">
        <v>0</v>
      </c>
      <c r="AC773" s="4" cm="1">
        <f t="array" ref="AC773">IFERROR(INDEX(ReferenceCard, MATCH(1, (INDEX(ReferenceCard,,1)=Table1[[#This Row],[SAP No]]) * (INDEX(ReferenceCard,,2)=Table1[[#This Row],[Mould No]]), 0), 9),)</f>
        <v>19</v>
      </c>
      <c r="AD773" s="5">
        <v>0</v>
      </c>
      <c r="AE773" s="5">
        <v>0</v>
      </c>
      <c r="AF773" s="5">
        <v>0</v>
      </c>
      <c r="AG773" s="5">
        <v>0</v>
      </c>
      <c r="AH773" s="5">
        <v>37.700000000000003</v>
      </c>
      <c r="AI773" s="5">
        <v>0</v>
      </c>
      <c r="AJ773" s="5">
        <v>0</v>
      </c>
      <c r="AL773" s="2"/>
      <c r="AM773" s="2"/>
      <c r="AN773" s="3">
        <v>0</v>
      </c>
      <c r="AO773" s="3">
        <v>0</v>
      </c>
      <c r="AP77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4" spans="1:42" x14ac:dyDescent="0.35">
      <c r="A774" s="1">
        <v>45997</v>
      </c>
      <c r="B774">
        <v>2</v>
      </c>
      <c r="C774" t="s">
        <v>7</v>
      </c>
      <c r="D774" t="str" cm="1">
        <f t="array" ref="D774">IFERROR(INDEX(ReferenceCard, MATCH(1, (INDEX(ReferenceCard,,1)=Table1[[#This Row],[SAP No]]) * (INDEX(ReferenceCard,,2)=Table1[[#This Row],[Mould No]]), 0), 6),)</f>
        <v>PET</v>
      </c>
      <c r="E774">
        <v>426555</v>
      </c>
      <c r="F774">
        <v>0</v>
      </c>
      <c r="G774" t="str" cm="1">
        <f t="array" ref="G774">IFERROR(INDEX(ReferenceCard, MATCH(1, (INDEX(ReferenceCard,,1)=Table1[[#This Row],[SAP No]]) * (INDEX(ReferenceCard,,2)=Table1[[#This Row],[Mould No]]), 0), 3),)</f>
        <v>BX38-0330-Z-S-CL-HW</v>
      </c>
      <c r="I774" cm="1">
        <f t="array" ref="I774">IFERROR(INDEX(ReferenceCard, MATCH(1, (INDEX(ReferenceCard,,1)=Table1[[#This Row],[SAP No]]) * (INDEX(ReferenceCard,,2)=Table1[[#This Row],[Mould No]]), 0), 4),)</f>
        <v>4</v>
      </c>
      <c r="J774" s="4" cm="1">
        <f t="array" ref="J774">IFERROR(INDEX(ReferenceCard, MATCH(1, (INDEX(ReferenceCard,,1)=Table1[[#This Row],[SAP No]]) * (INDEX(ReferenceCard,,2)=Table1[[#This Row],[Mould No]]), 0), 9),)</f>
        <v>29</v>
      </c>
      <c r="K774" s="4" cm="1">
        <f t="array" ref="K774">IFERROR(INDEX(ReferenceCard, MATCH(1, (INDEX(ReferenceCard,,1)=Table1[[#This Row],[SAP No]]) * (INDEX(ReferenceCard,,2)=Table1[[#This Row],[Mould No]]), 0), 7),)</f>
        <v>29</v>
      </c>
      <c r="L774">
        <v>0</v>
      </c>
      <c r="P774">
        <f>Table1[[#This Row],[Shot]]*Table1[[#This Row],[Cav]]</f>
        <v>0</v>
      </c>
      <c r="R774">
        <f>(Table1[[#This Row],[Part Weight (gm)]]*Table1[[#This Row],[Finish Good]])/1000</f>
        <v>0</v>
      </c>
      <c r="T774">
        <f>IF(Table1[[#This Row],[Qty Order]]="Sample","-",IF(Table1[[#This Row],[Qty Order]]="RTFN","-",Table1[[#This Row],[Qty Order]]-Table1[[#This Row],[Qty Accumulate]]))</f>
        <v>0</v>
      </c>
      <c r="U774">
        <f>((Table1[[#This Row],[Shift Output]]*Table1[[#This Row],[Part Weight (gm)]])/1000)+Table1[[#This Row],[Reject Startup (kg)]]+Table1[[#This Row],[Reject Purging (kg)]]+Table1[[#This Row],[Reject Preform (kg)]]</f>
        <v>0</v>
      </c>
      <c r="V774" s="37">
        <f>(Table1[[#This Row],[Gross Weight (gm)]]-Table1[[#This Row],[Part Weight (gm)]])*Table1[[#This Row],[Shift Output]]/1000</f>
        <v>0</v>
      </c>
      <c r="W774" s="3">
        <v>0</v>
      </c>
      <c r="X774" s="36" t="e">
        <f>Table1[[#This Row],[Reject Startup (kg)]]/Table1[[#This Row],[Material Used]]</f>
        <v>#DIV/0!</v>
      </c>
      <c r="Y774" s="3">
        <v>0</v>
      </c>
      <c r="Z774" s="36" t="e">
        <f>Table1[[#This Row],[Reject Prod (kg)]]/Table1[[#This Row],[Material Used]]</f>
        <v>#DIV/0!</v>
      </c>
      <c r="AA774" s="4"/>
      <c r="AB774" s="5">
        <v>0</v>
      </c>
      <c r="AC774" s="4" cm="1">
        <f t="array" ref="AC774">IFERROR(INDEX(ReferenceCard, MATCH(1, (INDEX(ReferenceCard,,1)=Table1[[#This Row],[SAP No]]) * (INDEX(ReferenceCard,,2)=Table1[[#This Row],[Mould No]]), 0), 9),)</f>
        <v>29</v>
      </c>
      <c r="AD774" s="5">
        <v>0</v>
      </c>
      <c r="AE774" s="5">
        <v>0</v>
      </c>
      <c r="AF774" s="5">
        <v>0</v>
      </c>
      <c r="AG774" s="5">
        <v>37.700000000000003</v>
      </c>
      <c r="AH774" s="5">
        <v>0</v>
      </c>
      <c r="AI774" s="5">
        <v>0</v>
      </c>
      <c r="AJ774" s="5">
        <v>0</v>
      </c>
      <c r="AK774" t="s">
        <v>193</v>
      </c>
      <c r="AL774" s="2"/>
      <c r="AM774" s="2"/>
      <c r="AN774" s="3">
        <v>0</v>
      </c>
      <c r="AO774" s="3">
        <v>0</v>
      </c>
      <c r="AP77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5" spans="1:42" x14ac:dyDescent="0.35">
      <c r="A775" s="1">
        <v>45997</v>
      </c>
      <c r="B775">
        <v>2</v>
      </c>
      <c r="C775" t="s">
        <v>9</v>
      </c>
      <c r="D775" t="str" cm="1">
        <f t="array" ref="D775">IFERROR(INDEX(ReferenceCard, MATCH(1, (INDEX(ReferenceCard,,1)=Table1[[#This Row],[SAP No]]) * (INDEX(ReferenceCard,,2)=Table1[[#This Row],[Mould No]]), 0), 6),)</f>
        <v>rPET</v>
      </c>
      <c r="E775">
        <v>593537</v>
      </c>
      <c r="F775">
        <v>0</v>
      </c>
      <c r="G775" t="str" cm="1">
        <f t="array" ref="G775">IFERROR(INDEX(ReferenceCard, MATCH(1, (INDEX(ReferenceCard,,1)=Table1[[#This Row],[SAP No]]) * (INDEX(ReferenceCard,,2)=Table1[[#This Row],[Mould No]]), 0), 3),)</f>
        <v>BX38-1000-RN-R-CL-rPET</v>
      </c>
      <c r="I775" cm="1">
        <f t="array" ref="I775">IFERROR(INDEX(ReferenceCard, MATCH(1, (INDEX(ReferenceCard,,1)=Table1[[#This Row],[SAP No]]) * (INDEX(ReferenceCard,,2)=Table1[[#This Row],[Mould No]]), 0), 4),)</f>
        <v>4</v>
      </c>
      <c r="J775" s="4" cm="1">
        <f t="array" ref="J775">IFERROR(INDEX(ReferenceCard, MATCH(1, (INDEX(ReferenceCard,,1)=Table1[[#This Row],[SAP No]]) * (INDEX(ReferenceCard,,2)=Table1[[#This Row],[Mould No]]), 0), 9),)</f>
        <v>56.5</v>
      </c>
      <c r="K775" s="4" cm="1">
        <f t="array" ref="K775">IFERROR(INDEX(ReferenceCard, MATCH(1, (INDEX(ReferenceCard,,1)=Table1[[#This Row],[SAP No]]) * (INDEX(ReferenceCard,,2)=Table1[[#This Row],[Mould No]]), 0), 7),)</f>
        <v>56.8</v>
      </c>
      <c r="L775">
        <v>0</v>
      </c>
      <c r="P775">
        <f>Table1[[#This Row],[Shot]]*Table1[[#This Row],[Cav]]</f>
        <v>0</v>
      </c>
      <c r="R775">
        <f>(Table1[[#This Row],[Part Weight (gm)]]*Table1[[#This Row],[Finish Good]])/1000</f>
        <v>0</v>
      </c>
      <c r="T775">
        <f>IF(Table1[[#This Row],[Qty Order]]="Sample","-",IF(Table1[[#This Row],[Qty Order]]="RTFN","-",Table1[[#This Row],[Qty Order]]-Table1[[#This Row],[Qty Accumulate]]))</f>
        <v>0</v>
      </c>
      <c r="U775">
        <f>((Table1[[#This Row],[Shift Output]]*Table1[[#This Row],[Part Weight (gm)]])/1000)+Table1[[#This Row],[Reject Startup (kg)]]+Table1[[#This Row],[Reject Purging (kg)]]+Table1[[#This Row],[Reject Preform (kg)]]</f>
        <v>0</v>
      </c>
      <c r="V775" s="37">
        <f>(Table1[[#This Row],[Gross Weight (gm)]]-Table1[[#This Row],[Part Weight (gm)]])*Table1[[#This Row],[Shift Output]]/1000</f>
        <v>0</v>
      </c>
      <c r="W775" s="3">
        <v>0</v>
      </c>
      <c r="X775" s="36" t="e">
        <f>Table1[[#This Row],[Reject Startup (kg)]]/Table1[[#This Row],[Material Used]]</f>
        <v>#DIV/0!</v>
      </c>
      <c r="Y775" s="3">
        <v>0</v>
      </c>
      <c r="Z775" s="36" t="e">
        <f>Table1[[#This Row],[Reject Prod (kg)]]/Table1[[#This Row],[Material Used]]</f>
        <v>#DIV/0!</v>
      </c>
      <c r="AA775" s="4"/>
      <c r="AB775" s="5">
        <v>0</v>
      </c>
      <c r="AC775" s="4" cm="1">
        <f t="array" ref="AC775">IFERROR(INDEX(ReferenceCard, MATCH(1, (INDEX(ReferenceCard,,1)=Table1[[#This Row],[SAP No]]) * (INDEX(ReferenceCard,,2)=Table1[[#This Row],[Mould No]]), 0), 9),)</f>
        <v>56.5</v>
      </c>
      <c r="AD775" s="5">
        <v>0</v>
      </c>
      <c r="AE775" s="5">
        <v>0</v>
      </c>
      <c r="AF775" s="5">
        <v>0</v>
      </c>
      <c r="AG775" s="5">
        <v>0</v>
      </c>
      <c r="AH775" s="5">
        <v>37.700000000000003</v>
      </c>
      <c r="AI775" s="5">
        <v>0</v>
      </c>
      <c r="AJ775" s="5">
        <v>0</v>
      </c>
      <c r="AL775" s="2"/>
      <c r="AM775" s="2"/>
      <c r="AN775" s="3">
        <v>0</v>
      </c>
      <c r="AO775" s="3">
        <v>0</v>
      </c>
      <c r="AP77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6" spans="1:42" x14ac:dyDescent="0.35">
      <c r="A776" s="1">
        <v>45997</v>
      </c>
      <c r="B776">
        <v>2</v>
      </c>
      <c r="C776" t="s">
        <v>11</v>
      </c>
      <c r="D776" t="str" cm="1">
        <f t="array" ref="D776">IFERROR(INDEX(ReferenceCard, MATCH(1, (INDEX(ReferenceCard,,1)=Table1[[#This Row],[SAP No]]) * (INDEX(ReferenceCard,,2)=Table1[[#This Row],[Mould No]]), 0), 6),)</f>
        <v>rPET</v>
      </c>
      <c r="E776">
        <v>620994</v>
      </c>
      <c r="F776">
        <v>0</v>
      </c>
      <c r="G776" t="str" cm="1">
        <f t="array" ref="G776">IFERROR(INDEX(ReferenceCard, MATCH(1, (INDEX(ReferenceCard,,1)=Table1[[#This Row],[SAP No]]) * (INDEX(ReferenceCard,,2)=Table1[[#This Row],[Mould No]]), 0), 3),)</f>
        <v>JJ63-0400-SH-S-CL-rPET</v>
      </c>
      <c r="I776" cm="1">
        <f t="array" ref="I776">IFERROR(INDEX(ReferenceCard, MATCH(1, (INDEX(ReferenceCard,,1)=Table1[[#This Row],[SAP No]]) * (INDEX(ReferenceCard,,2)=Table1[[#This Row],[Mould No]]), 0), 4),)</f>
        <v>4</v>
      </c>
      <c r="J776" s="4" cm="1">
        <f t="array" ref="J776">IFERROR(INDEX(ReferenceCard, MATCH(1, (INDEX(ReferenceCard,,1)=Table1[[#This Row],[SAP No]]) * (INDEX(ReferenceCard,,2)=Table1[[#This Row],[Mould No]]), 0), 9),)</f>
        <v>32.74</v>
      </c>
      <c r="K776" s="4" cm="1">
        <f t="array" ref="K776">IFERROR(INDEX(ReferenceCard, MATCH(1, (INDEX(ReferenceCard,,1)=Table1[[#This Row],[SAP No]]) * (INDEX(ReferenceCard,,2)=Table1[[#This Row],[Mould No]]), 0), 7),)</f>
        <v>33</v>
      </c>
      <c r="L776">
        <v>0</v>
      </c>
      <c r="P776">
        <f>Table1[[#This Row],[Shot]]*Table1[[#This Row],[Cav]]</f>
        <v>0</v>
      </c>
      <c r="R776">
        <f>(Table1[[#This Row],[Part Weight (gm)]]*Table1[[#This Row],[Finish Good]])/1000</f>
        <v>0</v>
      </c>
      <c r="T776">
        <f>IF(Table1[[#This Row],[Qty Order]]="Sample","-",IF(Table1[[#This Row],[Qty Order]]="RTFN","-",Table1[[#This Row],[Qty Order]]-Table1[[#This Row],[Qty Accumulate]]))</f>
        <v>0</v>
      </c>
      <c r="U776">
        <f>((Table1[[#This Row],[Shift Output]]*Table1[[#This Row],[Part Weight (gm)]])/1000)+Table1[[#This Row],[Reject Startup (kg)]]+Table1[[#This Row],[Reject Purging (kg)]]+Table1[[#This Row],[Reject Preform (kg)]]</f>
        <v>0</v>
      </c>
      <c r="V776" s="37">
        <f>(Table1[[#This Row],[Gross Weight (gm)]]-Table1[[#This Row],[Part Weight (gm)]])*Table1[[#This Row],[Shift Output]]/1000</f>
        <v>0</v>
      </c>
      <c r="W776" s="3">
        <v>0</v>
      </c>
      <c r="X776" s="36" t="e">
        <f>Table1[[#This Row],[Reject Startup (kg)]]/Table1[[#This Row],[Material Used]]</f>
        <v>#DIV/0!</v>
      </c>
      <c r="Y776" s="3">
        <v>0</v>
      </c>
      <c r="Z776" s="36" t="e">
        <f>Table1[[#This Row],[Reject Prod (kg)]]/Table1[[#This Row],[Material Used]]</f>
        <v>#DIV/0!</v>
      </c>
      <c r="AA776" s="4"/>
      <c r="AB776" s="5">
        <v>0</v>
      </c>
      <c r="AC776" s="4" cm="1">
        <f t="array" ref="AC776">IFERROR(INDEX(ReferenceCard, MATCH(1, (INDEX(ReferenceCard,,1)=Table1[[#This Row],[SAP No]]) * (INDEX(ReferenceCard,,2)=Table1[[#This Row],[Mould No]]), 0), 9),)</f>
        <v>32.74</v>
      </c>
      <c r="AD776" s="5">
        <v>0</v>
      </c>
      <c r="AE776" s="5">
        <v>0</v>
      </c>
      <c r="AF776" s="5">
        <v>0</v>
      </c>
      <c r="AG776" s="5">
        <v>0</v>
      </c>
      <c r="AH776" s="5">
        <v>37.700000000000003</v>
      </c>
      <c r="AI776" s="5">
        <v>0</v>
      </c>
      <c r="AJ776" s="5">
        <v>0</v>
      </c>
      <c r="AL776" s="2"/>
      <c r="AM776" s="2"/>
      <c r="AN776" s="3">
        <v>0</v>
      </c>
      <c r="AO776" s="3">
        <v>0</v>
      </c>
      <c r="AP77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7" spans="1:42" x14ac:dyDescent="0.35">
      <c r="A777" s="1">
        <v>45997</v>
      </c>
      <c r="B777">
        <v>2</v>
      </c>
      <c r="C777" t="s">
        <v>14</v>
      </c>
      <c r="D777" t="str" cm="1">
        <f t="array" ref="D777">IFERROR(INDEX(ReferenceCard, MATCH(1, (INDEX(ReferenceCard,,1)=Table1[[#This Row],[SAP No]]) * (INDEX(ReferenceCard,,2)=Table1[[#This Row],[Mould No]]), 0), 6),)</f>
        <v>PET</v>
      </c>
      <c r="E777">
        <v>324165</v>
      </c>
      <c r="F777">
        <v>0</v>
      </c>
      <c r="G777" t="str" cm="1">
        <f t="array" ref="G777">IFERROR(INDEX(ReferenceCard, MATCH(1, (INDEX(ReferenceCard,,1)=Table1[[#This Row],[SAP No]]) * (INDEX(ReferenceCard,,2)=Table1[[#This Row],[Mould No]]), 0), 3),)</f>
        <v>JJ63-0400-SH-S-WH</v>
      </c>
      <c r="I777" cm="1">
        <f t="array" ref="I777">IFERROR(INDEX(ReferenceCard, MATCH(1, (INDEX(ReferenceCard,,1)=Table1[[#This Row],[SAP No]]) * (INDEX(ReferenceCard,,2)=Table1[[#This Row],[Mould No]]), 0), 4),)</f>
        <v>4</v>
      </c>
      <c r="J777" s="4" cm="1">
        <f t="array" ref="J777">IFERROR(INDEX(ReferenceCard, MATCH(1, (INDEX(ReferenceCard,,1)=Table1[[#This Row],[SAP No]]) * (INDEX(ReferenceCard,,2)=Table1[[#This Row],[Mould No]]), 0), 9),)</f>
        <v>32.56</v>
      </c>
      <c r="K777" s="4" cm="1">
        <f t="array" ref="K777">IFERROR(INDEX(ReferenceCard, MATCH(1, (INDEX(ReferenceCard,,1)=Table1[[#This Row],[SAP No]]) * (INDEX(ReferenceCard,,2)=Table1[[#This Row],[Mould No]]), 0), 7),)</f>
        <v>33</v>
      </c>
      <c r="L777">
        <v>0</v>
      </c>
      <c r="P777">
        <f>Table1[[#This Row],[Shot]]*Table1[[#This Row],[Cav]]</f>
        <v>0</v>
      </c>
      <c r="R777">
        <f>(Table1[[#This Row],[Part Weight (gm)]]*Table1[[#This Row],[Finish Good]])/1000</f>
        <v>0</v>
      </c>
      <c r="T777">
        <f>IF(Table1[[#This Row],[Qty Order]]="Sample","-",IF(Table1[[#This Row],[Qty Order]]="RTFN","-",Table1[[#This Row],[Qty Order]]-Table1[[#This Row],[Qty Accumulate]]))</f>
        <v>0</v>
      </c>
      <c r="U777">
        <f>((Table1[[#This Row],[Shift Output]]*Table1[[#This Row],[Part Weight (gm)]])/1000)+Table1[[#This Row],[Reject Startup (kg)]]+Table1[[#This Row],[Reject Purging (kg)]]+Table1[[#This Row],[Reject Preform (kg)]]</f>
        <v>0</v>
      </c>
      <c r="V777" s="37">
        <f>(Table1[[#This Row],[Gross Weight (gm)]]-Table1[[#This Row],[Part Weight (gm)]])*Table1[[#This Row],[Shift Output]]/1000</f>
        <v>0</v>
      </c>
      <c r="W777" s="3">
        <v>0</v>
      </c>
      <c r="X777" s="36" t="e">
        <f>Table1[[#This Row],[Reject Startup (kg)]]/Table1[[#This Row],[Material Used]]</f>
        <v>#DIV/0!</v>
      </c>
      <c r="Y777" s="3">
        <v>0</v>
      </c>
      <c r="Z777" s="36" t="e">
        <f>Table1[[#This Row],[Reject Prod (kg)]]/Table1[[#This Row],[Material Used]]</f>
        <v>#DIV/0!</v>
      </c>
      <c r="AA777" s="4"/>
      <c r="AB777" s="5">
        <v>0</v>
      </c>
      <c r="AC777" s="4" cm="1">
        <f t="array" ref="AC777">IFERROR(INDEX(ReferenceCard, MATCH(1, (INDEX(ReferenceCard,,1)=Table1[[#This Row],[SAP No]]) * (INDEX(ReferenceCard,,2)=Table1[[#This Row],[Mould No]]), 0), 9),)</f>
        <v>32.56</v>
      </c>
      <c r="AD777" s="5">
        <v>0</v>
      </c>
      <c r="AE777" s="5">
        <v>0</v>
      </c>
      <c r="AF777" s="5">
        <v>0</v>
      </c>
      <c r="AG777" s="5">
        <v>0</v>
      </c>
      <c r="AH777" s="5">
        <v>37.700000000000003</v>
      </c>
      <c r="AI777" s="5">
        <v>0</v>
      </c>
      <c r="AJ777" s="5">
        <v>0</v>
      </c>
      <c r="AL777" s="2"/>
      <c r="AM777" s="2"/>
      <c r="AN777" s="3">
        <v>0</v>
      </c>
      <c r="AO777" s="3">
        <v>0</v>
      </c>
      <c r="AP77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8" spans="1:42" x14ac:dyDescent="0.35">
      <c r="A778" s="1">
        <v>45997</v>
      </c>
      <c r="B778">
        <v>2</v>
      </c>
      <c r="C778" t="s">
        <v>16</v>
      </c>
      <c r="D778" t="str" cm="1">
        <f t="array" ref="D778">IFERROR(INDEX(ReferenceCard, MATCH(1, (INDEX(ReferenceCard,,1)=Table1[[#This Row],[SAP No]]) * (INDEX(ReferenceCard,,2)=Table1[[#This Row],[Mould No]]), 0), 6),)</f>
        <v>PET</v>
      </c>
      <c r="E778">
        <v>323092</v>
      </c>
      <c r="F778">
        <v>0</v>
      </c>
      <c r="G778" t="str" cm="1">
        <f t="array" ref="G778">IFERROR(INDEX(ReferenceCard, MATCH(1, (INDEX(ReferenceCard,,1)=Table1[[#This Row],[SAP No]]) * (INDEX(ReferenceCard,,2)=Table1[[#This Row],[Mould No]]), 0), 3),)</f>
        <v>BX38-1000-GH-R-CL(GREEN) (ASEM)</v>
      </c>
      <c r="I778" cm="1">
        <f t="array" ref="I778">IFERROR(INDEX(ReferenceCard, MATCH(1, (INDEX(ReferenceCard,,1)=Table1[[#This Row],[SAP No]]) * (INDEX(ReferenceCard,,2)=Table1[[#This Row],[Mould No]]), 0), 4),)</f>
        <v>4</v>
      </c>
      <c r="J778" s="4" cm="1">
        <f t="array" ref="J778">IFERROR(INDEX(ReferenceCard, MATCH(1, (INDEX(ReferenceCard,,1)=Table1[[#This Row],[SAP No]]) * (INDEX(ReferenceCard,,2)=Table1[[#This Row],[Mould No]]), 0), 9),)</f>
        <v>48.9</v>
      </c>
      <c r="K778" s="4" cm="1">
        <f t="array" ref="K778">IFERROR(INDEX(ReferenceCard, MATCH(1, (INDEX(ReferenceCard,,1)=Table1[[#This Row],[SAP No]]) * (INDEX(ReferenceCard,,2)=Table1[[#This Row],[Mould No]]), 0), 7),)</f>
        <v>48.9</v>
      </c>
      <c r="L778">
        <v>0</v>
      </c>
      <c r="P778">
        <f>Table1[[#This Row],[Shot]]*Table1[[#This Row],[Cav]]</f>
        <v>0</v>
      </c>
      <c r="R778">
        <f>(Table1[[#This Row],[Part Weight (gm)]]*Table1[[#This Row],[Finish Good]])/1000</f>
        <v>0</v>
      </c>
      <c r="T778">
        <f>IF(Table1[[#This Row],[Qty Order]]="Sample","-",IF(Table1[[#This Row],[Qty Order]]="RTFN","-",Table1[[#This Row],[Qty Order]]-Table1[[#This Row],[Qty Accumulate]]))</f>
        <v>0</v>
      </c>
      <c r="U778">
        <f>((Table1[[#This Row],[Shift Output]]*Table1[[#This Row],[Part Weight (gm)]])/1000)+Table1[[#This Row],[Reject Startup (kg)]]+Table1[[#This Row],[Reject Purging (kg)]]+Table1[[#This Row],[Reject Preform (kg)]]</f>
        <v>0</v>
      </c>
      <c r="V778" s="37">
        <f>(Table1[[#This Row],[Gross Weight (gm)]]-Table1[[#This Row],[Part Weight (gm)]])*Table1[[#This Row],[Shift Output]]/1000</f>
        <v>0</v>
      </c>
      <c r="W778" s="3">
        <v>0</v>
      </c>
      <c r="X778" s="36" t="e">
        <f>Table1[[#This Row],[Reject Startup (kg)]]/Table1[[#This Row],[Material Used]]</f>
        <v>#DIV/0!</v>
      </c>
      <c r="Y778" s="3">
        <v>0</v>
      </c>
      <c r="Z778" s="36" t="e">
        <f>Table1[[#This Row],[Reject Prod (kg)]]/Table1[[#This Row],[Material Used]]</f>
        <v>#DIV/0!</v>
      </c>
      <c r="AA778" s="4"/>
      <c r="AB778" s="5">
        <v>0</v>
      </c>
      <c r="AC778" s="4" cm="1">
        <f t="array" ref="AC778">IFERROR(INDEX(ReferenceCard, MATCH(1, (INDEX(ReferenceCard,,1)=Table1[[#This Row],[SAP No]]) * (INDEX(ReferenceCard,,2)=Table1[[#This Row],[Mould No]]), 0), 9),)</f>
        <v>48.9</v>
      </c>
      <c r="AD778" s="5">
        <v>0</v>
      </c>
      <c r="AE778" s="5">
        <v>0</v>
      </c>
      <c r="AF778" s="5">
        <v>0</v>
      </c>
      <c r="AG778" s="5">
        <v>0</v>
      </c>
      <c r="AH778" s="5">
        <v>37.700000000000003</v>
      </c>
      <c r="AI778" s="5">
        <v>0</v>
      </c>
      <c r="AJ778" s="5">
        <v>0</v>
      </c>
      <c r="AL778" s="2"/>
      <c r="AM778" s="2"/>
      <c r="AN778" s="3">
        <v>0</v>
      </c>
      <c r="AO778" s="3">
        <v>0</v>
      </c>
      <c r="AP77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79" spans="1:42" x14ac:dyDescent="0.35">
      <c r="A779" s="1">
        <v>45997</v>
      </c>
      <c r="B779">
        <v>2</v>
      </c>
      <c r="C779" t="s">
        <v>23</v>
      </c>
      <c r="D779" t="str" cm="1">
        <f t="array" ref="D779">IFERROR(INDEX(ReferenceCard, MATCH(1, (INDEX(ReferenceCard,,1)=Table1[[#This Row],[SAP No]]) * (INDEX(ReferenceCard,,2)=Table1[[#This Row],[Mould No]]), 0), 6),)</f>
        <v>PPSB520Y</v>
      </c>
      <c r="E779">
        <v>586276</v>
      </c>
      <c r="F779">
        <v>2</v>
      </c>
      <c r="G779" t="str" cm="1">
        <f t="array" ref="G779">IFERROR(INDEX(ReferenceCard, MATCH(1, (INDEX(ReferenceCard,,1)=Table1[[#This Row],[SAP No]]) * (INDEX(ReferenceCard,,2)=Table1[[#This Row],[Mould No]]), 0), 3),)</f>
        <v>BC28-0056-D-APH-LEB-604001-MOLD2</v>
      </c>
      <c r="I779" cm="1">
        <f t="array" ref="I779">IFERROR(INDEX(ReferenceCard, MATCH(1, (INDEX(ReferenceCard,,1)=Table1[[#This Row],[SAP No]]) * (INDEX(ReferenceCard,,2)=Table1[[#This Row],[Mould No]]), 0), 4),)</f>
        <v>6</v>
      </c>
      <c r="J779" s="4" cm="1">
        <f t="array" ref="J779">IFERROR(INDEX(ReferenceCard, MATCH(1, (INDEX(ReferenceCard,,1)=Table1[[#This Row],[SAP No]]) * (INDEX(ReferenceCard,,2)=Table1[[#This Row],[Mould No]]), 0), 9),)</f>
        <v>12.3</v>
      </c>
      <c r="K779" s="4" cm="1">
        <f t="array" ref="K779">IFERROR(INDEX(ReferenceCard, MATCH(1, (INDEX(ReferenceCard,,1)=Table1[[#This Row],[SAP No]]) * (INDEX(ReferenceCard,,2)=Table1[[#This Row],[Mould No]]), 0), 7),)</f>
        <v>12.3</v>
      </c>
      <c r="L779">
        <v>0</v>
      </c>
      <c r="P779">
        <f>Table1[[#This Row],[Shot]]*Table1[[#This Row],[Cav]]</f>
        <v>0</v>
      </c>
      <c r="R779">
        <f>(Table1[[#This Row],[Part Weight (gm)]]*Table1[[#This Row],[Finish Good]])/1000</f>
        <v>0</v>
      </c>
      <c r="T779">
        <f>IF(Table1[[#This Row],[Qty Order]]="Sample","-",IF(Table1[[#This Row],[Qty Order]]="RTFN","-",Table1[[#This Row],[Qty Order]]-Table1[[#This Row],[Qty Accumulate]]))</f>
        <v>0</v>
      </c>
      <c r="U779">
        <f>((Table1[[#This Row],[Shift Output]]*Table1[[#This Row],[Part Weight (gm)]])/1000)+Table1[[#This Row],[Reject Startup (kg)]]+Table1[[#This Row],[Reject Purging (kg)]]+Table1[[#This Row],[Reject Preform (kg)]]</f>
        <v>0</v>
      </c>
      <c r="V779" s="37">
        <f>(Table1[[#This Row],[Gross Weight (gm)]]-Table1[[#This Row],[Part Weight (gm)]])*Table1[[#This Row],[Shift Output]]/1000</f>
        <v>0</v>
      </c>
      <c r="W779" s="3">
        <v>0</v>
      </c>
      <c r="X779" s="36" t="e">
        <f>Table1[[#This Row],[Reject Startup (kg)]]/Table1[[#This Row],[Material Used]]</f>
        <v>#DIV/0!</v>
      </c>
      <c r="Y779" s="3">
        <v>0</v>
      </c>
      <c r="Z779" s="36" t="e">
        <f>Table1[[#This Row],[Reject Prod (kg)]]/Table1[[#This Row],[Material Used]]</f>
        <v>#DIV/0!</v>
      </c>
      <c r="AA779" s="4"/>
      <c r="AB779" s="5">
        <v>0</v>
      </c>
      <c r="AC779" s="4" cm="1">
        <f t="array" ref="AC779">IFERROR(INDEX(ReferenceCard, MATCH(1, (INDEX(ReferenceCard,,1)=Table1[[#This Row],[SAP No]]) * (INDEX(ReferenceCard,,2)=Table1[[#This Row],[Mould No]]), 0), 9),)</f>
        <v>12.3</v>
      </c>
      <c r="AD779" s="5">
        <v>0</v>
      </c>
      <c r="AE779" s="5">
        <v>0</v>
      </c>
      <c r="AF779" s="5">
        <v>0</v>
      </c>
      <c r="AG779" s="5">
        <v>0</v>
      </c>
      <c r="AH779" s="5">
        <v>37.700000000000003</v>
      </c>
      <c r="AI779" s="5">
        <v>0</v>
      </c>
      <c r="AJ779" s="5">
        <v>0</v>
      </c>
      <c r="AL779" s="2"/>
      <c r="AM779" s="2"/>
      <c r="AN779" s="3">
        <v>0</v>
      </c>
      <c r="AO779" s="3">
        <v>0</v>
      </c>
      <c r="AP77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0" spans="1:42" x14ac:dyDescent="0.35">
      <c r="A780" s="1">
        <v>45997</v>
      </c>
      <c r="B780">
        <v>2</v>
      </c>
      <c r="C780" t="s">
        <v>25</v>
      </c>
      <c r="D780" t="str" cm="1">
        <f t="array" ref="D780">IFERROR(INDEX(ReferenceCard, MATCH(1, (INDEX(ReferenceCard,,1)=Table1[[#This Row],[SAP No]]) * (INDEX(ReferenceCard,,2)=Table1[[#This Row],[Mould No]]), 0), 6),)</f>
        <v>PET</v>
      </c>
      <c r="E780">
        <v>323133</v>
      </c>
      <c r="F780">
        <v>0</v>
      </c>
      <c r="G780" t="str" cm="1">
        <f t="array" ref="G780">IFERROR(INDEX(ReferenceCard, MATCH(1, (INDEX(ReferenceCard,,1)=Table1[[#This Row],[SAP No]]) * (INDEX(ReferenceCard,,2)=Table1[[#This Row],[Mould No]]), 0), 3),)</f>
        <v>BX38-2000-RH-R-CL(GREEN) (ASEM)</v>
      </c>
      <c r="I780" cm="1">
        <f t="array" ref="I780">IFERROR(INDEX(ReferenceCard, MATCH(1, (INDEX(ReferenceCard,,1)=Table1[[#This Row],[SAP No]]) * (INDEX(ReferenceCard,,2)=Table1[[#This Row],[Mould No]]), 0), 4),)</f>
        <v>4</v>
      </c>
      <c r="J780" s="4" cm="1">
        <f t="array" ref="J780">IFERROR(INDEX(ReferenceCard, MATCH(1, (INDEX(ReferenceCard,,1)=Table1[[#This Row],[SAP No]]) * (INDEX(ReferenceCard,,2)=Table1[[#This Row],[Mould No]]), 0), 9),)</f>
        <v>77</v>
      </c>
      <c r="K780" s="4" cm="1">
        <f t="array" ref="K780">IFERROR(INDEX(ReferenceCard, MATCH(1, (INDEX(ReferenceCard,,1)=Table1[[#This Row],[SAP No]]) * (INDEX(ReferenceCard,,2)=Table1[[#This Row],[Mould No]]), 0), 7),)</f>
        <v>77</v>
      </c>
      <c r="L780">
        <v>0</v>
      </c>
      <c r="P780">
        <f>Table1[[#This Row],[Shot]]*Table1[[#This Row],[Cav]]</f>
        <v>0</v>
      </c>
      <c r="R780">
        <f>(Table1[[#This Row],[Part Weight (gm)]]*Table1[[#This Row],[Finish Good]])/1000</f>
        <v>0</v>
      </c>
      <c r="T780">
        <f>IF(Table1[[#This Row],[Qty Order]]="Sample","-",IF(Table1[[#This Row],[Qty Order]]="RTFN","-",Table1[[#This Row],[Qty Order]]-Table1[[#This Row],[Qty Accumulate]]))</f>
        <v>0</v>
      </c>
      <c r="U780">
        <f>((Table1[[#This Row],[Shift Output]]*Table1[[#This Row],[Part Weight (gm)]])/1000)+Table1[[#This Row],[Reject Startup (kg)]]+Table1[[#This Row],[Reject Purging (kg)]]+Table1[[#This Row],[Reject Preform (kg)]]</f>
        <v>0</v>
      </c>
      <c r="V780" s="37">
        <f>(Table1[[#This Row],[Gross Weight (gm)]]-Table1[[#This Row],[Part Weight (gm)]])*Table1[[#This Row],[Shift Output]]/1000</f>
        <v>0</v>
      </c>
      <c r="W780" s="3">
        <v>0</v>
      </c>
      <c r="X780" s="36" t="e">
        <f>Table1[[#This Row],[Reject Startup (kg)]]/Table1[[#This Row],[Material Used]]</f>
        <v>#DIV/0!</v>
      </c>
      <c r="Y780" s="3">
        <v>0</v>
      </c>
      <c r="Z780" s="36" t="e">
        <f>Table1[[#This Row],[Reject Prod (kg)]]/Table1[[#This Row],[Material Used]]</f>
        <v>#DIV/0!</v>
      </c>
      <c r="AA780" s="4"/>
      <c r="AB780" s="5">
        <v>0</v>
      </c>
      <c r="AC780" s="4" cm="1">
        <f t="array" ref="AC780">IFERROR(INDEX(ReferenceCard, MATCH(1, (INDEX(ReferenceCard,,1)=Table1[[#This Row],[SAP No]]) * (INDEX(ReferenceCard,,2)=Table1[[#This Row],[Mould No]]), 0), 9),)</f>
        <v>77</v>
      </c>
      <c r="AD780" s="5">
        <v>0</v>
      </c>
      <c r="AE780" s="5">
        <v>0</v>
      </c>
      <c r="AF780" s="5">
        <v>0</v>
      </c>
      <c r="AG780" s="5">
        <v>0</v>
      </c>
      <c r="AH780" s="5">
        <v>37.700000000000003</v>
      </c>
      <c r="AI780" s="5">
        <v>0</v>
      </c>
      <c r="AJ780" s="5">
        <v>0</v>
      </c>
      <c r="AL780" s="2"/>
      <c r="AM780" s="2"/>
      <c r="AN780" s="3">
        <v>0</v>
      </c>
      <c r="AO780" s="3">
        <v>0</v>
      </c>
      <c r="AP78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1" spans="1:42" x14ac:dyDescent="0.35">
      <c r="A781" s="1">
        <v>45997</v>
      </c>
      <c r="B781">
        <v>2</v>
      </c>
      <c r="C781" t="s">
        <v>27</v>
      </c>
      <c r="D781" t="str" cm="1">
        <f t="array" ref="D781">IFERROR(INDEX(ReferenceCard, MATCH(1, (INDEX(ReferenceCard,,1)=Table1[[#This Row],[SAP No]]) * (INDEX(ReferenceCard,,2)=Table1[[#This Row],[Mould No]]), 0), 6),)</f>
        <v>PPSB520Y</v>
      </c>
      <c r="E781">
        <v>552181</v>
      </c>
      <c r="F781">
        <v>4</v>
      </c>
      <c r="G781" t="str" cm="1">
        <f t="array" ref="G781">IFERROR(INDEX(ReferenceCard, MATCH(1, (INDEX(ReferenceCard,,1)=Table1[[#This Row],[SAP No]]) * (INDEX(ReferenceCard,,2)=Table1[[#This Row],[Mould No]]), 0), 3),)</f>
        <v>BC28-0090-D-APH-5180-3538-PP-6 NOTCHES-MOLD4</v>
      </c>
      <c r="I781" cm="1">
        <f t="array" ref="I781">IFERROR(INDEX(ReferenceCard, MATCH(1, (INDEX(ReferenceCard,,1)=Table1[[#This Row],[SAP No]]) * (INDEX(ReferenceCard,,2)=Table1[[#This Row],[Mould No]]), 0), 4),)</f>
        <v>6</v>
      </c>
      <c r="J781" s="4" cm="1">
        <f t="array" ref="J781">IFERROR(INDEX(ReferenceCard, MATCH(1, (INDEX(ReferenceCard,,1)=Table1[[#This Row],[SAP No]]) * (INDEX(ReferenceCard,,2)=Table1[[#This Row],[Mould No]]), 0), 9),)</f>
        <v>18.8</v>
      </c>
      <c r="K781" s="4" cm="1">
        <f t="array" ref="K781">IFERROR(INDEX(ReferenceCard, MATCH(1, (INDEX(ReferenceCard,,1)=Table1[[#This Row],[SAP No]]) * (INDEX(ReferenceCard,,2)=Table1[[#This Row],[Mould No]]), 0), 7),)</f>
        <v>18.8</v>
      </c>
      <c r="L781">
        <v>0</v>
      </c>
      <c r="P781">
        <f>Table1[[#This Row],[Shot]]*Table1[[#This Row],[Cav]]</f>
        <v>0</v>
      </c>
      <c r="R781">
        <f>(Table1[[#This Row],[Part Weight (gm)]]*Table1[[#This Row],[Finish Good]])/1000</f>
        <v>0</v>
      </c>
      <c r="T781">
        <f>IF(Table1[[#This Row],[Qty Order]]="Sample","-",IF(Table1[[#This Row],[Qty Order]]="RTFN","-",Table1[[#This Row],[Qty Order]]-Table1[[#This Row],[Qty Accumulate]]))</f>
        <v>0</v>
      </c>
      <c r="U781">
        <f>((Table1[[#This Row],[Shift Output]]*Table1[[#This Row],[Part Weight (gm)]])/1000)+Table1[[#This Row],[Reject Startup (kg)]]+Table1[[#This Row],[Reject Purging (kg)]]+Table1[[#This Row],[Reject Preform (kg)]]</f>
        <v>0</v>
      </c>
      <c r="V781" s="37">
        <f>(Table1[[#This Row],[Gross Weight (gm)]]-Table1[[#This Row],[Part Weight (gm)]])*Table1[[#This Row],[Shift Output]]/1000</f>
        <v>0</v>
      </c>
      <c r="W781" s="3">
        <v>0</v>
      </c>
      <c r="X781" s="36" t="e">
        <f>Table1[[#This Row],[Reject Startup (kg)]]/Table1[[#This Row],[Material Used]]</f>
        <v>#DIV/0!</v>
      </c>
      <c r="Y781" s="3">
        <v>0</v>
      </c>
      <c r="Z781" s="36" t="e">
        <f>Table1[[#This Row],[Reject Prod (kg)]]/Table1[[#This Row],[Material Used]]</f>
        <v>#DIV/0!</v>
      </c>
      <c r="AA781" s="4"/>
      <c r="AB781" s="5">
        <v>0</v>
      </c>
      <c r="AC781" s="4" cm="1">
        <f t="array" ref="AC781">IFERROR(INDEX(ReferenceCard, MATCH(1, (INDEX(ReferenceCard,,1)=Table1[[#This Row],[SAP No]]) * (INDEX(ReferenceCard,,2)=Table1[[#This Row],[Mould No]]), 0), 9),)</f>
        <v>18.8</v>
      </c>
      <c r="AD781" s="5">
        <v>0</v>
      </c>
      <c r="AE781" s="5">
        <v>0</v>
      </c>
      <c r="AF781" s="5">
        <v>0</v>
      </c>
      <c r="AG781" s="5">
        <v>0</v>
      </c>
      <c r="AH781" s="5">
        <v>37.700000000000003</v>
      </c>
      <c r="AI781" s="5">
        <v>0</v>
      </c>
      <c r="AJ781" s="5">
        <v>0</v>
      </c>
      <c r="AL781" s="2"/>
      <c r="AM781" s="2"/>
      <c r="AN781" s="3">
        <v>0</v>
      </c>
      <c r="AO781" s="3">
        <v>0</v>
      </c>
      <c r="AP78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2" spans="1:42" x14ac:dyDescent="0.35">
      <c r="A782" s="1">
        <v>45997</v>
      </c>
      <c r="B782">
        <v>2</v>
      </c>
      <c r="C782" t="s">
        <v>29</v>
      </c>
      <c r="D782" t="str" cm="1">
        <f t="array" ref="D782">IFERROR(INDEX(ReferenceCard, MATCH(1, (INDEX(ReferenceCard,,1)=Table1[[#This Row],[SAP No]]) * (INDEX(ReferenceCard,,2)=Table1[[#This Row],[Mould No]]), 0), 6),)</f>
        <v>PET</v>
      </c>
      <c r="E782">
        <v>620599</v>
      </c>
      <c r="F782">
        <v>0</v>
      </c>
      <c r="G782" t="str" cm="1">
        <f t="array" ref="G782">IFERROR(INDEX(ReferenceCard, MATCH(1, (INDEX(ReferenceCard,,1)=Table1[[#This Row],[SAP No]]) * (INDEX(ReferenceCard,,2)=Table1[[#This Row],[Mould No]]), 0), 3),)</f>
        <v>BC28-0750-K4-R-CL (55g)</v>
      </c>
      <c r="I782" cm="1">
        <f t="array" ref="I782">IFERROR(INDEX(ReferenceCard, MATCH(1, (INDEX(ReferenceCard,,1)=Table1[[#This Row],[SAP No]]) * (INDEX(ReferenceCard,,2)=Table1[[#This Row],[Mould No]]), 0), 4),)</f>
        <v>4</v>
      </c>
      <c r="J782" s="4" cm="1">
        <f t="array" ref="J782">IFERROR(INDEX(ReferenceCard, MATCH(1, (INDEX(ReferenceCard,,1)=Table1[[#This Row],[SAP No]]) * (INDEX(ReferenceCard,,2)=Table1[[#This Row],[Mould No]]), 0), 9),)</f>
        <v>55</v>
      </c>
      <c r="K782" s="4" cm="1">
        <f t="array" ref="K782">IFERROR(INDEX(ReferenceCard, MATCH(1, (INDEX(ReferenceCard,,1)=Table1[[#This Row],[SAP No]]) * (INDEX(ReferenceCard,,2)=Table1[[#This Row],[Mould No]]), 0), 7),)</f>
        <v>55</v>
      </c>
      <c r="L782">
        <v>0</v>
      </c>
      <c r="P782">
        <f>Table1[[#This Row],[Shot]]*Table1[[#This Row],[Cav]]</f>
        <v>0</v>
      </c>
      <c r="R782">
        <f>(Table1[[#This Row],[Part Weight (gm)]]*Table1[[#This Row],[Finish Good]])/1000</f>
        <v>0</v>
      </c>
      <c r="T782">
        <f>IF(Table1[[#This Row],[Qty Order]]="Sample","-",IF(Table1[[#This Row],[Qty Order]]="RTFN","-",Table1[[#This Row],[Qty Order]]-Table1[[#This Row],[Qty Accumulate]]))</f>
        <v>0</v>
      </c>
      <c r="U782">
        <f>((Table1[[#This Row],[Shift Output]]*Table1[[#This Row],[Part Weight (gm)]])/1000)+Table1[[#This Row],[Reject Startup (kg)]]+Table1[[#This Row],[Reject Purging (kg)]]+Table1[[#This Row],[Reject Preform (kg)]]</f>
        <v>0</v>
      </c>
      <c r="V782" s="37">
        <f>(Table1[[#This Row],[Gross Weight (gm)]]-Table1[[#This Row],[Part Weight (gm)]])*Table1[[#This Row],[Shift Output]]/1000</f>
        <v>0</v>
      </c>
      <c r="W782" s="3">
        <v>0</v>
      </c>
      <c r="X782" s="36" t="e">
        <f>Table1[[#This Row],[Reject Startup (kg)]]/Table1[[#This Row],[Material Used]]</f>
        <v>#DIV/0!</v>
      </c>
      <c r="Y782" s="3">
        <v>0</v>
      </c>
      <c r="Z782" s="36" t="e">
        <f>Table1[[#This Row],[Reject Prod (kg)]]/Table1[[#This Row],[Material Used]]</f>
        <v>#DIV/0!</v>
      </c>
      <c r="AA782" s="4"/>
      <c r="AB782" s="5">
        <v>0</v>
      </c>
      <c r="AC782" s="4" cm="1">
        <f t="array" ref="AC782">IFERROR(INDEX(ReferenceCard, MATCH(1, (INDEX(ReferenceCard,,1)=Table1[[#This Row],[SAP No]]) * (INDEX(ReferenceCard,,2)=Table1[[#This Row],[Mould No]]), 0), 9),)</f>
        <v>55</v>
      </c>
      <c r="AD782" s="5">
        <v>0</v>
      </c>
      <c r="AE782" s="5">
        <v>0</v>
      </c>
      <c r="AF782" s="5">
        <v>0</v>
      </c>
      <c r="AG782" s="5">
        <v>0</v>
      </c>
      <c r="AH782" s="5">
        <v>37.700000000000003</v>
      </c>
      <c r="AI782" s="5">
        <v>0</v>
      </c>
      <c r="AJ782" s="5">
        <v>0</v>
      </c>
      <c r="AL782" s="2"/>
      <c r="AM782" s="2"/>
      <c r="AN782" s="3">
        <v>0</v>
      </c>
      <c r="AO782" s="3">
        <v>0</v>
      </c>
      <c r="AP78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3" spans="1:42" x14ac:dyDescent="0.35">
      <c r="A783" s="1">
        <v>45997</v>
      </c>
      <c r="B783">
        <v>2</v>
      </c>
      <c r="C783" t="s">
        <v>31</v>
      </c>
      <c r="D783" t="str" cm="1">
        <f t="array" ref="D783">IFERROR(INDEX(ReferenceCard, MATCH(1, (INDEX(ReferenceCard,,1)=Table1[[#This Row],[SAP No]]) * (INDEX(ReferenceCard,,2)=Table1[[#This Row],[Mould No]]), 0), 6),)</f>
        <v>PPSB520Y</v>
      </c>
      <c r="E783">
        <v>586276</v>
      </c>
      <c r="F783">
        <v>4</v>
      </c>
      <c r="G783" t="str" cm="1">
        <f t="array" ref="G783">IFERROR(INDEX(ReferenceCard, MATCH(1, (INDEX(ReferenceCard,,1)=Table1[[#This Row],[SAP No]]) * (INDEX(ReferenceCard,,2)=Table1[[#This Row],[Mould No]]), 0), 3),)</f>
        <v>BC28-0056-D-APH-LEB-604001-MOLD4</v>
      </c>
      <c r="I783" cm="1">
        <f t="array" ref="I783">IFERROR(INDEX(ReferenceCard, MATCH(1, (INDEX(ReferenceCard,,1)=Table1[[#This Row],[SAP No]]) * (INDEX(ReferenceCard,,2)=Table1[[#This Row],[Mould No]]), 0), 4),)</f>
        <v>6</v>
      </c>
      <c r="J783" s="4" cm="1">
        <f t="array" ref="J783">IFERROR(INDEX(ReferenceCard, MATCH(1, (INDEX(ReferenceCard,,1)=Table1[[#This Row],[SAP No]]) * (INDEX(ReferenceCard,,2)=Table1[[#This Row],[Mould No]]), 0), 9),)</f>
        <v>12.3</v>
      </c>
      <c r="K783" s="4" cm="1">
        <f t="array" ref="K783">IFERROR(INDEX(ReferenceCard, MATCH(1, (INDEX(ReferenceCard,,1)=Table1[[#This Row],[SAP No]]) * (INDEX(ReferenceCard,,2)=Table1[[#This Row],[Mould No]]), 0), 7),)</f>
        <v>12.3</v>
      </c>
      <c r="L783">
        <v>0</v>
      </c>
      <c r="P783">
        <f>Table1[[#This Row],[Shot]]*Table1[[#This Row],[Cav]]</f>
        <v>0</v>
      </c>
      <c r="R783">
        <f>(Table1[[#This Row],[Part Weight (gm)]]*Table1[[#This Row],[Finish Good]])/1000</f>
        <v>0</v>
      </c>
      <c r="T783">
        <f>IF(Table1[[#This Row],[Qty Order]]="Sample","-",IF(Table1[[#This Row],[Qty Order]]="RTFN","-",Table1[[#This Row],[Qty Order]]-Table1[[#This Row],[Qty Accumulate]]))</f>
        <v>0</v>
      </c>
      <c r="U783">
        <f>((Table1[[#This Row],[Shift Output]]*Table1[[#This Row],[Part Weight (gm)]])/1000)+Table1[[#This Row],[Reject Startup (kg)]]+Table1[[#This Row],[Reject Purging (kg)]]+Table1[[#This Row],[Reject Preform (kg)]]</f>
        <v>0</v>
      </c>
      <c r="V783" s="37">
        <f>(Table1[[#This Row],[Gross Weight (gm)]]-Table1[[#This Row],[Part Weight (gm)]])*Table1[[#This Row],[Shift Output]]/1000</f>
        <v>0</v>
      </c>
      <c r="W783" s="3">
        <v>0</v>
      </c>
      <c r="X783" s="36" t="e">
        <f>Table1[[#This Row],[Reject Startup (kg)]]/Table1[[#This Row],[Material Used]]</f>
        <v>#DIV/0!</v>
      </c>
      <c r="Y783" s="3">
        <v>0</v>
      </c>
      <c r="Z783" s="36" t="e">
        <f>Table1[[#This Row],[Reject Prod (kg)]]/Table1[[#This Row],[Material Used]]</f>
        <v>#DIV/0!</v>
      </c>
      <c r="AA783" s="4"/>
      <c r="AB783" s="5">
        <v>0</v>
      </c>
      <c r="AC783" s="4" cm="1">
        <f t="array" ref="AC783">IFERROR(INDEX(ReferenceCard, MATCH(1, (INDEX(ReferenceCard,,1)=Table1[[#This Row],[SAP No]]) * (INDEX(ReferenceCard,,2)=Table1[[#This Row],[Mould No]]), 0), 9),)</f>
        <v>12.3</v>
      </c>
      <c r="AD783" s="5">
        <v>0</v>
      </c>
      <c r="AE783" s="5">
        <v>0</v>
      </c>
      <c r="AF783" s="5">
        <v>0</v>
      </c>
      <c r="AG783" s="5">
        <v>0</v>
      </c>
      <c r="AH783" s="5">
        <v>37.700000000000003</v>
      </c>
      <c r="AI783" s="5">
        <v>0</v>
      </c>
      <c r="AJ783" s="5">
        <v>0</v>
      </c>
      <c r="AL783" s="2"/>
      <c r="AM783" s="2"/>
      <c r="AN783" s="3">
        <v>0</v>
      </c>
      <c r="AO783" s="3">
        <v>0</v>
      </c>
      <c r="AP78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4" spans="1:42" x14ac:dyDescent="0.35">
      <c r="A784" s="1">
        <v>45997</v>
      </c>
      <c r="B784">
        <v>1</v>
      </c>
      <c r="C784" t="s">
        <v>0</v>
      </c>
      <c r="D784" t="str" cm="1">
        <f t="array" ref="D784">IFERROR(INDEX(ReferenceCard, MATCH(1, (INDEX(ReferenceCard,,1)=Table1[[#This Row],[SAP No]]) * (INDEX(ReferenceCard,,2)=Table1[[#This Row],[Mould No]]), 0), 6),)</f>
        <v>PET</v>
      </c>
      <c r="E784">
        <v>369308</v>
      </c>
      <c r="F784">
        <v>0</v>
      </c>
      <c r="G784" t="str" cm="1">
        <f t="array" ref="G784">IFERROR(INDEX(ReferenceCard, MATCH(1, (INDEX(ReferenceCard,,1)=Table1[[#This Row],[SAP No]]) * (INDEX(ReferenceCard,,2)=Table1[[#This Row],[Mould No]]), 0), 3),)</f>
        <v>BW38-0280-LS-R-RED</v>
      </c>
      <c r="H784">
        <v>0</v>
      </c>
      <c r="I784" cm="1">
        <f t="array" ref="I784">IFERROR(INDEX(ReferenceCard, MATCH(1, (INDEX(ReferenceCard,,1)=Table1[[#This Row],[SAP No]]) * (INDEX(ReferenceCard,,2)=Table1[[#This Row],[Mould No]]), 0), 4),)</f>
        <v>4</v>
      </c>
      <c r="J784" s="4" cm="1">
        <f t="array" ref="J784">IFERROR(INDEX(ReferenceCard, MATCH(1, (INDEX(ReferenceCard,,1)=Table1[[#This Row],[SAP No]]) * (INDEX(ReferenceCard,,2)=Table1[[#This Row],[Mould No]]), 0), 9),)</f>
        <v>31</v>
      </c>
      <c r="K784" s="4" cm="1">
        <f t="array" ref="K784">IFERROR(INDEX(ReferenceCard, MATCH(1, (INDEX(ReferenceCard,,1)=Table1[[#This Row],[SAP No]]) * (INDEX(ReferenceCard,,2)=Table1[[#This Row],[Mould No]]), 0), 7),)</f>
        <v>31</v>
      </c>
      <c r="L784">
        <v>2228</v>
      </c>
      <c r="M784">
        <v>0</v>
      </c>
      <c r="N784">
        <v>0</v>
      </c>
      <c r="O784">
        <v>0</v>
      </c>
      <c r="P784">
        <f>Table1[[#This Row],[Shot]]*Table1[[#This Row],[Cav]]</f>
        <v>8912</v>
      </c>
      <c r="Q784">
        <v>0</v>
      </c>
      <c r="R784">
        <f>(Table1[[#This Row],[Part Weight (gm)]]*Table1[[#This Row],[Finish Good]])/1000</f>
        <v>0</v>
      </c>
      <c r="S784">
        <v>0</v>
      </c>
      <c r="T784">
        <f>IF(Table1[[#This Row],[Qty Order]]="Sample","-",IF(Table1[[#This Row],[Qty Order]]="RTFN","-",Table1[[#This Row],[Qty Order]]-Table1[[#This Row],[Qty Accumulate]]))</f>
        <v>0</v>
      </c>
      <c r="U784">
        <f>((Table1[[#This Row],[Shift Output]]*Table1[[#This Row],[Part Weight (gm)]])/1000)+Table1[[#This Row],[Reject Startup (kg)]]+Table1[[#This Row],[Reject Purging (kg)]]+Table1[[#This Row],[Reject Preform (kg)]]</f>
        <v>276.27199999999999</v>
      </c>
      <c r="V784" s="37">
        <f>(Table1[[#This Row],[Gross Weight (gm)]]-Table1[[#This Row],[Part Weight (gm)]])*Table1[[#This Row],[Shift Output]]/1000</f>
        <v>0</v>
      </c>
      <c r="W784" s="3">
        <v>0</v>
      </c>
      <c r="X784" s="36">
        <f>Table1[[#This Row],[Reject Startup (kg)]]/Table1[[#This Row],[Material Used]]</f>
        <v>0</v>
      </c>
      <c r="Y784" s="3">
        <v>2</v>
      </c>
      <c r="Z784" s="36">
        <f>Table1[[#This Row],[Reject Prod (kg)]]/Table1[[#This Row],[Material Used]]</f>
        <v>7.2392424856663005E-3</v>
      </c>
      <c r="AA784" s="4">
        <v>31.168077468871999</v>
      </c>
      <c r="AB784" s="5">
        <v>3.2</v>
      </c>
      <c r="AC784" s="4" cm="1">
        <f t="array" ref="AC784">IFERROR(INDEX(ReferenceCard, MATCH(1, (INDEX(ReferenceCard,,1)=Table1[[#This Row],[SAP No]]) * (INDEX(ReferenceCard,,2)=Table1[[#This Row],[Mould No]]), 0), 9),)</f>
        <v>31</v>
      </c>
      <c r="AD784" s="5">
        <v>0</v>
      </c>
      <c r="AE784" s="5">
        <v>0</v>
      </c>
      <c r="AF784" s="5">
        <v>0</v>
      </c>
      <c r="AG784" s="5">
        <v>0</v>
      </c>
      <c r="AH784" s="5">
        <v>8.8000000000000007</v>
      </c>
      <c r="AI784" s="5">
        <v>0</v>
      </c>
      <c r="AJ784" s="5">
        <v>0</v>
      </c>
      <c r="AL784" s="2"/>
      <c r="AM784" s="2"/>
      <c r="AN784" s="3">
        <v>0</v>
      </c>
      <c r="AO784" s="3">
        <v>0</v>
      </c>
      <c r="AP784" s="6">
        <f>((Table1[[#This Row],[Reject Startup (kg)]]+Table1[[#This Row],[Reject Prod (kg)]]+Table1[[#This Row],[Reject Purging (kg)]]+Table1[[#This Row],[Reject Preform (kg)]])/Table1[[#This Row],[Part Weight (gm)]])*1000</f>
        <v>64.516129032258064</v>
      </c>
    </row>
    <row r="785" spans="1:42" x14ac:dyDescent="0.35">
      <c r="A785" s="1">
        <v>45997</v>
      </c>
      <c r="B785">
        <v>1</v>
      </c>
      <c r="C785" t="s">
        <v>3</v>
      </c>
      <c r="D785" t="str" cm="1">
        <f t="array" ref="D785">IFERROR(INDEX(ReferenceCard, MATCH(1, (INDEX(ReferenceCard,,1)=Table1[[#This Row],[SAP No]]) * (INDEX(ReferenceCard,,2)=Table1[[#This Row],[Mould No]]), 0), 6),)</f>
        <v>PET</v>
      </c>
      <c r="E785">
        <v>324163</v>
      </c>
      <c r="F785">
        <v>0</v>
      </c>
      <c r="G785" t="str" cm="1">
        <f t="array" ref="G785">IFERROR(INDEX(ReferenceCard, MATCH(1, (INDEX(ReferenceCard,,1)=Table1[[#This Row],[SAP No]]) * (INDEX(ReferenceCard,,2)=Table1[[#This Row],[Mould No]]), 0), 3),)</f>
        <v>BC28-0265-A-Q-CL</v>
      </c>
      <c r="H785">
        <v>0</v>
      </c>
      <c r="I785" cm="1">
        <f t="array" ref="I785">IFERROR(INDEX(ReferenceCard, MATCH(1, (INDEX(ReferenceCard,,1)=Table1[[#This Row],[SAP No]]) * (INDEX(ReferenceCard,,2)=Table1[[#This Row],[Mould No]]), 0), 4),)</f>
        <v>4</v>
      </c>
      <c r="J785" s="4" cm="1">
        <f t="array" ref="J785">IFERROR(INDEX(ReferenceCard, MATCH(1, (INDEX(ReferenceCard,,1)=Table1[[#This Row],[SAP No]]) * (INDEX(ReferenceCard,,2)=Table1[[#This Row],[Mould No]]), 0), 9),)</f>
        <v>24</v>
      </c>
      <c r="K785" s="4" cm="1">
        <f t="array" ref="K785">IFERROR(INDEX(ReferenceCard, MATCH(1, (INDEX(ReferenceCard,,1)=Table1[[#This Row],[SAP No]]) * (INDEX(ReferenceCard,,2)=Table1[[#This Row],[Mould No]]), 0), 7),)</f>
        <v>23.5</v>
      </c>
      <c r="L785">
        <v>2</v>
      </c>
      <c r="M785">
        <v>0</v>
      </c>
      <c r="N785">
        <v>0</v>
      </c>
      <c r="O785">
        <v>0</v>
      </c>
      <c r="P785">
        <f>Table1[[#This Row],[Shot]]*Table1[[#This Row],[Cav]]</f>
        <v>8</v>
      </c>
      <c r="Q785">
        <v>0</v>
      </c>
      <c r="R785">
        <f>(Table1[[#This Row],[Part Weight (gm)]]*Table1[[#This Row],[Finish Good]])/1000</f>
        <v>0</v>
      </c>
      <c r="S785">
        <v>0</v>
      </c>
      <c r="T785">
        <f>IF(Table1[[#This Row],[Qty Order]]="Sample","-",IF(Table1[[#This Row],[Qty Order]]="RTFN","-",Table1[[#This Row],[Qty Order]]-Table1[[#This Row],[Qty Accumulate]]))</f>
        <v>0</v>
      </c>
      <c r="U785">
        <f>((Table1[[#This Row],[Shift Output]]*Table1[[#This Row],[Part Weight (gm)]])/1000)+Table1[[#This Row],[Reject Startup (kg)]]+Table1[[#This Row],[Reject Purging (kg)]]+Table1[[#This Row],[Reject Preform (kg)]]</f>
        <v>0.188</v>
      </c>
      <c r="V785" s="37">
        <f>(Table1[[#This Row],[Gross Weight (gm)]]-Table1[[#This Row],[Part Weight (gm)]])*Table1[[#This Row],[Shift Output]]/1000</f>
        <v>4.0000000000000001E-3</v>
      </c>
      <c r="W785" s="3">
        <v>0</v>
      </c>
      <c r="X785" s="36">
        <f>Table1[[#This Row],[Reject Startup (kg)]]/Table1[[#This Row],[Material Used]]</f>
        <v>0</v>
      </c>
      <c r="Y785" s="3">
        <v>0</v>
      </c>
      <c r="Z785" s="36">
        <f>Table1[[#This Row],[Reject Prod (kg)]]/Table1[[#This Row],[Material Used]]</f>
        <v>0</v>
      </c>
      <c r="AA785" s="4">
        <v>0</v>
      </c>
      <c r="AB785" s="5">
        <v>0</v>
      </c>
      <c r="AC785" s="4" cm="1">
        <f t="array" ref="AC785">IFERROR(INDEX(ReferenceCard, MATCH(1, (INDEX(ReferenceCard,,1)=Table1[[#This Row],[SAP No]]) * (INDEX(ReferenceCard,,2)=Table1[[#This Row],[Mould No]]), 0), 9),)</f>
        <v>24</v>
      </c>
      <c r="AD785" s="5">
        <v>0</v>
      </c>
      <c r="AE785" s="5">
        <v>0</v>
      </c>
      <c r="AF785" s="5">
        <v>0</v>
      </c>
      <c r="AG785" s="5">
        <v>0</v>
      </c>
      <c r="AH785" s="5">
        <v>12</v>
      </c>
      <c r="AI785" s="5">
        <v>0</v>
      </c>
      <c r="AJ785" s="5">
        <v>0</v>
      </c>
      <c r="AK785" t="s">
        <v>194</v>
      </c>
      <c r="AL785" s="2"/>
      <c r="AM785" s="2"/>
      <c r="AN785" s="3">
        <v>0</v>
      </c>
      <c r="AO785" s="3">
        <v>0</v>
      </c>
      <c r="AP78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6" spans="1:42" x14ac:dyDescent="0.35">
      <c r="A786" s="1">
        <v>45997</v>
      </c>
      <c r="B786">
        <v>1</v>
      </c>
      <c r="C786" t="s">
        <v>5</v>
      </c>
      <c r="D786" t="str" cm="1">
        <f t="array" ref="D786">IFERROR(INDEX(ReferenceCard, MATCH(1, (INDEX(ReferenceCard,,1)=Table1[[#This Row],[SAP No]]) * (INDEX(ReferenceCard,,2)=Table1[[#This Row],[Mould No]]), 0), 6),)</f>
        <v>PET</v>
      </c>
      <c r="E786">
        <v>543590</v>
      </c>
      <c r="F786">
        <v>0</v>
      </c>
      <c r="G786" t="str" cm="1">
        <f t="array" ref="G786">IFERROR(INDEX(ReferenceCard, MATCH(1, (INDEX(ReferenceCard,,1)=Table1[[#This Row],[SAP No]]) * (INDEX(ReferenceCard,,2)=Table1[[#This Row],[Mould No]]), 0), 3),)</f>
        <v>BC28-0130-R-R-AM</v>
      </c>
      <c r="H786">
        <v>0</v>
      </c>
      <c r="I786" cm="1">
        <f t="array" ref="I786">IFERROR(INDEX(ReferenceCard, MATCH(1, (INDEX(ReferenceCard,,1)=Table1[[#This Row],[SAP No]]) * (INDEX(ReferenceCard,,2)=Table1[[#This Row],[Mould No]]), 0), 4),)</f>
        <v>4</v>
      </c>
      <c r="J786" s="4" cm="1">
        <f t="array" ref="J786">IFERROR(INDEX(ReferenceCard, MATCH(1, (INDEX(ReferenceCard,,1)=Table1[[#This Row],[SAP No]]) * (INDEX(ReferenceCard,,2)=Table1[[#This Row],[Mould No]]), 0), 9),)</f>
        <v>19</v>
      </c>
      <c r="K786" s="4" cm="1">
        <f t="array" ref="K786">IFERROR(INDEX(ReferenceCard, MATCH(1, (INDEX(ReferenceCard,,1)=Table1[[#This Row],[SAP No]]) * (INDEX(ReferenceCard,,2)=Table1[[#This Row],[Mould No]]), 0), 7),)</f>
        <v>19</v>
      </c>
      <c r="L786">
        <v>566</v>
      </c>
      <c r="M786">
        <v>0</v>
      </c>
      <c r="N786">
        <v>0</v>
      </c>
      <c r="O786">
        <v>0</v>
      </c>
      <c r="P786">
        <f>Table1[[#This Row],[Shot]]*Table1[[#This Row],[Cav]]</f>
        <v>2264</v>
      </c>
      <c r="Q786">
        <v>0</v>
      </c>
      <c r="R786">
        <f>(Table1[[#This Row],[Part Weight (gm)]]*Table1[[#This Row],[Finish Good]])/1000</f>
        <v>0</v>
      </c>
      <c r="S786">
        <v>0</v>
      </c>
      <c r="T786">
        <f>IF(Table1[[#This Row],[Qty Order]]="Sample","-",IF(Table1[[#This Row],[Qty Order]]="RTFN","-",Table1[[#This Row],[Qty Order]]-Table1[[#This Row],[Qty Accumulate]]))</f>
        <v>0</v>
      </c>
      <c r="U786">
        <f>((Table1[[#This Row],[Shift Output]]*Table1[[#This Row],[Part Weight (gm)]])/1000)+Table1[[#This Row],[Reject Startup (kg)]]+Table1[[#This Row],[Reject Purging (kg)]]+Table1[[#This Row],[Reject Preform (kg)]]</f>
        <v>43.015999999999998</v>
      </c>
      <c r="V786" s="37">
        <f>(Table1[[#This Row],[Gross Weight (gm)]]-Table1[[#This Row],[Part Weight (gm)]])*Table1[[#This Row],[Shift Output]]/1000</f>
        <v>0</v>
      </c>
      <c r="W786" s="3">
        <v>0</v>
      </c>
      <c r="X786" s="36">
        <f>Table1[[#This Row],[Reject Startup (kg)]]/Table1[[#This Row],[Material Used]]</f>
        <v>0</v>
      </c>
      <c r="Y786" s="3">
        <v>0</v>
      </c>
      <c r="Z786" s="36">
        <f>Table1[[#This Row],[Reject Prod (kg)]]/Table1[[#This Row],[Material Used]]</f>
        <v>0</v>
      </c>
      <c r="AA786" s="4">
        <v>22.176242828369102</v>
      </c>
      <c r="AB786" s="5">
        <v>1.76</v>
      </c>
      <c r="AC786" s="4" cm="1">
        <f t="array" ref="AC786">IFERROR(INDEX(ReferenceCard, MATCH(1, (INDEX(ReferenceCard,,1)=Table1[[#This Row],[SAP No]]) * (INDEX(ReferenceCard,,2)=Table1[[#This Row],[Mould No]]), 0), 9),)</f>
        <v>19</v>
      </c>
      <c r="AD786" s="5">
        <v>0</v>
      </c>
      <c r="AE786" s="5">
        <v>0</v>
      </c>
      <c r="AF786" s="5">
        <v>0</v>
      </c>
      <c r="AG786" s="5">
        <v>0</v>
      </c>
      <c r="AH786" s="5">
        <v>10.24</v>
      </c>
      <c r="AI786" s="5">
        <v>0</v>
      </c>
      <c r="AJ786" s="5">
        <v>0</v>
      </c>
      <c r="AL786" s="2"/>
      <c r="AM786" s="2"/>
      <c r="AN786" s="3">
        <v>0</v>
      </c>
      <c r="AO786" s="3">
        <v>0</v>
      </c>
      <c r="AP78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7" spans="1:42" x14ac:dyDescent="0.35">
      <c r="A787" s="1">
        <v>45997</v>
      </c>
      <c r="B787">
        <v>1</v>
      </c>
      <c r="C787" t="s">
        <v>7</v>
      </c>
      <c r="D787" t="str" cm="1">
        <f t="array" ref="D787">IFERROR(INDEX(ReferenceCard, MATCH(1, (INDEX(ReferenceCard,,1)=Table1[[#This Row],[SAP No]]) * (INDEX(ReferenceCard,,2)=Table1[[#This Row],[Mould No]]), 0), 6),)</f>
        <v>PET</v>
      </c>
      <c r="E787">
        <v>426555</v>
      </c>
      <c r="F787">
        <v>0</v>
      </c>
      <c r="G787" t="str" cm="1">
        <f t="array" ref="G787">IFERROR(INDEX(ReferenceCard, MATCH(1, (INDEX(ReferenceCard,,1)=Table1[[#This Row],[SAP No]]) * (INDEX(ReferenceCard,,2)=Table1[[#This Row],[Mould No]]), 0), 3),)</f>
        <v>BX38-0330-Z-S-CL-HW</v>
      </c>
      <c r="H787">
        <v>0</v>
      </c>
      <c r="I787" cm="1">
        <f t="array" ref="I787">IFERROR(INDEX(ReferenceCard, MATCH(1, (INDEX(ReferenceCard,,1)=Table1[[#This Row],[SAP No]]) * (INDEX(ReferenceCard,,2)=Table1[[#This Row],[Mould No]]), 0), 4),)</f>
        <v>4</v>
      </c>
      <c r="J787" s="4" cm="1">
        <f t="array" ref="J787">IFERROR(INDEX(ReferenceCard, MATCH(1, (INDEX(ReferenceCard,,1)=Table1[[#This Row],[SAP No]]) * (INDEX(ReferenceCard,,2)=Table1[[#This Row],[Mould No]]), 0), 9),)</f>
        <v>29</v>
      </c>
      <c r="K787" s="4" cm="1">
        <f t="array" ref="K787">IFERROR(INDEX(ReferenceCard, MATCH(1, (INDEX(ReferenceCard,,1)=Table1[[#This Row],[SAP No]]) * (INDEX(ReferenceCard,,2)=Table1[[#This Row],[Mould No]]), 0), 7),)</f>
        <v>29</v>
      </c>
      <c r="L787">
        <v>0</v>
      </c>
      <c r="M787">
        <v>0</v>
      </c>
      <c r="N787">
        <v>0</v>
      </c>
      <c r="O787">
        <v>0</v>
      </c>
      <c r="P787">
        <f>Table1[[#This Row],[Shot]]*Table1[[#This Row],[Cav]]</f>
        <v>0</v>
      </c>
      <c r="Q787">
        <v>0</v>
      </c>
      <c r="R787">
        <f>(Table1[[#This Row],[Part Weight (gm)]]*Table1[[#This Row],[Finish Good]])/1000</f>
        <v>0</v>
      </c>
      <c r="S787">
        <v>0</v>
      </c>
      <c r="T787">
        <f>IF(Table1[[#This Row],[Qty Order]]="Sample","-",IF(Table1[[#This Row],[Qty Order]]="RTFN","-",Table1[[#This Row],[Qty Order]]-Table1[[#This Row],[Qty Accumulate]]))</f>
        <v>0</v>
      </c>
      <c r="U787">
        <f>((Table1[[#This Row],[Shift Output]]*Table1[[#This Row],[Part Weight (gm)]])/1000)+Table1[[#This Row],[Reject Startup (kg)]]+Table1[[#This Row],[Reject Purging (kg)]]+Table1[[#This Row],[Reject Preform (kg)]]</f>
        <v>0</v>
      </c>
      <c r="V787" s="37">
        <f>(Table1[[#This Row],[Gross Weight (gm)]]-Table1[[#This Row],[Part Weight (gm)]])*Table1[[#This Row],[Shift Output]]/1000</f>
        <v>0</v>
      </c>
      <c r="W787" s="3">
        <v>0</v>
      </c>
      <c r="X787" s="36" t="e">
        <f>Table1[[#This Row],[Reject Startup (kg)]]/Table1[[#This Row],[Material Used]]</f>
        <v>#DIV/0!</v>
      </c>
      <c r="Y787" s="3">
        <v>0</v>
      </c>
      <c r="Z787" s="36" t="e">
        <f>Table1[[#This Row],[Reject Prod (kg)]]/Table1[[#This Row],[Material Used]]</f>
        <v>#DIV/0!</v>
      </c>
      <c r="AA787" s="4">
        <v>0</v>
      </c>
      <c r="AB787" s="5">
        <v>0</v>
      </c>
      <c r="AC787" s="4" cm="1">
        <f t="array" ref="AC787">IFERROR(INDEX(ReferenceCard, MATCH(1, (INDEX(ReferenceCard,,1)=Table1[[#This Row],[SAP No]]) * (INDEX(ReferenceCard,,2)=Table1[[#This Row],[Mould No]]), 0), 9),)</f>
        <v>29</v>
      </c>
      <c r="AD787" s="5">
        <v>0</v>
      </c>
      <c r="AE787" s="5">
        <v>0</v>
      </c>
      <c r="AF787" s="5">
        <v>0</v>
      </c>
      <c r="AG787" s="5">
        <v>12</v>
      </c>
      <c r="AH787" s="5">
        <v>0</v>
      </c>
      <c r="AI787" s="5">
        <v>0</v>
      </c>
      <c r="AJ787" s="5">
        <v>0</v>
      </c>
      <c r="AK787" t="s">
        <v>195</v>
      </c>
      <c r="AL787" s="2"/>
      <c r="AM787" s="2"/>
      <c r="AN787" s="3">
        <v>0</v>
      </c>
      <c r="AO787" s="3">
        <v>0</v>
      </c>
      <c r="AP78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88" spans="1:42" x14ac:dyDescent="0.35">
      <c r="A788" s="1">
        <v>45997</v>
      </c>
      <c r="B788">
        <v>1</v>
      </c>
      <c r="C788" t="s">
        <v>9</v>
      </c>
      <c r="D788" t="str" cm="1">
        <f t="array" ref="D788">IFERROR(INDEX(ReferenceCard, MATCH(1, (INDEX(ReferenceCard,,1)=Table1[[#This Row],[SAP No]]) * (INDEX(ReferenceCard,,2)=Table1[[#This Row],[Mould No]]), 0), 6),)</f>
        <v>rPET</v>
      </c>
      <c r="E788">
        <v>593537</v>
      </c>
      <c r="F788">
        <v>0</v>
      </c>
      <c r="G788" t="str" cm="1">
        <f t="array" ref="G788">IFERROR(INDEX(ReferenceCard, MATCH(1, (INDEX(ReferenceCard,,1)=Table1[[#This Row],[SAP No]]) * (INDEX(ReferenceCard,,2)=Table1[[#This Row],[Mould No]]), 0), 3),)</f>
        <v>BX38-1000-RN-R-CL-rPET</v>
      </c>
      <c r="H788">
        <v>0</v>
      </c>
      <c r="I788" cm="1">
        <f t="array" ref="I788">IFERROR(INDEX(ReferenceCard, MATCH(1, (INDEX(ReferenceCard,,1)=Table1[[#This Row],[SAP No]]) * (INDEX(ReferenceCard,,2)=Table1[[#This Row],[Mould No]]), 0), 4),)</f>
        <v>4</v>
      </c>
      <c r="J788" s="4" cm="1">
        <f t="array" ref="J788">IFERROR(INDEX(ReferenceCard, MATCH(1, (INDEX(ReferenceCard,,1)=Table1[[#This Row],[SAP No]]) * (INDEX(ReferenceCard,,2)=Table1[[#This Row],[Mould No]]), 0), 9),)</f>
        <v>56.5</v>
      </c>
      <c r="K788" s="4" cm="1">
        <f t="array" ref="K788">IFERROR(INDEX(ReferenceCard, MATCH(1, (INDEX(ReferenceCard,,1)=Table1[[#This Row],[SAP No]]) * (INDEX(ReferenceCard,,2)=Table1[[#This Row],[Mould No]]), 0), 7),)</f>
        <v>56.8</v>
      </c>
      <c r="L788">
        <v>1434</v>
      </c>
      <c r="M788">
        <v>0</v>
      </c>
      <c r="N788">
        <v>0</v>
      </c>
      <c r="O788">
        <v>0</v>
      </c>
      <c r="P788">
        <f>Table1[[#This Row],[Shot]]*Table1[[#This Row],[Cav]]</f>
        <v>5736</v>
      </c>
      <c r="Q788">
        <v>0</v>
      </c>
      <c r="R788">
        <f>(Table1[[#This Row],[Part Weight (gm)]]*Table1[[#This Row],[Finish Good]])/1000</f>
        <v>0</v>
      </c>
      <c r="S788">
        <v>0</v>
      </c>
      <c r="T788">
        <f>IF(Table1[[#This Row],[Qty Order]]="Sample","-",IF(Table1[[#This Row],[Qty Order]]="RTFN","-",Table1[[#This Row],[Qty Order]]-Table1[[#This Row],[Qty Accumulate]]))</f>
        <v>0</v>
      </c>
      <c r="U788">
        <f>((Table1[[#This Row],[Shift Output]]*Table1[[#This Row],[Part Weight (gm)]])/1000)+Table1[[#This Row],[Reject Startup (kg)]]+Table1[[#This Row],[Reject Purging (kg)]]+Table1[[#This Row],[Reject Preform (kg)]]</f>
        <v>325.8048</v>
      </c>
      <c r="V788" s="37">
        <f>(Table1[[#This Row],[Gross Weight (gm)]]-Table1[[#This Row],[Part Weight (gm)]])*Table1[[#This Row],[Shift Output]]/1000</f>
        <v>-1.7207999999999839</v>
      </c>
      <c r="W788" s="3">
        <v>0</v>
      </c>
      <c r="X788" s="36">
        <f>Table1[[#This Row],[Reject Startup (kg)]]/Table1[[#This Row],[Material Used]]</f>
        <v>0</v>
      </c>
      <c r="Y788" s="3">
        <v>1</v>
      </c>
      <c r="Z788" s="36">
        <f>Table1[[#This Row],[Reject Prod (kg)]]/Table1[[#This Row],[Material Used]]</f>
        <v>3.0693224900308408E-3</v>
      </c>
      <c r="AA788" s="4">
        <v>28.446743011474599</v>
      </c>
      <c r="AB788" s="5">
        <v>5.6799999999999899</v>
      </c>
      <c r="AC788" s="4" cm="1">
        <f t="array" ref="AC788">IFERROR(INDEX(ReferenceCard, MATCH(1, (INDEX(ReferenceCard,,1)=Table1[[#This Row],[SAP No]]) * (INDEX(ReferenceCard,,2)=Table1[[#This Row],[Mould No]]), 0), 9),)</f>
        <v>56.5</v>
      </c>
      <c r="AD788" s="5">
        <v>0</v>
      </c>
      <c r="AE788" s="5">
        <v>0</v>
      </c>
      <c r="AF788" s="5">
        <v>0</v>
      </c>
      <c r="AG788" s="5">
        <v>0</v>
      </c>
      <c r="AH788" s="5">
        <v>6.32</v>
      </c>
      <c r="AI788" s="5">
        <v>0</v>
      </c>
      <c r="AJ788" s="5">
        <v>0</v>
      </c>
      <c r="AL788" s="2"/>
      <c r="AM788" s="2"/>
      <c r="AN788" s="3">
        <v>0</v>
      </c>
      <c r="AO788" s="3">
        <v>0</v>
      </c>
      <c r="AP788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789" spans="1:42" x14ac:dyDescent="0.35">
      <c r="A789" s="1">
        <v>45997</v>
      </c>
      <c r="B789">
        <v>1</v>
      </c>
      <c r="C789" t="s">
        <v>11</v>
      </c>
      <c r="D789" t="str" cm="1">
        <f t="array" ref="D789">IFERROR(INDEX(ReferenceCard, MATCH(1, (INDEX(ReferenceCard,,1)=Table1[[#This Row],[SAP No]]) * (INDEX(ReferenceCard,,2)=Table1[[#This Row],[Mould No]]), 0), 6),)</f>
        <v>rPET</v>
      </c>
      <c r="E789">
        <v>620994</v>
      </c>
      <c r="F789">
        <v>0</v>
      </c>
      <c r="G789" t="str" cm="1">
        <f t="array" ref="G789">IFERROR(INDEX(ReferenceCard, MATCH(1, (INDEX(ReferenceCard,,1)=Table1[[#This Row],[SAP No]]) * (INDEX(ReferenceCard,,2)=Table1[[#This Row],[Mould No]]), 0), 3),)</f>
        <v>JJ63-0400-SH-S-CL-rPET</v>
      </c>
      <c r="H789">
        <v>0</v>
      </c>
      <c r="I789" cm="1">
        <f t="array" ref="I789">IFERROR(INDEX(ReferenceCard, MATCH(1, (INDEX(ReferenceCard,,1)=Table1[[#This Row],[SAP No]]) * (INDEX(ReferenceCard,,2)=Table1[[#This Row],[Mould No]]), 0), 4),)</f>
        <v>4</v>
      </c>
      <c r="J789" s="4" cm="1">
        <f t="array" ref="J789">IFERROR(INDEX(ReferenceCard, MATCH(1, (INDEX(ReferenceCard,,1)=Table1[[#This Row],[SAP No]]) * (INDEX(ReferenceCard,,2)=Table1[[#This Row],[Mould No]]), 0), 9),)</f>
        <v>32.74</v>
      </c>
      <c r="K789" s="4" cm="1">
        <f t="array" ref="K789">IFERROR(INDEX(ReferenceCard, MATCH(1, (INDEX(ReferenceCard,,1)=Table1[[#This Row],[SAP No]]) * (INDEX(ReferenceCard,,2)=Table1[[#This Row],[Mould No]]), 0), 7),)</f>
        <v>33</v>
      </c>
      <c r="L789">
        <v>1900</v>
      </c>
      <c r="M789">
        <v>0</v>
      </c>
      <c r="N789">
        <v>0</v>
      </c>
      <c r="O789">
        <v>0</v>
      </c>
      <c r="P789">
        <f>Table1[[#This Row],[Shot]]*Table1[[#This Row],[Cav]]</f>
        <v>7600</v>
      </c>
      <c r="Q789">
        <v>0</v>
      </c>
      <c r="R789">
        <f>(Table1[[#This Row],[Part Weight (gm)]]*Table1[[#This Row],[Finish Good]])/1000</f>
        <v>0</v>
      </c>
      <c r="S789">
        <v>0</v>
      </c>
      <c r="T789">
        <f>IF(Table1[[#This Row],[Qty Order]]="Sample","-",IF(Table1[[#This Row],[Qty Order]]="RTFN","-",Table1[[#This Row],[Qty Order]]-Table1[[#This Row],[Qty Accumulate]]))</f>
        <v>0</v>
      </c>
      <c r="U789">
        <f>((Table1[[#This Row],[Shift Output]]*Table1[[#This Row],[Part Weight (gm)]])/1000)+Table1[[#This Row],[Reject Startup (kg)]]+Table1[[#This Row],[Reject Purging (kg)]]+Table1[[#This Row],[Reject Preform (kg)]]</f>
        <v>250.8</v>
      </c>
      <c r="V789" s="37">
        <f>(Table1[[#This Row],[Gross Weight (gm)]]-Table1[[#This Row],[Part Weight (gm)]])*Table1[[#This Row],[Shift Output]]/1000</f>
        <v>-1.9759999999999851</v>
      </c>
      <c r="W789" s="3">
        <v>0</v>
      </c>
      <c r="X789" s="36">
        <f>Table1[[#This Row],[Reject Startup (kg)]]/Table1[[#This Row],[Material Used]]</f>
        <v>0</v>
      </c>
      <c r="Y789" s="3">
        <v>2</v>
      </c>
      <c r="Z789" s="36">
        <f>Table1[[#This Row],[Reject Prod (kg)]]/Table1[[#This Row],[Material Used]]</f>
        <v>7.9744816586921844E-3</v>
      </c>
      <c r="AA789" s="4">
        <v>21.7176914215087</v>
      </c>
      <c r="AB789" s="5">
        <v>5.74</v>
      </c>
      <c r="AC789" s="4" cm="1">
        <f t="array" ref="AC789">IFERROR(INDEX(ReferenceCard, MATCH(1, (INDEX(ReferenceCard,,1)=Table1[[#This Row],[SAP No]]) * (INDEX(ReferenceCard,,2)=Table1[[#This Row],[Mould No]]), 0), 9),)</f>
        <v>32.74</v>
      </c>
      <c r="AD789" s="5">
        <v>0</v>
      </c>
      <c r="AE789" s="5">
        <v>0</v>
      </c>
      <c r="AF789" s="5">
        <v>0</v>
      </c>
      <c r="AG789" s="5">
        <v>0</v>
      </c>
      <c r="AH789" s="5">
        <v>6.25999999999999</v>
      </c>
      <c r="AI789" s="5">
        <v>0</v>
      </c>
      <c r="AJ789" s="5">
        <v>0</v>
      </c>
      <c r="AL789" s="2"/>
      <c r="AM789" s="2"/>
      <c r="AN789" s="3">
        <v>0</v>
      </c>
      <c r="AO789" s="3">
        <v>0</v>
      </c>
      <c r="AP789" s="6">
        <f>((Table1[[#This Row],[Reject Startup (kg)]]+Table1[[#This Row],[Reject Prod (kg)]]+Table1[[#This Row],[Reject Purging (kg)]]+Table1[[#This Row],[Reject Preform (kg)]])/Table1[[#This Row],[Part Weight (gm)]])*1000</f>
        <v>60.606060606060609</v>
      </c>
    </row>
    <row r="790" spans="1:42" x14ac:dyDescent="0.35">
      <c r="A790" s="1">
        <v>45997</v>
      </c>
      <c r="B790">
        <v>1</v>
      </c>
      <c r="C790" t="s">
        <v>14</v>
      </c>
      <c r="D790" t="str" cm="1">
        <f t="array" ref="D790">IFERROR(INDEX(ReferenceCard, MATCH(1, (INDEX(ReferenceCard,,1)=Table1[[#This Row],[SAP No]]) * (INDEX(ReferenceCard,,2)=Table1[[#This Row],[Mould No]]), 0), 6),)</f>
        <v>PET</v>
      </c>
      <c r="E790">
        <v>324165</v>
      </c>
      <c r="F790">
        <v>0</v>
      </c>
      <c r="G790" t="str" cm="1">
        <f t="array" ref="G790">IFERROR(INDEX(ReferenceCard, MATCH(1, (INDEX(ReferenceCard,,1)=Table1[[#This Row],[SAP No]]) * (INDEX(ReferenceCard,,2)=Table1[[#This Row],[Mould No]]), 0), 3),)</f>
        <v>JJ63-0400-SH-S-WH</v>
      </c>
      <c r="H790">
        <v>0</v>
      </c>
      <c r="I790" cm="1">
        <f t="array" ref="I790">IFERROR(INDEX(ReferenceCard, MATCH(1, (INDEX(ReferenceCard,,1)=Table1[[#This Row],[SAP No]]) * (INDEX(ReferenceCard,,2)=Table1[[#This Row],[Mould No]]), 0), 4),)</f>
        <v>4</v>
      </c>
      <c r="J790" s="4" cm="1">
        <f t="array" ref="J790">IFERROR(INDEX(ReferenceCard, MATCH(1, (INDEX(ReferenceCard,,1)=Table1[[#This Row],[SAP No]]) * (INDEX(ReferenceCard,,2)=Table1[[#This Row],[Mould No]]), 0), 9),)</f>
        <v>32.56</v>
      </c>
      <c r="K790" s="4" cm="1">
        <f t="array" ref="K790">IFERROR(INDEX(ReferenceCard, MATCH(1, (INDEX(ReferenceCard,,1)=Table1[[#This Row],[SAP No]]) * (INDEX(ReferenceCard,,2)=Table1[[#This Row],[Mould No]]), 0), 7),)</f>
        <v>33</v>
      </c>
      <c r="L790">
        <v>1714</v>
      </c>
      <c r="M790">
        <v>0</v>
      </c>
      <c r="N790">
        <v>0</v>
      </c>
      <c r="O790">
        <v>0</v>
      </c>
      <c r="P790">
        <f>Table1[[#This Row],[Shot]]*Table1[[#This Row],[Cav]]</f>
        <v>6856</v>
      </c>
      <c r="Q790">
        <v>0</v>
      </c>
      <c r="R790">
        <f>(Table1[[#This Row],[Part Weight (gm)]]*Table1[[#This Row],[Finish Good]])/1000</f>
        <v>0</v>
      </c>
      <c r="S790">
        <v>0</v>
      </c>
      <c r="T790">
        <f>IF(Table1[[#This Row],[Qty Order]]="Sample","-",IF(Table1[[#This Row],[Qty Order]]="RTFN","-",Table1[[#This Row],[Qty Order]]-Table1[[#This Row],[Qty Accumulate]]))</f>
        <v>0</v>
      </c>
      <c r="U790">
        <f>((Table1[[#This Row],[Shift Output]]*Table1[[#This Row],[Part Weight (gm)]])/1000)+Table1[[#This Row],[Reject Startup (kg)]]+Table1[[#This Row],[Reject Purging (kg)]]+Table1[[#This Row],[Reject Preform (kg)]]</f>
        <v>226.24799999999999</v>
      </c>
      <c r="V790" s="37">
        <f>(Table1[[#This Row],[Gross Weight (gm)]]-Table1[[#This Row],[Part Weight (gm)]])*Table1[[#This Row],[Shift Output]]/1000</f>
        <v>-3.0166399999999842</v>
      </c>
      <c r="W790" s="3">
        <v>0</v>
      </c>
      <c r="X790" s="36">
        <f>Table1[[#This Row],[Reject Startup (kg)]]/Table1[[#This Row],[Material Used]]</f>
        <v>0</v>
      </c>
      <c r="Y790" s="3">
        <v>3</v>
      </c>
      <c r="Z790" s="36">
        <f>Table1[[#This Row],[Reject Prod (kg)]]/Table1[[#This Row],[Material Used]]</f>
        <v>1.3259785721862736E-2</v>
      </c>
      <c r="AA790" s="4">
        <v>23.996667861938398</v>
      </c>
      <c r="AB790" s="5">
        <v>5.73</v>
      </c>
      <c r="AC790" s="4" cm="1">
        <f t="array" ref="AC790">IFERROR(INDEX(ReferenceCard, MATCH(1, (INDEX(ReferenceCard,,1)=Table1[[#This Row],[SAP No]]) * (INDEX(ReferenceCard,,2)=Table1[[#This Row],[Mould No]]), 0), 9),)</f>
        <v>32.56</v>
      </c>
      <c r="AD790" s="5">
        <v>0</v>
      </c>
      <c r="AE790" s="5">
        <v>0</v>
      </c>
      <c r="AF790" s="5">
        <v>0</v>
      </c>
      <c r="AG790" s="5">
        <v>0</v>
      </c>
      <c r="AH790" s="5">
        <v>6.2699999999999898</v>
      </c>
      <c r="AI790" s="5">
        <v>0</v>
      </c>
      <c r="AJ790" s="5">
        <v>0</v>
      </c>
      <c r="AL790" s="2"/>
      <c r="AM790" s="2"/>
      <c r="AN790" s="3">
        <v>0</v>
      </c>
      <c r="AO790" s="3">
        <v>0</v>
      </c>
      <c r="AP790" s="6">
        <f>((Table1[[#This Row],[Reject Startup (kg)]]+Table1[[#This Row],[Reject Prod (kg)]]+Table1[[#This Row],[Reject Purging (kg)]]+Table1[[#This Row],[Reject Preform (kg)]])/Table1[[#This Row],[Part Weight (gm)]])*1000</f>
        <v>90.909090909090907</v>
      </c>
    </row>
    <row r="791" spans="1:42" x14ac:dyDescent="0.35">
      <c r="A791" s="1">
        <v>45997</v>
      </c>
      <c r="B791">
        <v>1</v>
      </c>
      <c r="C791" t="s">
        <v>16</v>
      </c>
      <c r="D791" t="str" cm="1">
        <f t="array" ref="D791">IFERROR(INDEX(ReferenceCard, MATCH(1, (INDEX(ReferenceCard,,1)=Table1[[#This Row],[SAP No]]) * (INDEX(ReferenceCard,,2)=Table1[[#This Row],[Mould No]]), 0), 6),)</f>
        <v>PET</v>
      </c>
      <c r="E791">
        <v>323092</v>
      </c>
      <c r="F791">
        <v>0</v>
      </c>
      <c r="G791" t="str" cm="1">
        <f t="array" ref="G791">IFERROR(INDEX(ReferenceCard, MATCH(1, (INDEX(ReferenceCard,,1)=Table1[[#This Row],[SAP No]]) * (INDEX(ReferenceCard,,2)=Table1[[#This Row],[Mould No]]), 0), 3),)</f>
        <v>BX38-1000-GH-R-CL(GREEN) (ASEM)</v>
      </c>
      <c r="H791">
        <v>0</v>
      </c>
      <c r="I791" cm="1">
        <f t="array" ref="I791">IFERROR(INDEX(ReferenceCard, MATCH(1, (INDEX(ReferenceCard,,1)=Table1[[#This Row],[SAP No]]) * (INDEX(ReferenceCard,,2)=Table1[[#This Row],[Mould No]]), 0), 4),)</f>
        <v>4</v>
      </c>
      <c r="J791" s="4" cm="1">
        <f t="array" ref="J791">IFERROR(INDEX(ReferenceCard, MATCH(1, (INDEX(ReferenceCard,,1)=Table1[[#This Row],[SAP No]]) * (INDEX(ReferenceCard,,2)=Table1[[#This Row],[Mould No]]), 0), 9),)</f>
        <v>48.9</v>
      </c>
      <c r="K791" s="4" cm="1">
        <f t="array" ref="K791">IFERROR(INDEX(ReferenceCard, MATCH(1, (INDEX(ReferenceCard,,1)=Table1[[#This Row],[SAP No]]) * (INDEX(ReferenceCard,,2)=Table1[[#This Row],[Mould No]]), 0), 7),)</f>
        <v>48.9</v>
      </c>
      <c r="L791">
        <v>314</v>
      </c>
      <c r="M791">
        <v>0</v>
      </c>
      <c r="N791">
        <v>0</v>
      </c>
      <c r="O791">
        <v>0</v>
      </c>
      <c r="P791">
        <f>Table1[[#This Row],[Shot]]*Table1[[#This Row],[Cav]]</f>
        <v>1256</v>
      </c>
      <c r="Q791">
        <v>0</v>
      </c>
      <c r="R791">
        <f>(Table1[[#This Row],[Part Weight (gm)]]*Table1[[#This Row],[Finish Good]])/1000</f>
        <v>0</v>
      </c>
      <c r="S791">
        <v>0</v>
      </c>
      <c r="T791">
        <f>IF(Table1[[#This Row],[Qty Order]]="Sample","-",IF(Table1[[#This Row],[Qty Order]]="RTFN","-",Table1[[#This Row],[Qty Order]]-Table1[[#This Row],[Qty Accumulate]]))</f>
        <v>0</v>
      </c>
      <c r="U791">
        <f>((Table1[[#This Row],[Shift Output]]*Table1[[#This Row],[Part Weight (gm)]])/1000)+Table1[[#This Row],[Reject Startup (kg)]]+Table1[[#This Row],[Reject Purging (kg)]]+Table1[[#This Row],[Reject Preform (kg)]]</f>
        <v>61.418399999999998</v>
      </c>
      <c r="V791" s="37">
        <f>(Table1[[#This Row],[Gross Weight (gm)]]-Table1[[#This Row],[Part Weight (gm)]])*Table1[[#This Row],[Shift Output]]/1000</f>
        <v>0</v>
      </c>
      <c r="W791" s="3">
        <v>0</v>
      </c>
      <c r="X791" s="36">
        <f>Table1[[#This Row],[Reject Startup (kg)]]/Table1[[#This Row],[Material Used]]</f>
        <v>0</v>
      </c>
      <c r="Y791" s="3">
        <v>0</v>
      </c>
      <c r="Z791" s="36">
        <f>Table1[[#This Row],[Reject Prod (kg)]]/Table1[[#This Row],[Material Used]]</f>
        <v>0</v>
      </c>
      <c r="AA791" s="4">
        <v>35.416412353515597</v>
      </c>
      <c r="AB791" s="5">
        <v>1.8</v>
      </c>
      <c r="AC791" s="4" cm="1">
        <f t="array" ref="AC791">IFERROR(INDEX(ReferenceCard, MATCH(1, (INDEX(ReferenceCard,,1)=Table1[[#This Row],[SAP No]]) * (INDEX(ReferenceCard,,2)=Table1[[#This Row],[Mould No]]), 0), 9),)</f>
        <v>48.9</v>
      </c>
      <c r="AD791" s="5">
        <v>0</v>
      </c>
      <c r="AE791" s="5">
        <v>0</v>
      </c>
      <c r="AF791" s="5">
        <v>0</v>
      </c>
      <c r="AG791" s="5">
        <v>0</v>
      </c>
      <c r="AH791" s="5">
        <v>10.1999999999999</v>
      </c>
      <c r="AI791" s="5">
        <v>0</v>
      </c>
      <c r="AJ791" s="5">
        <v>0</v>
      </c>
      <c r="AK791" t="s">
        <v>196</v>
      </c>
      <c r="AL791" s="2"/>
      <c r="AM791" s="2"/>
      <c r="AN791" s="3">
        <v>0</v>
      </c>
      <c r="AO791" s="3">
        <v>0</v>
      </c>
      <c r="AP79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92" spans="1:42" x14ac:dyDescent="0.35">
      <c r="A792" s="1">
        <v>45997</v>
      </c>
      <c r="B792">
        <v>1</v>
      </c>
      <c r="C792" t="s">
        <v>23</v>
      </c>
      <c r="D792" t="str" cm="1">
        <f t="array" ref="D792">IFERROR(INDEX(ReferenceCard, MATCH(1, (INDEX(ReferenceCard,,1)=Table1[[#This Row],[SAP No]]) * (INDEX(ReferenceCard,,2)=Table1[[#This Row],[Mould No]]), 0), 6),)</f>
        <v>PPSB520Y</v>
      </c>
      <c r="E792">
        <v>586276</v>
      </c>
      <c r="F792">
        <v>2</v>
      </c>
      <c r="G792" t="str" cm="1">
        <f t="array" ref="G792">IFERROR(INDEX(ReferenceCard, MATCH(1, (INDEX(ReferenceCard,,1)=Table1[[#This Row],[SAP No]]) * (INDEX(ReferenceCard,,2)=Table1[[#This Row],[Mould No]]), 0), 3),)</f>
        <v>BC28-0056-D-APH-LEB-604001-MOLD2</v>
      </c>
      <c r="H792">
        <v>0</v>
      </c>
      <c r="I792" cm="1">
        <f t="array" ref="I792">IFERROR(INDEX(ReferenceCard, MATCH(1, (INDEX(ReferenceCard,,1)=Table1[[#This Row],[SAP No]]) * (INDEX(ReferenceCard,,2)=Table1[[#This Row],[Mould No]]), 0), 4),)</f>
        <v>6</v>
      </c>
      <c r="J792" s="4" cm="1">
        <f t="array" ref="J792">IFERROR(INDEX(ReferenceCard, MATCH(1, (INDEX(ReferenceCard,,1)=Table1[[#This Row],[SAP No]]) * (INDEX(ReferenceCard,,2)=Table1[[#This Row],[Mould No]]), 0), 9),)</f>
        <v>12.3</v>
      </c>
      <c r="K792" s="4" cm="1">
        <f t="array" ref="K792">IFERROR(INDEX(ReferenceCard, MATCH(1, (INDEX(ReferenceCard,,1)=Table1[[#This Row],[SAP No]]) * (INDEX(ReferenceCard,,2)=Table1[[#This Row],[Mould No]]), 0), 7),)</f>
        <v>12.3</v>
      </c>
      <c r="L792">
        <v>990</v>
      </c>
      <c r="M792">
        <v>0</v>
      </c>
      <c r="N792">
        <v>0</v>
      </c>
      <c r="O792">
        <v>0</v>
      </c>
      <c r="P792">
        <f>Table1[[#This Row],[Shot]]*Table1[[#This Row],[Cav]]</f>
        <v>5940</v>
      </c>
      <c r="Q792">
        <v>0</v>
      </c>
      <c r="R792">
        <f>(Table1[[#This Row],[Part Weight (gm)]]*Table1[[#This Row],[Finish Good]])/1000</f>
        <v>0</v>
      </c>
      <c r="S792">
        <v>0</v>
      </c>
      <c r="T792">
        <f>IF(Table1[[#This Row],[Qty Order]]="Sample","-",IF(Table1[[#This Row],[Qty Order]]="RTFN","-",Table1[[#This Row],[Qty Order]]-Table1[[#This Row],[Qty Accumulate]]))</f>
        <v>0</v>
      </c>
      <c r="U792">
        <f>((Table1[[#This Row],[Shift Output]]*Table1[[#This Row],[Part Weight (gm)]])/1000)+Table1[[#This Row],[Reject Startup (kg)]]+Table1[[#This Row],[Reject Purging (kg)]]+Table1[[#This Row],[Reject Preform (kg)]]</f>
        <v>73.061999999999998</v>
      </c>
      <c r="V792" s="37">
        <f>(Table1[[#This Row],[Gross Weight (gm)]]-Table1[[#This Row],[Part Weight (gm)]])*Table1[[#This Row],[Shift Output]]/1000</f>
        <v>0</v>
      </c>
      <c r="W792" s="3">
        <v>0</v>
      </c>
      <c r="X792" s="36">
        <f>Table1[[#This Row],[Reject Startup (kg)]]/Table1[[#This Row],[Material Used]]</f>
        <v>0</v>
      </c>
      <c r="Y792" s="3">
        <v>1</v>
      </c>
      <c r="Z792" s="36">
        <f>Table1[[#This Row],[Reject Prod (kg)]]/Table1[[#This Row],[Material Used]]</f>
        <v>1.3687005556924257E-2</v>
      </c>
      <c r="AA792" s="4">
        <v>25.705039978027301</v>
      </c>
      <c r="AB792" s="5">
        <v>5.7699999999999898</v>
      </c>
      <c r="AC792" s="4" cm="1">
        <f t="array" ref="AC792">IFERROR(INDEX(ReferenceCard, MATCH(1, (INDEX(ReferenceCard,,1)=Table1[[#This Row],[SAP No]]) * (INDEX(ReferenceCard,,2)=Table1[[#This Row],[Mould No]]), 0), 9),)</f>
        <v>12.3</v>
      </c>
      <c r="AD792" s="5">
        <v>0</v>
      </c>
      <c r="AE792" s="5">
        <v>0</v>
      </c>
      <c r="AF792" s="5">
        <v>0</v>
      </c>
      <c r="AG792" s="5">
        <v>0</v>
      </c>
      <c r="AH792" s="5">
        <v>6.23</v>
      </c>
      <c r="AI792" s="5">
        <v>0</v>
      </c>
      <c r="AJ792" s="5">
        <v>0</v>
      </c>
      <c r="AL792" s="2"/>
      <c r="AM792" s="2"/>
      <c r="AN792" s="3">
        <v>0</v>
      </c>
      <c r="AO792" s="3">
        <v>0</v>
      </c>
      <c r="AP792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793" spans="1:42" x14ac:dyDescent="0.35">
      <c r="A793" s="1">
        <v>45997</v>
      </c>
      <c r="B793">
        <v>1</v>
      </c>
      <c r="C793" t="s">
        <v>25</v>
      </c>
      <c r="D793" t="str" cm="1">
        <f t="array" ref="D793">IFERROR(INDEX(ReferenceCard, MATCH(1, (INDEX(ReferenceCard,,1)=Table1[[#This Row],[SAP No]]) * (INDEX(ReferenceCard,,2)=Table1[[#This Row],[Mould No]]), 0), 6),)</f>
        <v>PET</v>
      </c>
      <c r="E793">
        <v>323133</v>
      </c>
      <c r="F793">
        <v>0</v>
      </c>
      <c r="G793" t="str" cm="1">
        <f t="array" ref="G793">IFERROR(INDEX(ReferenceCard, MATCH(1, (INDEX(ReferenceCard,,1)=Table1[[#This Row],[SAP No]]) * (INDEX(ReferenceCard,,2)=Table1[[#This Row],[Mould No]]), 0), 3),)</f>
        <v>BX38-2000-RH-R-CL(GREEN) (ASEM)</v>
      </c>
      <c r="H793">
        <v>0</v>
      </c>
      <c r="I793" cm="1">
        <f t="array" ref="I793">IFERROR(INDEX(ReferenceCard, MATCH(1, (INDEX(ReferenceCard,,1)=Table1[[#This Row],[SAP No]]) * (INDEX(ReferenceCard,,2)=Table1[[#This Row],[Mould No]]), 0), 4),)</f>
        <v>4</v>
      </c>
      <c r="J793" s="4" cm="1">
        <f t="array" ref="J793">IFERROR(INDEX(ReferenceCard, MATCH(1, (INDEX(ReferenceCard,,1)=Table1[[#This Row],[SAP No]]) * (INDEX(ReferenceCard,,2)=Table1[[#This Row],[Mould No]]), 0), 9),)</f>
        <v>77</v>
      </c>
      <c r="K793" s="4" cm="1">
        <f t="array" ref="K793">IFERROR(INDEX(ReferenceCard, MATCH(1, (INDEX(ReferenceCard,,1)=Table1[[#This Row],[SAP No]]) * (INDEX(ReferenceCard,,2)=Table1[[#This Row],[Mould No]]), 0), 7),)</f>
        <v>77</v>
      </c>
      <c r="L793">
        <v>834</v>
      </c>
      <c r="M793">
        <v>0</v>
      </c>
      <c r="N793">
        <v>0</v>
      </c>
      <c r="O793">
        <v>0</v>
      </c>
      <c r="P793">
        <f>Table1[[#This Row],[Shot]]*Table1[[#This Row],[Cav]]</f>
        <v>3336</v>
      </c>
      <c r="Q793">
        <v>0</v>
      </c>
      <c r="R793">
        <f>(Table1[[#This Row],[Part Weight (gm)]]*Table1[[#This Row],[Finish Good]])/1000</f>
        <v>0</v>
      </c>
      <c r="S793">
        <v>0</v>
      </c>
      <c r="T793">
        <f>IF(Table1[[#This Row],[Qty Order]]="Sample","-",IF(Table1[[#This Row],[Qty Order]]="RTFN","-",Table1[[#This Row],[Qty Order]]-Table1[[#This Row],[Qty Accumulate]]))</f>
        <v>0</v>
      </c>
      <c r="U793">
        <f>((Table1[[#This Row],[Shift Output]]*Table1[[#This Row],[Part Weight (gm)]])/1000)+Table1[[#This Row],[Reject Startup (kg)]]+Table1[[#This Row],[Reject Purging (kg)]]+Table1[[#This Row],[Reject Preform (kg)]]</f>
        <v>256.87200000000001</v>
      </c>
      <c r="V793" s="37">
        <f>(Table1[[#This Row],[Gross Weight (gm)]]-Table1[[#This Row],[Part Weight (gm)]])*Table1[[#This Row],[Shift Output]]/1000</f>
        <v>0</v>
      </c>
      <c r="W793" s="3">
        <v>0</v>
      </c>
      <c r="X793" s="36">
        <f>Table1[[#This Row],[Reject Startup (kg)]]/Table1[[#This Row],[Material Used]]</f>
        <v>0</v>
      </c>
      <c r="Y793" s="3">
        <v>3</v>
      </c>
      <c r="Z793" s="36">
        <f>Table1[[#This Row],[Reject Prod (kg)]]/Table1[[#This Row],[Material Used]]</f>
        <v>1.1678968513500887E-2</v>
      </c>
      <c r="AA793" s="4">
        <v>35.184432983398402</v>
      </c>
      <c r="AB793" s="5">
        <v>5.32</v>
      </c>
      <c r="AC793" s="4" cm="1">
        <f t="array" ref="AC793">IFERROR(INDEX(ReferenceCard, MATCH(1, (INDEX(ReferenceCard,,1)=Table1[[#This Row],[SAP No]]) * (INDEX(ReferenceCard,,2)=Table1[[#This Row],[Mould No]]), 0), 9),)</f>
        <v>77</v>
      </c>
      <c r="AD793" s="5">
        <v>0</v>
      </c>
      <c r="AE793" s="5">
        <v>0</v>
      </c>
      <c r="AF793" s="5">
        <v>0</v>
      </c>
      <c r="AG793" s="5">
        <v>0</v>
      </c>
      <c r="AH793" s="5">
        <v>6.6799999999999899</v>
      </c>
      <c r="AI793" s="5">
        <v>0</v>
      </c>
      <c r="AJ793" s="5">
        <v>0</v>
      </c>
      <c r="AL793" s="2"/>
      <c r="AM793" s="2"/>
      <c r="AN793" s="3">
        <v>0</v>
      </c>
      <c r="AO793" s="3">
        <v>0</v>
      </c>
      <c r="AP793" s="6">
        <f>((Table1[[#This Row],[Reject Startup (kg)]]+Table1[[#This Row],[Reject Prod (kg)]]+Table1[[#This Row],[Reject Purging (kg)]]+Table1[[#This Row],[Reject Preform (kg)]])/Table1[[#This Row],[Part Weight (gm)]])*1000</f>
        <v>38.961038961038959</v>
      </c>
    </row>
    <row r="794" spans="1:42" x14ac:dyDescent="0.35">
      <c r="A794" s="1">
        <v>45997</v>
      </c>
      <c r="B794">
        <v>1</v>
      </c>
      <c r="C794" t="s">
        <v>27</v>
      </c>
      <c r="D794" t="str" cm="1">
        <f t="array" ref="D794">IFERROR(INDEX(ReferenceCard, MATCH(1, (INDEX(ReferenceCard,,1)=Table1[[#This Row],[SAP No]]) * (INDEX(ReferenceCard,,2)=Table1[[#This Row],[Mould No]]), 0), 6),)</f>
        <v>PPSB520Y</v>
      </c>
      <c r="E794">
        <v>552181</v>
      </c>
      <c r="F794">
        <v>4</v>
      </c>
      <c r="G794" t="str" cm="1">
        <f t="array" ref="G794">IFERROR(INDEX(ReferenceCard, MATCH(1, (INDEX(ReferenceCard,,1)=Table1[[#This Row],[SAP No]]) * (INDEX(ReferenceCard,,2)=Table1[[#This Row],[Mould No]]), 0), 3),)</f>
        <v>BC28-0090-D-APH-5180-3538-PP-6 NOTCHES-MOLD4</v>
      </c>
      <c r="H794">
        <v>0</v>
      </c>
      <c r="I794" cm="1">
        <f t="array" ref="I794">IFERROR(INDEX(ReferenceCard, MATCH(1, (INDEX(ReferenceCard,,1)=Table1[[#This Row],[SAP No]]) * (INDEX(ReferenceCard,,2)=Table1[[#This Row],[Mould No]]), 0), 4),)</f>
        <v>6</v>
      </c>
      <c r="J794" s="4" cm="1">
        <f t="array" ref="J794">IFERROR(INDEX(ReferenceCard, MATCH(1, (INDEX(ReferenceCard,,1)=Table1[[#This Row],[SAP No]]) * (INDEX(ReferenceCard,,2)=Table1[[#This Row],[Mould No]]), 0), 9),)</f>
        <v>18.8</v>
      </c>
      <c r="K794" s="4" cm="1">
        <f t="array" ref="K794">IFERROR(INDEX(ReferenceCard, MATCH(1, (INDEX(ReferenceCard,,1)=Table1[[#This Row],[SAP No]]) * (INDEX(ReferenceCard,,2)=Table1[[#This Row],[Mould No]]), 0), 7),)</f>
        <v>18.8</v>
      </c>
      <c r="L794">
        <v>145</v>
      </c>
      <c r="M794">
        <v>0</v>
      </c>
      <c r="N794">
        <v>0</v>
      </c>
      <c r="O794">
        <v>0</v>
      </c>
      <c r="P794">
        <f>Table1[[#This Row],[Shot]]*Table1[[#This Row],[Cav]]</f>
        <v>870</v>
      </c>
      <c r="Q794">
        <v>0</v>
      </c>
      <c r="R794">
        <f>(Table1[[#This Row],[Part Weight (gm)]]*Table1[[#This Row],[Finish Good]])/1000</f>
        <v>0</v>
      </c>
      <c r="S794">
        <v>0</v>
      </c>
      <c r="T794">
        <f>IF(Table1[[#This Row],[Qty Order]]="Sample","-",IF(Table1[[#This Row],[Qty Order]]="RTFN","-",Table1[[#This Row],[Qty Order]]-Table1[[#This Row],[Qty Accumulate]]))</f>
        <v>0</v>
      </c>
      <c r="U794">
        <f>((Table1[[#This Row],[Shift Output]]*Table1[[#This Row],[Part Weight (gm)]])/1000)+Table1[[#This Row],[Reject Startup (kg)]]+Table1[[#This Row],[Reject Purging (kg)]]+Table1[[#This Row],[Reject Preform (kg)]]</f>
        <v>16.356000000000002</v>
      </c>
      <c r="V794" s="37">
        <f>(Table1[[#This Row],[Gross Weight (gm)]]-Table1[[#This Row],[Part Weight (gm)]])*Table1[[#This Row],[Shift Output]]/1000</f>
        <v>0</v>
      </c>
      <c r="W794" s="3">
        <v>0</v>
      </c>
      <c r="X794" s="36">
        <f>Table1[[#This Row],[Reject Startup (kg)]]/Table1[[#This Row],[Material Used]]</f>
        <v>0</v>
      </c>
      <c r="Y794" s="3">
        <v>0</v>
      </c>
      <c r="Z794" s="36">
        <f>Table1[[#This Row],[Reject Prod (kg)]]/Table1[[#This Row],[Material Used]]</f>
        <v>0</v>
      </c>
      <c r="AA794" s="4">
        <v>0</v>
      </c>
      <c r="AB794" s="5">
        <v>9.3699999999999903</v>
      </c>
      <c r="AC794" s="4" cm="1">
        <f t="array" ref="AC794">IFERROR(INDEX(ReferenceCard, MATCH(1, (INDEX(ReferenceCard,,1)=Table1[[#This Row],[SAP No]]) * (INDEX(ReferenceCard,,2)=Table1[[#This Row],[Mould No]]), 0), 9),)</f>
        <v>18.8</v>
      </c>
      <c r="AD794" s="5">
        <v>0</v>
      </c>
      <c r="AE794" s="5">
        <v>0</v>
      </c>
      <c r="AF794" s="5">
        <v>0</v>
      </c>
      <c r="AG794" s="5">
        <v>0</v>
      </c>
      <c r="AH794" s="5">
        <v>2.6299999999999901</v>
      </c>
      <c r="AI794" s="5">
        <v>0</v>
      </c>
      <c r="AJ794" s="5">
        <v>0</v>
      </c>
      <c r="AL794" s="2"/>
      <c r="AM794" s="2"/>
      <c r="AN794" s="3">
        <v>0</v>
      </c>
      <c r="AO794" s="3">
        <v>0</v>
      </c>
      <c r="AP794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95" spans="1:42" x14ac:dyDescent="0.35">
      <c r="A795" s="1">
        <v>45997</v>
      </c>
      <c r="B795">
        <v>1</v>
      </c>
      <c r="C795" t="s">
        <v>29</v>
      </c>
      <c r="D795" t="str" cm="1">
        <f t="array" ref="D795">IFERROR(INDEX(ReferenceCard, MATCH(1, (INDEX(ReferenceCard,,1)=Table1[[#This Row],[SAP No]]) * (INDEX(ReferenceCard,,2)=Table1[[#This Row],[Mould No]]), 0), 6),)</f>
        <v>PET</v>
      </c>
      <c r="E795">
        <v>620599</v>
      </c>
      <c r="F795">
        <v>0</v>
      </c>
      <c r="G795" t="str" cm="1">
        <f t="array" ref="G795">IFERROR(INDEX(ReferenceCard, MATCH(1, (INDEX(ReferenceCard,,1)=Table1[[#This Row],[SAP No]]) * (INDEX(ReferenceCard,,2)=Table1[[#This Row],[Mould No]]), 0), 3),)</f>
        <v>BC28-0750-K4-R-CL (55g)</v>
      </c>
      <c r="H795">
        <v>0</v>
      </c>
      <c r="I795" cm="1">
        <f t="array" ref="I795">IFERROR(INDEX(ReferenceCard, MATCH(1, (INDEX(ReferenceCard,,1)=Table1[[#This Row],[SAP No]]) * (INDEX(ReferenceCard,,2)=Table1[[#This Row],[Mould No]]), 0), 4),)</f>
        <v>4</v>
      </c>
      <c r="J795" s="4" cm="1">
        <f t="array" ref="J795">IFERROR(INDEX(ReferenceCard, MATCH(1, (INDEX(ReferenceCard,,1)=Table1[[#This Row],[SAP No]]) * (INDEX(ReferenceCard,,2)=Table1[[#This Row],[Mould No]]), 0), 9),)</f>
        <v>55</v>
      </c>
      <c r="K795" s="4" cm="1">
        <f t="array" ref="K795">IFERROR(INDEX(ReferenceCard, MATCH(1, (INDEX(ReferenceCard,,1)=Table1[[#This Row],[SAP No]]) * (INDEX(ReferenceCard,,2)=Table1[[#This Row],[Mould No]]), 0), 7),)</f>
        <v>55</v>
      </c>
      <c r="L795">
        <v>394</v>
      </c>
      <c r="M795">
        <v>0</v>
      </c>
      <c r="N795">
        <v>0</v>
      </c>
      <c r="O795">
        <v>0</v>
      </c>
      <c r="P795">
        <f>Table1[[#This Row],[Shot]]*Table1[[#This Row],[Cav]]</f>
        <v>1576</v>
      </c>
      <c r="Q795">
        <v>0</v>
      </c>
      <c r="R795">
        <f>(Table1[[#This Row],[Part Weight (gm)]]*Table1[[#This Row],[Finish Good]])/1000</f>
        <v>0</v>
      </c>
      <c r="S795">
        <v>0</v>
      </c>
      <c r="T795">
        <f>IF(Table1[[#This Row],[Qty Order]]="Sample","-",IF(Table1[[#This Row],[Qty Order]]="RTFN","-",Table1[[#This Row],[Qty Order]]-Table1[[#This Row],[Qty Accumulate]]))</f>
        <v>0</v>
      </c>
      <c r="U795">
        <f>((Table1[[#This Row],[Shift Output]]*Table1[[#This Row],[Part Weight (gm)]])/1000)+Table1[[#This Row],[Reject Startup (kg)]]+Table1[[#This Row],[Reject Purging (kg)]]+Table1[[#This Row],[Reject Preform (kg)]]</f>
        <v>86.68</v>
      </c>
      <c r="V795" s="37">
        <f>(Table1[[#This Row],[Gross Weight (gm)]]-Table1[[#This Row],[Part Weight (gm)]])*Table1[[#This Row],[Shift Output]]/1000</f>
        <v>0</v>
      </c>
      <c r="W795" s="3">
        <v>0</v>
      </c>
      <c r="X795" s="36">
        <f>Table1[[#This Row],[Reject Startup (kg)]]/Table1[[#This Row],[Material Used]]</f>
        <v>0</v>
      </c>
      <c r="Y795" s="3">
        <v>0</v>
      </c>
      <c r="Z795" s="36">
        <f>Table1[[#This Row],[Reject Prod (kg)]]/Table1[[#This Row],[Material Used]]</f>
        <v>0</v>
      </c>
      <c r="AA795" s="4">
        <v>28.5246562957763</v>
      </c>
      <c r="AB795" s="5">
        <v>1.57</v>
      </c>
      <c r="AC795" s="4" cm="1">
        <f t="array" ref="AC795">IFERROR(INDEX(ReferenceCard, MATCH(1, (INDEX(ReferenceCard,,1)=Table1[[#This Row],[SAP No]]) * (INDEX(ReferenceCard,,2)=Table1[[#This Row],[Mould No]]), 0), 9),)</f>
        <v>55</v>
      </c>
      <c r="AD795" s="5">
        <v>0</v>
      </c>
      <c r="AE795" s="5">
        <v>0</v>
      </c>
      <c r="AF795" s="5">
        <v>0</v>
      </c>
      <c r="AG795" s="5">
        <v>0</v>
      </c>
      <c r="AH795" s="5">
        <v>10.43</v>
      </c>
      <c r="AI795" s="5">
        <v>0</v>
      </c>
      <c r="AJ795" s="5">
        <v>0</v>
      </c>
      <c r="AL795" s="2"/>
      <c r="AM795" s="2"/>
      <c r="AN795" s="3">
        <v>0</v>
      </c>
      <c r="AO795" s="3">
        <v>0</v>
      </c>
      <c r="AP79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96" spans="1:42" x14ac:dyDescent="0.35">
      <c r="A796" s="1">
        <v>45997</v>
      </c>
      <c r="B796">
        <v>1</v>
      </c>
      <c r="C796" t="s">
        <v>31</v>
      </c>
      <c r="D796" t="str" cm="1">
        <f t="array" ref="D796">IFERROR(INDEX(ReferenceCard, MATCH(1, (INDEX(ReferenceCard,,1)=Table1[[#This Row],[SAP No]]) * (INDEX(ReferenceCard,,2)=Table1[[#This Row],[Mould No]]), 0), 6),)</f>
        <v>PPSB520Y</v>
      </c>
      <c r="E796">
        <v>586276</v>
      </c>
      <c r="F796">
        <v>4</v>
      </c>
      <c r="G796" t="str" cm="1">
        <f t="array" ref="G796">IFERROR(INDEX(ReferenceCard, MATCH(1, (INDEX(ReferenceCard,,1)=Table1[[#This Row],[SAP No]]) * (INDEX(ReferenceCard,,2)=Table1[[#This Row],[Mould No]]), 0), 3),)</f>
        <v>BC28-0056-D-APH-LEB-604001-MOLD4</v>
      </c>
      <c r="H796">
        <v>0</v>
      </c>
      <c r="I796" cm="1">
        <f t="array" ref="I796">IFERROR(INDEX(ReferenceCard, MATCH(1, (INDEX(ReferenceCard,,1)=Table1[[#This Row],[SAP No]]) * (INDEX(ReferenceCard,,2)=Table1[[#This Row],[Mould No]]), 0), 4),)</f>
        <v>6</v>
      </c>
      <c r="J796" s="4" cm="1">
        <f t="array" ref="J796">IFERROR(INDEX(ReferenceCard, MATCH(1, (INDEX(ReferenceCard,,1)=Table1[[#This Row],[SAP No]]) * (INDEX(ReferenceCard,,2)=Table1[[#This Row],[Mould No]]), 0), 9),)</f>
        <v>12.3</v>
      </c>
      <c r="K796" s="4" cm="1">
        <f t="array" ref="K796">IFERROR(INDEX(ReferenceCard, MATCH(1, (INDEX(ReferenceCard,,1)=Table1[[#This Row],[SAP No]]) * (INDEX(ReferenceCard,,2)=Table1[[#This Row],[Mould No]]), 0), 7),)</f>
        <v>12.3</v>
      </c>
      <c r="L796">
        <v>1520</v>
      </c>
      <c r="M796">
        <v>0</v>
      </c>
      <c r="N796">
        <v>0</v>
      </c>
      <c r="O796">
        <v>0</v>
      </c>
      <c r="P796">
        <f>Table1[[#This Row],[Shot]]*Table1[[#This Row],[Cav]]</f>
        <v>9120</v>
      </c>
      <c r="Q796">
        <v>0</v>
      </c>
      <c r="R796">
        <f>(Table1[[#This Row],[Part Weight (gm)]]*Table1[[#This Row],[Finish Good]])/1000</f>
        <v>0</v>
      </c>
      <c r="S796">
        <v>0</v>
      </c>
      <c r="T796">
        <f>IF(Table1[[#This Row],[Qty Order]]="Sample","-",IF(Table1[[#This Row],[Qty Order]]="RTFN","-",Table1[[#This Row],[Qty Order]]-Table1[[#This Row],[Qty Accumulate]]))</f>
        <v>0</v>
      </c>
      <c r="U796">
        <f>((Table1[[#This Row],[Shift Output]]*Table1[[#This Row],[Part Weight (gm)]])/1000)+Table1[[#This Row],[Reject Startup (kg)]]+Table1[[#This Row],[Reject Purging (kg)]]+Table1[[#This Row],[Reject Preform (kg)]]</f>
        <v>112.176</v>
      </c>
      <c r="V796" s="37">
        <f>(Table1[[#This Row],[Gross Weight (gm)]]-Table1[[#This Row],[Part Weight (gm)]])*Table1[[#This Row],[Shift Output]]/1000</f>
        <v>0</v>
      </c>
      <c r="W796" s="3">
        <v>0</v>
      </c>
      <c r="X796" s="36">
        <f>Table1[[#This Row],[Reject Startup (kg)]]/Table1[[#This Row],[Material Used]]</f>
        <v>0</v>
      </c>
      <c r="Y796" s="3">
        <v>1</v>
      </c>
      <c r="Z796" s="36">
        <f>Table1[[#This Row],[Reject Prod (kg)]]/Table1[[#This Row],[Material Used]]</f>
        <v>8.9145628298388253E-3</v>
      </c>
      <c r="AA796" s="4">
        <v>26.7546081542968</v>
      </c>
      <c r="AB796" s="5">
        <v>5.66</v>
      </c>
      <c r="AC796" s="4" cm="1">
        <f t="array" ref="AC796">IFERROR(INDEX(ReferenceCard, MATCH(1, (INDEX(ReferenceCard,,1)=Table1[[#This Row],[SAP No]]) * (INDEX(ReferenceCard,,2)=Table1[[#This Row],[Mould No]]), 0), 9),)</f>
        <v>12.3</v>
      </c>
      <c r="AD796" s="5">
        <v>0</v>
      </c>
      <c r="AE796" s="5">
        <v>0</v>
      </c>
      <c r="AF796" s="5">
        <v>0</v>
      </c>
      <c r="AG796" s="5">
        <v>0</v>
      </c>
      <c r="AH796" s="5">
        <v>6.3399999999999901</v>
      </c>
      <c r="AI796" s="5">
        <v>0</v>
      </c>
      <c r="AJ796" s="5">
        <v>0</v>
      </c>
      <c r="AL796" s="2"/>
      <c r="AM796" s="2"/>
      <c r="AN796" s="3">
        <v>0</v>
      </c>
      <c r="AO796" s="3">
        <v>0</v>
      </c>
      <c r="AP796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797" spans="1:42" x14ac:dyDescent="0.35">
      <c r="A797" s="1">
        <v>45997</v>
      </c>
      <c r="B797">
        <v>1</v>
      </c>
      <c r="C797" t="s">
        <v>33</v>
      </c>
      <c r="D797" t="str" cm="1">
        <f t="array" ref="D797">IFERROR(INDEX(ReferenceCard, MATCH(1, (INDEX(ReferenceCard,,1)=Table1[[#This Row],[SAP No]]) * (INDEX(ReferenceCard,,2)=Table1[[#This Row],[Mould No]]), 0), 6),)</f>
        <v>PET</v>
      </c>
      <c r="E797">
        <v>541381</v>
      </c>
      <c r="F797">
        <v>0</v>
      </c>
      <c r="G797" t="str" cm="1">
        <f t="array" ref="G797">IFERROR(INDEX(ReferenceCard, MATCH(1, (INDEX(ReferenceCard,,1)=Table1[[#This Row],[SAP No]]) * (INDEX(ReferenceCard,,2)=Table1[[#This Row],[Mould No]]), 0), 3),)</f>
        <v>BC28-1200-K-R-CL</v>
      </c>
      <c r="H797">
        <v>0</v>
      </c>
      <c r="I797" cm="1">
        <f t="array" ref="I797">IFERROR(INDEX(ReferenceCard, MATCH(1, (INDEX(ReferenceCard,,1)=Table1[[#This Row],[SAP No]]) * (INDEX(ReferenceCard,,2)=Table1[[#This Row],[Mould No]]), 0), 4),)</f>
        <v>4</v>
      </c>
      <c r="J797" s="4" cm="1">
        <f t="array" ref="J797">IFERROR(INDEX(ReferenceCard, MATCH(1, (INDEX(ReferenceCard,,1)=Table1[[#This Row],[SAP No]]) * (INDEX(ReferenceCard,,2)=Table1[[#This Row],[Mould No]]), 0), 9),)</f>
        <v>55</v>
      </c>
      <c r="K797" s="4" cm="1">
        <f t="array" ref="K797">IFERROR(INDEX(ReferenceCard, MATCH(1, (INDEX(ReferenceCard,,1)=Table1[[#This Row],[SAP No]]) * (INDEX(ReferenceCard,,2)=Table1[[#This Row],[Mould No]]), 0), 7),)</f>
        <v>55</v>
      </c>
      <c r="L797">
        <v>0</v>
      </c>
      <c r="M797">
        <v>0</v>
      </c>
      <c r="N797">
        <v>0</v>
      </c>
      <c r="O797">
        <v>0</v>
      </c>
      <c r="P797">
        <f>Table1[[#This Row],[Shot]]*Table1[[#This Row],[Cav]]</f>
        <v>0</v>
      </c>
      <c r="Q797">
        <v>0</v>
      </c>
      <c r="R797">
        <f>(Table1[[#This Row],[Part Weight (gm)]]*Table1[[#This Row],[Finish Good]])/1000</f>
        <v>0</v>
      </c>
      <c r="S797">
        <v>0</v>
      </c>
      <c r="T797">
        <f>IF(Table1[[#This Row],[Qty Order]]="Sample","-",IF(Table1[[#This Row],[Qty Order]]="RTFN","-",Table1[[#This Row],[Qty Order]]-Table1[[#This Row],[Qty Accumulate]]))</f>
        <v>0</v>
      </c>
      <c r="U797">
        <f>((Table1[[#This Row],[Shift Output]]*Table1[[#This Row],[Part Weight (gm)]])/1000)+Table1[[#This Row],[Reject Startup (kg)]]+Table1[[#This Row],[Reject Purging (kg)]]+Table1[[#This Row],[Reject Preform (kg)]]</f>
        <v>0</v>
      </c>
      <c r="V797" s="37">
        <f>(Table1[[#This Row],[Gross Weight (gm)]]-Table1[[#This Row],[Part Weight (gm)]])*Table1[[#This Row],[Shift Output]]/1000</f>
        <v>0</v>
      </c>
      <c r="W797" s="3">
        <v>0</v>
      </c>
      <c r="X797" s="36" t="e">
        <f>Table1[[#This Row],[Reject Startup (kg)]]/Table1[[#This Row],[Material Used]]</f>
        <v>#DIV/0!</v>
      </c>
      <c r="Y797" s="3">
        <v>0</v>
      </c>
      <c r="Z797" s="36" t="e">
        <f>Table1[[#This Row],[Reject Prod (kg)]]/Table1[[#This Row],[Material Used]]</f>
        <v>#DIV/0!</v>
      </c>
      <c r="AA797" s="4">
        <v>0</v>
      </c>
      <c r="AB797" s="5">
        <v>0</v>
      </c>
      <c r="AC797" s="4" cm="1">
        <f t="array" ref="AC797">IFERROR(INDEX(ReferenceCard, MATCH(1, (INDEX(ReferenceCard,,1)=Table1[[#This Row],[SAP No]]) * (INDEX(ReferenceCard,,2)=Table1[[#This Row],[Mould No]]), 0), 9),)</f>
        <v>55</v>
      </c>
      <c r="AD797" s="5">
        <v>0</v>
      </c>
      <c r="AE797" s="5">
        <v>0</v>
      </c>
      <c r="AF797" s="5">
        <v>0</v>
      </c>
      <c r="AG797" s="5">
        <v>12</v>
      </c>
      <c r="AH797" s="5">
        <v>0</v>
      </c>
      <c r="AI797" s="5">
        <v>0</v>
      </c>
      <c r="AJ797" s="5">
        <v>0</v>
      </c>
      <c r="AK797" t="s">
        <v>197</v>
      </c>
      <c r="AL797" s="2"/>
      <c r="AM797" s="2"/>
      <c r="AN797" s="3">
        <v>0</v>
      </c>
      <c r="AO797" s="3">
        <v>0</v>
      </c>
      <c r="AP79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798" spans="1:42" x14ac:dyDescent="0.35">
      <c r="A798" s="1">
        <v>45997</v>
      </c>
      <c r="B798">
        <v>1</v>
      </c>
      <c r="C798" t="s">
        <v>35</v>
      </c>
      <c r="D798" t="str" cm="1">
        <f t="array" ref="D798">IFERROR(INDEX(ReferenceCard, MATCH(1, (INDEX(ReferenceCard,,1)=Table1[[#This Row],[SAP No]]) * (INDEX(ReferenceCard,,2)=Table1[[#This Row],[Mould No]]), 0), 6),)</f>
        <v>PPSB520Y</v>
      </c>
      <c r="E798">
        <v>552181</v>
      </c>
      <c r="F798">
        <v>1</v>
      </c>
      <c r="G798" t="str" cm="1">
        <f t="array" ref="G798">IFERROR(INDEX(ReferenceCard, MATCH(1, (INDEX(ReferenceCard,,1)=Table1[[#This Row],[SAP No]]) * (INDEX(ReferenceCard,,2)=Table1[[#This Row],[Mould No]]), 0), 3),)</f>
        <v>BC28-0090-D-APH-5180-3538-PP-6 NOTCHES-MOLD1</v>
      </c>
      <c r="H798">
        <v>0</v>
      </c>
      <c r="I798" cm="1">
        <f t="array" ref="I798">IFERROR(INDEX(ReferenceCard, MATCH(1, (INDEX(ReferenceCard,,1)=Table1[[#This Row],[SAP No]]) * (INDEX(ReferenceCard,,2)=Table1[[#This Row],[Mould No]]), 0), 4),)</f>
        <v>6</v>
      </c>
      <c r="J798" s="4" cm="1">
        <f t="array" ref="J798">IFERROR(INDEX(ReferenceCard, MATCH(1, (INDEX(ReferenceCard,,1)=Table1[[#This Row],[SAP No]]) * (INDEX(ReferenceCard,,2)=Table1[[#This Row],[Mould No]]), 0), 9),)</f>
        <v>18.8</v>
      </c>
      <c r="K798" s="4" cm="1">
        <f t="array" ref="K798">IFERROR(INDEX(ReferenceCard, MATCH(1, (INDEX(ReferenceCard,,1)=Table1[[#This Row],[SAP No]]) * (INDEX(ReferenceCard,,2)=Table1[[#This Row],[Mould No]]), 0), 7),)</f>
        <v>18.8</v>
      </c>
      <c r="L798">
        <v>1276</v>
      </c>
      <c r="M798">
        <v>0</v>
      </c>
      <c r="N798">
        <v>0</v>
      </c>
      <c r="O798">
        <v>0</v>
      </c>
      <c r="P798">
        <f>Table1[[#This Row],[Shot]]*Table1[[#This Row],[Cav]]</f>
        <v>7656</v>
      </c>
      <c r="Q798">
        <v>0</v>
      </c>
      <c r="R798">
        <f>(Table1[[#This Row],[Part Weight (gm)]]*Table1[[#This Row],[Finish Good]])/1000</f>
        <v>0</v>
      </c>
      <c r="S798">
        <v>0</v>
      </c>
      <c r="T798">
        <f>IF(Table1[[#This Row],[Qty Order]]="Sample","-",IF(Table1[[#This Row],[Qty Order]]="RTFN","-",Table1[[#This Row],[Qty Order]]-Table1[[#This Row],[Qty Accumulate]]))</f>
        <v>0</v>
      </c>
      <c r="U798">
        <f>((Table1[[#This Row],[Shift Output]]*Table1[[#This Row],[Part Weight (gm)]])/1000)+Table1[[#This Row],[Reject Startup (kg)]]+Table1[[#This Row],[Reject Purging (kg)]]+Table1[[#This Row],[Reject Preform (kg)]]</f>
        <v>143.93280000000001</v>
      </c>
      <c r="V798" s="37">
        <f>(Table1[[#This Row],[Gross Weight (gm)]]-Table1[[#This Row],[Part Weight (gm)]])*Table1[[#This Row],[Shift Output]]/1000</f>
        <v>0</v>
      </c>
      <c r="W798" s="3">
        <v>0</v>
      </c>
      <c r="X798" s="36">
        <f>Table1[[#This Row],[Reject Startup (kg)]]/Table1[[#This Row],[Material Used]]</f>
        <v>0</v>
      </c>
      <c r="Y798" s="3">
        <v>3</v>
      </c>
      <c r="Z798" s="36">
        <f>Table1[[#This Row],[Reject Prod (kg)]]/Table1[[#This Row],[Material Used]]</f>
        <v>2.0843060094710864E-2</v>
      </c>
      <c r="AA798" s="4">
        <v>32.061378479003899</v>
      </c>
      <c r="AB798" s="5">
        <v>5.69</v>
      </c>
      <c r="AC798" s="4" cm="1">
        <f t="array" ref="AC798">IFERROR(INDEX(ReferenceCard, MATCH(1, (INDEX(ReferenceCard,,1)=Table1[[#This Row],[SAP No]]) * (INDEX(ReferenceCard,,2)=Table1[[#This Row],[Mould No]]), 0), 9),)</f>
        <v>18.8</v>
      </c>
      <c r="AD798" s="5">
        <v>0</v>
      </c>
      <c r="AE798" s="5">
        <v>0</v>
      </c>
      <c r="AF798" s="5">
        <v>0</v>
      </c>
      <c r="AG798" s="5">
        <v>0</v>
      </c>
      <c r="AH798" s="5">
        <v>6.3099999999999898</v>
      </c>
      <c r="AI798" s="5">
        <v>0</v>
      </c>
      <c r="AJ798" s="5">
        <v>0</v>
      </c>
      <c r="AL798" s="2"/>
      <c r="AM798" s="2"/>
      <c r="AN798" s="3">
        <v>0</v>
      </c>
      <c r="AO798" s="3">
        <v>0</v>
      </c>
      <c r="AP798" s="6">
        <f>((Table1[[#This Row],[Reject Startup (kg)]]+Table1[[#This Row],[Reject Prod (kg)]]+Table1[[#This Row],[Reject Purging (kg)]]+Table1[[#This Row],[Reject Preform (kg)]])/Table1[[#This Row],[Part Weight (gm)]])*1000</f>
        <v>159.57446808510636</v>
      </c>
    </row>
    <row r="799" spans="1:42" x14ac:dyDescent="0.35">
      <c r="A799" s="1">
        <v>45997</v>
      </c>
      <c r="B799">
        <v>1</v>
      </c>
      <c r="C799" t="s">
        <v>18</v>
      </c>
      <c r="D799" t="str" cm="1">
        <f t="array" ref="D799">IFERROR(INDEX(ReferenceCard, MATCH(1, (INDEX(ReferenceCard,,1)=Table1[[#This Row],[SAP No]]) * (INDEX(ReferenceCard,,2)=Table1[[#This Row],[Mould No]]), 0), 6),)</f>
        <v>PPSB520Y</v>
      </c>
      <c r="E799">
        <v>555979</v>
      </c>
      <c r="F799">
        <v>4</v>
      </c>
      <c r="G799" t="str" cm="1">
        <f t="array" ref="G799">IFERROR(INDEX(ReferenceCard, MATCH(1, (INDEX(ReferenceCard,,1)=Table1[[#This Row],[SAP No]]) * (INDEX(ReferenceCard,,2)=Table1[[#This Row],[Mould No]]), 0), 3),)</f>
        <v>BC28-0170-D-APH-5180-3539-PP-6 NOTCHES-MOLD4</v>
      </c>
      <c r="H799">
        <v>0</v>
      </c>
      <c r="I799" cm="1">
        <f t="array" ref="I799">IFERROR(INDEX(ReferenceCard, MATCH(1, (INDEX(ReferenceCard,,1)=Table1[[#This Row],[SAP No]]) * (INDEX(ReferenceCard,,2)=Table1[[#This Row],[Mould No]]), 0), 4),)</f>
        <v>6</v>
      </c>
      <c r="J799" s="4" cm="1">
        <f t="array" ref="J799">IFERROR(INDEX(ReferenceCard, MATCH(1, (INDEX(ReferenceCard,,1)=Table1[[#This Row],[SAP No]]) * (INDEX(ReferenceCard,,2)=Table1[[#This Row],[Mould No]]), 0), 9),)</f>
        <v>28</v>
      </c>
      <c r="K799" s="4" cm="1">
        <f t="array" ref="K799">IFERROR(INDEX(ReferenceCard, MATCH(1, (INDEX(ReferenceCard,,1)=Table1[[#This Row],[SAP No]]) * (INDEX(ReferenceCard,,2)=Table1[[#This Row],[Mould No]]), 0), 7),)</f>
        <v>28</v>
      </c>
      <c r="L799">
        <v>460</v>
      </c>
      <c r="M799">
        <v>0</v>
      </c>
      <c r="N799">
        <v>0</v>
      </c>
      <c r="O799">
        <v>0</v>
      </c>
      <c r="P799">
        <f>Table1[[#This Row],[Shot]]*Table1[[#This Row],[Cav]]</f>
        <v>2760</v>
      </c>
      <c r="Q799">
        <v>0</v>
      </c>
      <c r="R799">
        <f>(Table1[[#This Row],[Part Weight (gm)]]*Table1[[#This Row],[Finish Good]])/1000</f>
        <v>0</v>
      </c>
      <c r="S799">
        <v>0</v>
      </c>
      <c r="T799">
        <f>IF(Table1[[#This Row],[Qty Order]]="Sample","-",IF(Table1[[#This Row],[Qty Order]]="RTFN","-",Table1[[#This Row],[Qty Order]]-Table1[[#This Row],[Qty Accumulate]]))</f>
        <v>0</v>
      </c>
      <c r="U799">
        <f>((Table1[[#This Row],[Shift Output]]*Table1[[#This Row],[Part Weight (gm)]])/1000)+Table1[[#This Row],[Reject Startup (kg)]]+Table1[[#This Row],[Reject Purging (kg)]]+Table1[[#This Row],[Reject Preform (kg)]]</f>
        <v>77.28</v>
      </c>
      <c r="V799" s="37">
        <f>(Table1[[#This Row],[Gross Weight (gm)]]-Table1[[#This Row],[Part Weight (gm)]])*Table1[[#This Row],[Shift Output]]/1000</f>
        <v>0</v>
      </c>
      <c r="W799" s="3">
        <v>0</v>
      </c>
      <c r="X799" s="36">
        <f>Table1[[#This Row],[Reject Startup (kg)]]/Table1[[#This Row],[Material Used]]</f>
        <v>0</v>
      </c>
      <c r="Y799" s="3">
        <v>3</v>
      </c>
      <c r="Z799" s="36">
        <f>Table1[[#This Row],[Reject Prod (kg)]]/Table1[[#This Row],[Material Used]]</f>
        <v>3.8819875776397512E-2</v>
      </c>
      <c r="AA799" s="4">
        <v>43.5</v>
      </c>
      <c r="AB799" s="5">
        <v>6</v>
      </c>
      <c r="AC799" s="4" cm="1">
        <f t="array" ref="AC799">IFERROR(INDEX(ReferenceCard, MATCH(1, (INDEX(ReferenceCard,,1)=Table1[[#This Row],[SAP No]]) * (INDEX(ReferenceCard,,2)=Table1[[#This Row],[Mould No]]), 0), 9),)</f>
        <v>28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6</v>
      </c>
      <c r="AJ799" s="5">
        <v>0</v>
      </c>
      <c r="AL799" s="2"/>
      <c r="AM799" s="2"/>
      <c r="AN799" s="3">
        <v>0</v>
      </c>
      <c r="AO799" s="3">
        <v>0</v>
      </c>
      <c r="AP799" s="6">
        <f>((Table1[[#This Row],[Reject Startup (kg)]]+Table1[[#This Row],[Reject Prod (kg)]]+Table1[[#This Row],[Reject Purging (kg)]]+Table1[[#This Row],[Reject Preform (kg)]])/Table1[[#This Row],[Part Weight (gm)]])*1000</f>
        <v>107.14285714285714</v>
      </c>
    </row>
    <row r="800" spans="1:42" x14ac:dyDescent="0.35">
      <c r="A800" s="1">
        <v>45996</v>
      </c>
      <c r="B800">
        <v>2</v>
      </c>
      <c r="C800" t="s">
        <v>0</v>
      </c>
      <c r="D800" t="str" cm="1">
        <f t="array" ref="D800">IFERROR(INDEX(ReferenceCard, MATCH(1, (INDEX(ReferenceCard,,1)=Table1[[#This Row],[SAP No]]) * (INDEX(ReferenceCard,,2)=Table1[[#This Row],[Mould No]]), 0), 6),)</f>
        <v>PET</v>
      </c>
      <c r="E800">
        <v>369308</v>
      </c>
      <c r="F800">
        <v>0</v>
      </c>
      <c r="G800" t="str" cm="1">
        <f t="array" ref="G800">IFERROR(INDEX(ReferenceCard, MATCH(1, (INDEX(ReferenceCard,,1)=Table1[[#This Row],[SAP No]]) * (INDEX(ReferenceCard,,2)=Table1[[#This Row],[Mould No]]), 0), 3),)</f>
        <v>BW38-0280-LS-R-RED</v>
      </c>
      <c r="H800">
        <v>0</v>
      </c>
      <c r="I800" cm="1">
        <f t="array" ref="I800">IFERROR(INDEX(ReferenceCard, MATCH(1, (INDEX(ReferenceCard,,1)=Table1[[#This Row],[SAP No]]) * (INDEX(ReferenceCard,,2)=Table1[[#This Row],[Mould No]]), 0), 4),)</f>
        <v>4</v>
      </c>
      <c r="J800" s="4" cm="1">
        <f t="array" ref="J800">IFERROR(INDEX(ReferenceCard, MATCH(1, (INDEX(ReferenceCard,,1)=Table1[[#This Row],[SAP No]]) * (INDEX(ReferenceCard,,2)=Table1[[#This Row],[Mould No]]), 0), 9),)</f>
        <v>31</v>
      </c>
      <c r="K800" s="4" cm="1">
        <f t="array" ref="K800">IFERROR(INDEX(ReferenceCard, MATCH(1, (INDEX(ReferenceCard,,1)=Table1[[#This Row],[SAP No]]) * (INDEX(ReferenceCard,,2)=Table1[[#This Row],[Mould No]]), 0), 7),)</f>
        <v>31</v>
      </c>
      <c r="L800">
        <v>1385</v>
      </c>
      <c r="M800">
        <v>0</v>
      </c>
      <c r="N800">
        <v>0</v>
      </c>
      <c r="O800">
        <v>0</v>
      </c>
      <c r="P800">
        <f>Table1[[#This Row],[Shot]]*Table1[[#This Row],[Cav]]</f>
        <v>5540</v>
      </c>
      <c r="Q800">
        <v>0</v>
      </c>
      <c r="R800">
        <f>(Table1[[#This Row],[Part Weight (gm)]]*Table1[[#This Row],[Finish Good]])/1000</f>
        <v>0</v>
      </c>
      <c r="S800">
        <v>0</v>
      </c>
      <c r="T800">
        <f>IF(Table1[[#This Row],[Qty Order]]="Sample","-",IF(Table1[[#This Row],[Qty Order]]="RTFN","-",Table1[[#This Row],[Qty Order]]-Table1[[#This Row],[Qty Accumulate]]))</f>
        <v>0</v>
      </c>
      <c r="U800">
        <f>((Table1[[#This Row],[Shift Output]]*Table1[[#This Row],[Part Weight (gm)]])/1000)+Table1[[#This Row],[Reject Startup (kg)]]+Table1[[#This Row],[Reject Purging (kg)]]+Table1[[#This Row],[Reject Preform (kg)]]</f>
        <v>171.74</v>
      </c>
      <c r="V800" s="37">
        <f>(Table1[[#This Row],[Gross Weight (gm)]]-Table1[[#This Row],[Part Weight (gm)]])*Table1[[#This Row],[Shift Output]]/1000</f>
        <v>0</v>
      </c>
      <c r="W800" s="3">
        <v>0</v>
      </c>
      <c r="X800" s="36">
        <f>Table1[[#This Row],[Reject Startup (kg)]]/Table1[[#This Row],[Material Used]]</f>
        <v>0</v>
      </c>
      <c r="Y800" s="3">
        <v>2</v>
      </c>
      <c r="Z800" s="36">
        <f>Table1[[#This Row],[Reject Prod (kg)]]/Table1[[#This Row],[Material Used]]</f>
        <v>1.164551065564225E-2</v>
      </c>
      <c r="AA800" s="4">
        <v>31.205043792724599</v>
      </c>
      <c r="AB800" s="5">
        <v>12</v>
      </c>
      <c r="AC800" s="4" cm="1">
        <f t="array" ref="AC800">IFERROR(INDEX(ReferenceCard, MATCH(1, (INDEX(ReferenceCard,,1)=Table1[[#This Row],[SAP No]]) * (INDEX(ReferenceCard,,2)=Table1[[#This Row],[Mould No]]), 0), 9),)</f>
        <v>31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L800" s="2"/>
      <c r="AM800" s="2"/>
      <c r="AN800" s="3">
        <v>0</v>
      </c>
      <c r="AO800" s="3">
        <v>0</v>
      </c>
      <c r="AP800" s="6">
        <f>((Table1[[#This Row],[Reject Startup (kg)]]+Table1[[#This Row],[Reject Prod (kg)]]+Table1[[#This Row],[Reject Purging (kg)]]+Table1[[#This Row],[Reject Preform (kg)]])/Table1[[#This Row],[Part Weight (gm)]])*1000</f>
        <v>64.516129032258064</v>
      </c>
    </row>
    <row r="801" spans="1:42" x14ac:dyDescent="0.35">
      <c r="A801" s="1">
        <v>45996</v>
      </c>
      <c r="B801">
        <v>2</v>
      </c>
      <c r="C801" t="s">
        <v>3</v>
      </c>
      <c r="D801" t="str" cm="1">
        <f t="array" ref="D801">IFERROR(INDEX(ReferenceCard, MATCH(1, (INDEX(ReferenceCard,,1)=Table1[[#This Row],[SAP No]]) * (INDEX(ReferenceCard,,2)=Table1[[#This Row],[Mould No]]), 0), 6),)</f>
        <v>PET</v>
      </c>
      <c r="E801">
        <v>324163</v>
      </c>
      <c r="F801">
        <v>0</v>
      </c>
      <c r="G801" t="str" cm="1">
        <f t="array" ref="G801">IFERROR(INDEX(ReferenceCard, MATCH(1, (INDEX(ReferenceCard,,1)=Table1[[#This Row],[SAP No]]) * (INDEX(ReferenceCard,,2)=Table1[[#This Row],[Mould No]]), 0), 3),)</f>
        <v>BC28-0265-A-Q-CL</v>
      </c>
      <c r="H801">
        <v>0</v>
      </c>
      <c r="I801" cm="1">
        <f t="array" ref="I801">IFERROR(INDEX(ReferenceCard, MATCH(1, (INDEX(ReferenceCard,,1)=Table1[[#This Row],[SAP No]]) * (INDEX(ReferenceCard,,2)=Table1[[#This Row],[Mould No]]), 0), 4),)</f>
        <v>4</v>
      </c>
      <c r="J801" s="4" cm="1">
        <f t="array" ref="J801">IFERROR(INDEX(ReferenceCard, MATCH(1, (INDEX(ReferenceCard,,1)=Table1[[#This Row],[SAP No]]) * (INDEX(ReferenceCard,,2)=Table1[[#This Row],[Mould No]]), 0), 9),)</f>
        <v>24</v>
      </c>
      <c r="K801" s="4" cm="1">
        <f t="array" ref="K801">IFERROR(INDEX(ReferenceCard, MATCH(1, (INDEX(ReferenceCard,,1)=Table1[[#This Row],[SAP No]]) * (INDEX(ReferenceCard,,2)=Table1[[#This Row],[Mould No]]), 0), 7),)</f>
        <v>23.5</v>
      </c>
      <c r="L801">
        <v>634</v>
      </c>
      <c r="M801">
        <v>0</v>
      </c>
      <c r="N801">
        <v>0</v>
      </c>
      <c r="O801">
        <v>0</v>
      </c>
      <c r="P801">
        <f>Table1[[#This Row],[Shot]]*Table1[[#This Row],[Cav]]</f>
        <v>2536</v>
      </c>
      <c r="Q801">
        <v>0</v>
      </c>
      <c r="R801">
        <f>(Table1[[#This Row],[Part Weight (gm)]]*Table1[[#This Row],[Finish Good]])/1000</f>
        <v>0</v>
      </c>
      <c r="S801">
        <v>0</v>
      </c>
      <c r="T801">
        <f>IF(Table1[[#This Row],[Qty Order]]="Sample","-",IF(Table1[[#This Row],[Qty Order]]="RTFN","-",Table1[[#This Row],[Qty Order]]-Table1[[#This Row],[Qty Accumulate]]))</f>
        <v>0</v>
      </c>
      <c r="U801">
        <f>((Table1[[#This Row],[Shift Output]]*Table1[[#This Row],[Part Weight (gm)]])/1000)+Table1[[#This Row],[Reject Startup (kg)]]+Table1[[#This Row],[Reject Purging (kg)]]+Table1[[#This Row],[Reject Preform (kg)]]</f>
        <v>65.596000000000004</v>
      </c>
      <c r="V801" s="37">
        <f>(Table1[[#This Row],[Gross Weight (gm)]]-Table1[[#This Row],[Part Weight (gm)]])*Table1[[#This Row],[Shift Output]]/1000</f>
        <v>1.268</v>
      </c>
      <c r="W801" s="3">
        <v>6</v>
      </c>
      <c r="X801" s="36">
        <f>Table1[[#This Row],[Reject Startup (kg)]]/Table1[[#This Row],[Material Used]]</f>
        <v>9.1468992011708022E-2</v>
      </c>
      <c r="Y801" s="3">
        <v>0</v>
      </c>
      <c r="Z801" s="36">
        <f>Table1[[#This Row],[Reject Prod (kg)]]/Table1[[#This Row],[Material Used]]</f>
        <v>0</v>
      </c>
      <c r="AA801" s="4">
        <v>0</v>
      </c>
      <c r="AB801" s="5">
        <v>0.72999999999999898</v>
      </c>
      <c r="AC801" s="4" cm="1">
        <f t="array" ref="AC801">IFERROR(INDEX(ReferenceCard, MATCH(1, (INDEX(ReferenceCard,,1)=Table1[[#This Row],[SAP No]]) * (INDEX(ReferenceCard,,2)=Table1[[#This Row],[Mould No]]), 0), 9),)</f>
        <v>24</v>
      </c>
      <c r="AD801" s="5">
        <v>0</v>
      </c>
      <c r="AE801" s="5">
        <v>3.02999999999999</v>
      </c>
      <c r="AF801" s="5">
        <v>0</v>
      </c>
      <c r="AG801" s="5">
        <v>2.12</v>
      </c>
      <c r="AH801" s="5">
        <v>6.12</v>
      </c>
      <c r="AI801" s="5">
        <v>0</v>
      </c>
      <c r="AJ801" s="5">
        <v>0</v>
      </c>
      <c r="AK801" t="s">
        <v>198</v>
      </c>
      <c r="AL801" s="2" t="s">
        <v>199</v>
      </c>
      <c r="AM801" s="2" t="s">
        <v>200</v>
      </c>
      <c r="AN801" s="3"/>
      <c r="AO801" s="3"/>
      <c r="AP801" s="6">
        <f>((Table1[[#This Row],[Reject Startup (kg)]]+Table1[[#This Row],[Reject Prod (kg)]]+Table1[[#This Row],[Reject Purging (kg)]]+Table1[[#This Row],[Reject Preform (kg)]])/Table1[[#This Row],[Part Weight (gm)]])*1000</f>
        <v>255.31914893617019</v>
      </c>
    </row>
    <row r="802" spans="1:42" x14ac:dyDescent="0.35">
      <c r="A802" s="1">
        <v>45996</v>
      </c>
      <c r="B802">
        <v>2</v>
      </c>
      <c r="C802" t="s">
        <v>5</v>
      </c>
      <c r="D802" t="str" cm="1">
        <f t="array" ref="D802">IFERROR(INDEX(ReferenceCard, MATCH(1, (INDEX(ReferenceCard,,1)=Table1[[#This Row],[SAP No]]) * (INDEX(ReferenceCard,,2)=Table1[[#This Row],[Mould No]]), 0), 6),)</f>
        <v>PET</v>
      </c>
      <c r="E802">
        <v>543590</v>
      </c>
      <c r="F802">
        <v>0</v>
      </c>
      <c r="G802" t="str" cm="1">
        <f t="array" ref="G802">IFERROR(INDEX(ReferenceCard, MATCH(1, (INDEX(ReferenceCard,,1)=Table1[[#This Row],[SAP No]]) * (INDEX(ReferenceCard,,2)=Table1[[#This Row],[Mould No]]), 0), 3),)</f>
        <v>BC28-0130-R-R-AM</v>
      </c>
      <c r="H802">
        <v>0</v>
      </c>
      <c r="I802" cm="1">
        <f t="array" ref="I802">IFERROR(INDEX(ReferenceCard, MATCH(1, (INDEX(ReferenceCard,,1)=Table1[[#This Row],[SAP No]]) * (INDEX(ReferenceCard,,2)=Table1[[#This Row],[Mould No]]), 0), 4),)</f>
        <v>4</v>
      </c>
      <c r="J802" s="4" cm="1">
        <f t="array" ref="J802">IFERROR(INDEX(ReferenceCard, MATCH(1, (INDEX(ReferenceCard,,1)=Table1[[#This Row],[SAP No]]) * (INDEX(ReferenceCard,,2)=Table1[[#This Row],[Mould No]]), 0), 9),)</f>
        <v>19</v>
      </c>
      <c r="K802" s="4" cm="1">
        <f t="array" ref="K802">IFERROR(INDEX(ReferenceCard, MATCH(1, (INDEX(ReferenceCard,,1)=Table1[[#This Row],[SAP No]]) * (INDEX(ReferenceCard,,2)=Table1[[#This Row],[Mould No]]), 0), 7),)</f>
        <v>19</v>
      </c>
      <c r="L802">
        <v>1948</v>
      </c>
      <c r="M802">
        <v>0</v>
      </c>
      <c r="N802">
        <v>0</v>
      </c>
      <c r="O802">
        <v>0</v>
      </c>
      <c r="P802">
        <f>Table1[[#This Row],[Shot]]*Table1[[#This Row],[Cav]]</f>
        <v>7792</v>
      </c>
      <c r="Q802">
        <v>0</v>
      </c>
      <c r="R802">
        <f>(Table1[[#This Row],[Part Weight (gm)]]*Table1[[#This Row],[Finish Good]])/1000</f>
        <v>0</v>
      </c>
      <c r="S802">
        <v>0</v>
      </c>
      <c r="T802">
        <f>IF(Table1[[#This Row],[Qty Order]]="Sample","-",IF(Table1[[#This Row],[Qty Order]]="RTFN","-",Table1[[#This Row],[Qty Order]]-Table1[[#This Row],[Qty Accumulate]]))</f>
        <v>0</v>
      </c>
      <c r="U802">
        <f>((Table1[[#This Row],[Shift Output]]*Table1[[#This Row],[Part Weight (gm)]])/1000)+Table1[[#This Row],[Reject Startup (kg)]]+Table1[[#This Row],[Reject Purging (kg)]]+Table1[[#This Row],[Reject Preform (kg)]]</f>
        <v>148.048</v>
      </c>
      <c r="V802" s="37">
        <f>(Table1[[#This Row],[Gross Weight (gm)]]-Table1[[#This Row],[Part Weight (gm)]])*Table1[[#This Row],[Shift Output]]/1000</f>
        <v>0</v>
      </c>
      <c r="W802" s="3">
        <v>0</v>
      </c>
      <c r="X802" s="36">
        <f>Table1[[#This Row],[Reject Startup (kg)]]/Table1[[#This Row],[Material Used]]</f>
        <v>0</v>
      </c>
      <c r="Y802" s="3">
        <v>1</v>
      </c>
      <c r="Z802" s="36">
        <f>Table1[[#This Row],[Reject Prod (kg)]]/Table1[[#This Row],[Material Used]]</f>
        <v>6.754566086674592E-3</v>
      </c>
      <c r="AA802" s="4">
        <v>22.170152664184499</v>
      </c>
      <c r="AB802" s="5">
        <v>12</v>
      </c>
      <c r="AC802" s="4" cm="1">
        <f t="array" ref="AC802">IFERROR(INDEX(ReferenceCard, MATCH(1, (INDEX(ReferenceCard,,1)=Table1[[#This Row],[SAP No]]) * (INDEX(ReferenceCard,,2)=Table1[[#This Row],[Mould No]]), 0), 9),)</f>
        <v>19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L802" s="2"/>
      <c r="AM802" s="2"/>
      <c r="AN802" s="3">
        <v>0</v>
      </c>
      <c r="AO802" s="3">
        <v>0</v>
      </c>
      <c r="AP802" s="6">
        <f>((Table1[[#This Row],[Reject Startup (kg)]]+Table1[[#This Row],[Reject Prod (kg)]]+Table1[[#This Row],[Reject Purging (kg)]]+Table1[[#This Row],[Reject Preform (kg)]])/Table1[[#This Row],[Part Weight (gm)]])*1000</f>
        <v>52.631578947368418</v>
      </c>
    </row>
    <row r="803" spans="1:42" x14ac:dyDescent="0.35">
      <c r="A803" s="1">
        <v>45996</v>
      </c>
      <c r="B803">
        <v>2</v>
      </c>
      <c r="C803" t="s">
        <v>7</v>
      </c>
      <c r="D803" t="str" cm="1">
        <f t="array" ref="D803">IFERROR(INDEX(ReferenceCard, MATCH(1, (INDEX(ReferenceCard,,1)=Table1[[#This Row],[SAP No]]) * (INDEX(ReferenceCard,,2)=Table1[[#This Row],[Mould No]]), 0), 6),)</f>
        <v>PET</v>
      </c>
      <c r="E803">
        <v>426555</v>
      </c>
      <c r="F803">
        <v>0</v>
      </c>
      <c r="G803" t="str" cm="1">
        <f t="array" ref="G803">IFERROR(INDEX(ReferenceCard, MATCH(1, (INDEX(ReferenceCard,,1)=Table1[[#This Row],[SAP No]]) * (INDEX(ReferenceCard,,2)=Table1[[#This Row],[Mould No]]), 0), 3),)</f>
        <v>BX38-0330-Z-S-CL-HW</v>
      </c>
      <c r="H803">
        <v>0</v>
      </c>
      <c r="I803" cm="1">
        <f t="array" ref="I803">IFERROR(INDEX(ReferenceCard, MATCH(1, (INDEX(ReferenceCard,,1)=Table1[[#This Row],[SAP No]]) * (INDEX(ReferenceCard,,2)=Table1[[#This Row],[Mould No]]), 0), 4),)</f>
        <v>4</v>
      </c>
      <c r="J803" s="4" cm="1">
        <f t="array" ref="J803">IFERROR(INDEX(ReferenceCard, MATCH(1, (INDEX(ReferenceCard,,1)=Table1[[#This Row],[SAP No]]) * (INDEX(ReferenceCard,,2)=Table1[[#This Row],[Mould No]]), 0), 9),)</f>
        <v>29</v>
      </c>
      <c r="K803" s="4" cm="1">
        <f t="array" ref="K803">IFERROR(INDEX(ReferenceCard, MATCH(1, (INDEX(ReferenceCard,,1)=Table1[[#This Row],[SAP No]]) * (INDEX(ReferenceCard,,2)=Table1[[#This Row],[Mould No]]), 0), 7),)</f>
        <v>29</v>
      </c>
      <c r="L803">
        <v>533</v>
      </c>
      <c r="M803">
        <v>0</v>
      </c>
      <c r="N803">
        <v>0</v>
      </c>
      <c r="O803">
        <v>0</v>
      </c>
      <c r="P803">
        <f>Table1[[#This Row],[Shot]]*Table1[[#This Row],[Cav]]</f>
        <v>2132</v>
      </c>
      <c r="Q803">
        <v>0</v>
      </c>
      <c r="R803">
        <f>(Table1[[#This Row],[Part Weight (gm)]]*Table1[[#This Row],[Finish Good]])/1000</f>
        <v>0</v>
      </c>
      <c r="S803">
        <v>0</v>
      </c>
      <c r="T803">
        <f>IF(Table1[[#This Row],[Qty Order]]="Sample","-",IF(Table1[[#This Row],[Qty Order]]="RTFN","-",Table1[[#This Row],[Qty Order]]-Table1[[#This Row],[Qty Accumulate]]))</f>
        <v>0</v>
      </c>
      <c r="U803">
        <f>((Table1[[#This Row],[Shift Output]]*Table1[[#This Row],[Part Weight (gm)]])/1000)+Table1[[#This Row],[Reject Startup (kg)]]+Table1[[#This Row],[Reject Purging (kg)]]+Table1[[#This Row],[Reject Preform (kg)]]</f>
        <v>61.828000000000003</v>
      </c>
      <c r="V803" s="37">
        <f>(Table1[[#This Row],[Gross Weight (gm)]]-Table1[[#This Row],[Part Weight (gm)]])*Table1[[#This Row],[Shift Output]]/1000</f>
        <v>0</v>
      </c>
      <c r="W803" s="3">
        <v>0</v>
      </c>
      <c r="X803" s="36">
        <f>Table1[[#This Row],[Reject Startup (kg)]]/Table1[[#This Row],[Material Used]]</f>
        <v>0</v>
      </c>
      <c r="Y803" s="3">
        <v>1</v>
      </c>
      <c r="Z803" s="36">
        <f>Table1[[#This Row],[Reject Prod (kg)]]/Table1[[#This Row],[Material Used]]</f>
        <v>1.6173901792068318E-2</v>
      </c>
      <c r="AA803" s="4">
        <v>0</v>
      </c>
      <c r="AB803" s="5">
        <v>0</v>
      </c>
      <c r="AC803" s="4" cm="1">
        <f t="array" ref="AC803">IFERROR(INDEX(ReferenceCard, MATCH(1, (INDEX(ReferenceCard,,1)=Table1[[#This Row],[SAP No]]) * (INDEX(ReferenceCard,,2)=Table1[[#This Row],[Mould No]]), 0), 9),)</f>
        <v>29</v>
      </c>
      <c r="AD803" s="5">
        <v>0</v>
      </c>
      <c r="AE803" s="5">
        <v>0</v>
      </c>
      <c r="AF803" s="5">
        <v>0</v>
      </c>
      <c r="AG803" s="5">
        <v>10.6999999999999</v>
      </c>
      <c r="AH803" s="5">
        <v>1.3</v>
      </c>
      <c r="AI803" s="5">
        <v>0</v>
      </c>
      <c r="AJ803" s="5">
        <v>0</v>
      </c>
      <c r="AK803" t="s">
        <v>201</v>
      </c>
      <c r="AL803" s="2" t="s">
        <v>202</v>
      </c>
      <c r="AM803" s="2"/>
      <c r="AN803" s="3"/>
      <c r="AO803" s="3">
        <v>0</v>
      </c>
      <c r="AP803" s="6">
        <f>((Table1[[#This Row],[Reject Startup (kg)]]+Table1[[#This Row],[Reject Prod (kg)]]+Table1[[#This Row],[Reject Purging (kg)]]+Table1[[#This Row],[Reject Preform (kg)]])/Table1[[#This Row],[Part Weight (gm)]])*1000</f>
        <v>34.482758620689651</v>
      </c>
    </row>
    <row r="804" spans="1:42" x14ac:dyDescent="0.35">
      <c r="A804" s="1">
        <v>45996</v>
      </c>
      <c r="B804">
        <v>2</v>
      </c>
      <c r="C804" t="s">
        <v>9</v>
      </c>
      <c r="D804" t="str" cm="1">
        <f t="array" ref="D804">IFERROR(INDEX(ReferenceCard, MATCH(1, (INDEX(ReferenceCard,,1)=Table1[[#This Row],[SAP No]]) * (INDEX(ReferenceCard,,2)=Table1[[#This Row],[Mould No]]), 0), 6),)</f>
        <v>rPET</v>
      </c>
      <c r="E804">
        <v>593537</v>
      </c>
      <c r="F804">
        <v>0</v>
      </c>
      <c r="G804" t="str" cm="1">
        <f t="array" ref="G804">IFERROR(INDEX(ReferenceCard, MATCH(1, (INDEX(ReferenceCard,,1)=Table1[[#This Row],[SAP No]]) * (INDEX(ReferenceCard,,2)=Table1[[#This Row],[Mould No]]), 0), 3),)</f>
        <v>BX38-1000-RN-R-CL-rPET</v>
      </c>
      <c r="H804">
        <v>0</v>
      </c>
      <c r="I804" cm="1">
        <f t="array" ref="I804">IFERROR(INDEX(ReferenceCard, MATCH(1, (INDEX(ReferenceCard,,1)=Table1[[#This Row],[SAP No]]) * (INDEX(ReferenceCard,,2)=Table1[[#This Row],[Mould No]]), 0), 4),)</f>
        <v>4</v>
      </c>
      <c r="J804" s="4" cm="1">
        <f t="array" ref="J804">IFERROR(INDEX(ReferenceCard, MATCH(1, (INDEX(ReferenceCard,,1)=Table1[[#This Row],[SAP No]]) * (INDEX(ReferenceCard,,2)=Table1[[#This Row],[Mould No]]), 0), 9),)</f>
        <v>56.5</v>
      </c>
      <c r="K804" s="4" cm="1">
        <f t="array" ref="K804">IFERROR(INDEX(ReferenceCard, MATCH(1, (INDEX(ReferenceCard,,1)=Table1[[#This Row],[SAP No]]) * (INDEX(ReferenceCard,,2)=Table1[[#This Row],[Mould No]]), 0), 7),)</f>
        <v>56.8</v>
      </c>
      <c r="L804">
        <v>1519</v>
      </c>
      <c r="M804">
        <v>0</v>
      </c>
      <c r="N804">
        <v>0</v>
      </c>
      <c r="O804">
        <v>0</v>
      </c>
      <c r="P804">
        <f>Table1[[#This Row],[Shot]]*Table1[[#This Row],[Cav]]</f>
        <v>6076</v>
      </c>
      <c r="Q804">
        <v>0</v>
      </c>
      <c r="R804">
        <f>(Table1[[#This Row],[Part Weight (gm)]]*Table1[[#This Row],[Finish Good]])/1000</f>
        <v>0</v>
      </c>
      <c r="S804">
        <v>0</v>
      </c>
      <c r="T804">
        <f>IF(Table1[[#This Row],[Qty Order]]="Sample","-",IF(Table1[[#This Row],[Qty Order]]="RTFN","-",Table1[[#This Row],[Qty Order]]-Table1[[#This Row],[Qty Accumulate]]))</f>
        <v>0</v>
      </c>
      <c r="U804">
        <f>((Table1[[#This Row],[Shift Output]]*Table1[[#This Row],[Part Weight (gm)]])/1000)+Table1[[#This Row],[Reject Startup (kg)]]+Table1[[#This Row],[Reject Purging (kg)]]+Table1[[#This Row],[Reject Preform (kg)]]</f>
        <v>345.11680000000001</v>
      </c>
      <c r="V804" s="37">
        <f>(Table1[[#This Row],[Gross Weight (gm)]]-Table1[[#This Row],[Part Weight (gm)]])*Table1[[#This Row],[Shift Output]]/1000</f>
        <v>-1.8227999999999827</v>
      </c>
      <c r="W804" s="3">
        <v>0</v>
      </c>
      <c r="X804" s="36">
        <f>Table1[[#This Row],[Reject Startup (kg)]]/Table1[[#This Row],[Material Used]]</f>
        <v>0</v>
      </c>
      <c r="Y804" s="3">
        <v>2</v>
      </c>
      <c r="Z804" s="36">
        <f>Table1[[#This Row],[Reject Prod (kg)]]/Table1[[#This Row],[Material Used]]</f>
        <v>5.7951395005980582E-3</v>
      </c>
      <c r="AA804" s="4">
        <v>28.437456130981399</v>
      </c>
      <c r="AB804" s="5">
        <v>12</v>
      </c>
      <c r="AC804" s="4" cm="1">
        <f t="array" ref="AC804">IFERROR(INDEX(ReferenceCard, MATCH(1, (INDEX(ReferenceCard,,1)=Table1[[#This Row],[SAP No]]) * (INDEX(ReferenceCard,,2)=Table1[[#This Row],[Mould No]]), 0), 9),)</f>
        <v>56.5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L804" s="2"/>
      <c r="AM804" s="2"/>
      <c r="AN804" s="3">
        <v>0</v>
      </c>
      <c r="AO804" s="3">
        <v>0</v>
      </c>
      <c r="AP804" s="6">
        <f>((Table1[[#This Row],[Reject Startup (kg)]]+Table1[[#This Row],[Reject Prod (kg)]]+Table1[[#This Row],[Reject Purging (kg)]]+Table1[[#This Row],[Reject Preform (kg)]])/Table1[[#This Row],[Part Weight (gm)]])*1000</f>
        <v>35.211267605633807</v>
      </c>
    </row>
    <row r="805" spans="1:42" x14ac:dyDescent="0.35">
      <c r="A805" s="1">
        <v>45996</v>
      </c>
      <c r="B805">
        <v>2</v>
      </c>
      <c r="C805" t="s">
        <v>11</v>
      </c>
      <c r="D805" t="str" cm="1">
        <f t="array" ref="D805">IFERROR(INDEX(ReferenceCard, MATCH(1, (INDEX(ReferenceCard,,1)=Table1[[#This Row],[SAP No]]) * (INDEX(ReferenceCard,,2)=Table1[[#This Row],[Mould No]]), 0), 6),)</f>
        <v>rPET</v>
      </c>
      <c r="E805">
        <v>620994</v>
      </c>
      <c r="F805">
        <v>0</v>
      </c>
      <c r="G805" t="str" cm="1">
        <f t="array" ref="G805">IFERROR(INDEX(ReferenceCard, MATCH(1, (INDEX(ReferenceCard,,1)=Table1[[#This Row],[SAP No]]) * (INDEX(ReferenceCard,,2)=Table1[[#This Row],[Mould No]]), 0), 3),)</f>
        <v>JJ63-0400-SH-S-CL-rPET</v>
      </c>
      <c r="H805">
        <v>0</v>
      </c>
      <c r="I805" cm="1">
        <f t="array" ref="I805">IFERROR(INDEX(ReferenceCard, MATCH(1, (INDEX(ReferenceCard,,1)=Table1[[#This Row],[SAP No]]) * (INDEX(ReferenceCard,,2)=Table1[[#This Row],[Mould No]]), 0), 4),)</f>
        <v>4</v>
      </c>
      <c r="J805" s="4" cm="1">
        <f t="array" ref="J805">IFERROR(INDEX(ReferenceCard, MATCH(1, (INDEX(ReferenceCard,,1)=Table1[[#This Row],[SAP No]]) * (INDEX(ReferenceCard,,2)=Table1[[#This Row],[Mould No]]), 0), 9),)</f>
        <v>32.74</v>
      </c>
      <c r="K805" s="4" cm="1">
        <f t="array" ref="K805">IFERROR(INDEX(ReferenceCard, MATCH(1, (INDEX(ReferenceCard,,1)=Table1[[#This Row],[SAP No]]) * (INDEX(ReferenceCard,,2)=Table1[[#This Row],[Mould No]]), 0), 7),)</f>
        <v>33</v>
      </c>
      <c r="L805">
        <v>1988</v>
      </c>
      <c r="M805">
        <v>0</v>
      </c>
      <c r="N805">
        <v>0</v>
      </c>
      <c r="O805">
        <v>0</v>
      </c>
      <c r="P805">
        <f>Table1[[#This Row],[Shot]]*Table1[[#This Row],[Cav]]</f>
        <v>7952</v>
      </c>
      <c r="Q805">
        <v>0</v>
      </c>
      <c r="R805">
        <f>(Table1[[#This Row],[Part Weight (gm)]]*Table1[[#This Row],[Finish Good]])/1000</f>
        <v>0</v>
      </c>
      <c r="S805">
        <v>0</v>
      </c>
      <c r="T805">
        <f>IF(Table1[[#This Row],[Qty Order]]="Sample","-",IF(Table1[[#This Row],[Qty Order]]="RTFN","-",Table1[[#This Row],[Qty Order]]-Table1[[#This Row],[Qty Accumulate]]))</f>
        <v>0</v>
      </c>
      <c r="U805">
        <f>((Table1[[#This Row],[Shift Output]]*Table1[[#This Row],[Part Weight (gm)]])/1000)+Table1[[#This Row],[Reject Startup (kg)]]+Table1[[#This Row],[Reject Purging (kg)]]+Table1[[#This Row],[Reject Preform (kg)]]</f>
        <v>262.416</v>
      </c>
      <c r="V805" s="37">
        <f>(Table1[[#This Row],[Gross Weight (gm)]]-Table1[[#This Row],[Part Weight (gm)]])*Table1[[#This Row],[Shift Output]]/1000</f>
        <v>-2.067519999999984</v>
      </c>
      <c r="W805" s="3">
        <v>0</v>
      </c>
      <c r="X805" s="36">
        <f>Table1[[#This Row],[Reject Startup (kg)]]/Table1[[#This Row],[Material Used]]</f>
        <v>0</v>
      </c>
      <c r="Y805" s="3">
        <v>1</v>
      </c>
      <c r="Z805" s="36">
        <f>Table1[[#This Row],[Reject Prod (kg)]]/Table1[[#This Row],[Material Used]]</f>
        <v>3.8107432473629657E-3</v>
      </c>
      <c r="AA805" s="4">
        <v>21.719711303710898</v>
      </c>
      <c r="AB805" s="5">
        <v>12</v>
      </c>
      <c r="AC805" s="4" cm="1">
        <f t="array" ref="AC805">IFERROR(INDEX(ReferenceCard, MATCH(1, (INDEX(ReferenceCard,,1)=Table1[[#This Row],[SAP No]]) * (INDEX(ReferenceCard,,2)=Table1[[#This Row],[Mould No]]), 0), 9),)</f>
        <v>32.74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L805" s="2"/>
      <c r="AM805" s="2"/>
      <c r="AN805" s="3">
        <v>0</v>
      </c>
      <c r="AO805" s="3">
        <v>0</v>
      </c>
      <c r="AP805" s="6">
        <f>((Table1[[#This Row],[Reject Startup (kg)]]+Table1[[#This Row],[Reject Prod (kg)]]+Table1[[#This Row],[Reject Purging (kg)]]+Table1[[#This Row],[Reject Preform (kg)]])/Table1[[#This Row],[Part Weight (gm)]])*1000</f>
        <v>30.303030303030305</v>
      </c>
    </row>
    <row r="806" spans="1:42" x14ac:dyDescent="0.35">
      <c r="A806" s="1">
        <v>45996</v>
      </c>
      <c r="B806">
        <v>2</v>
      </c>
      <c r="C806" t="s">
        <v>14</v>
      </c>
      <c r="D806" t="str" cm="1">
        <f t="array" ref="D806">IFERROR(INDEX(ReferenceCard, MATCH(1, (INDEX(ReferenceCard,,1)=Table1[[#This Row],[SAP No]]) * (INDEX(ReferenceCard,,2)=Table1[[#This Row],[Mould No]]), 0), 6),)</f>
        <v>PET</v>
      </c>
      <c r="E806">
        <v>324165</v>
      </c>
      <c r="F806">
        <v>0</v>
      </c>
      <c r="G806" t="str" cm="1">
        <f t="array" ref="G806">IFERROR(INDEX(ReferenceCard, MATCH(1, (INDEX(ReferenceCard,,1)=Table1[[#This Row],[SAP No]]) * (INDEX(ReferenceCard,,2)=Table1[[#This Row],[Mould No]]), 0), 3),)</f>
        <v>JJ63-0400-SH-S-WH</v>
      </c>
      <c r="H806">
        <v>0</v>
      </c>
      <c r="I806" cm="1">
        <f t="array" ref="I806">IFERROR(INDEX(ReferenceCard, MATCH(1, (INDEX(ReferenceCard,,1)=Table1[[#This Row],[SAP No]]) * (INDEX(ReferenceCard,,2)=Table1[[#This Row],[Mould No]]), 0), 4),)</f>
        <v>4</v>
      </c>
      <c r="J806" s="4" cm="1">
        <f t="array" ref="J806">IFERROR(INDEX(ReferenceCard, MATCH(1, (INDEX(ReferenceCard,,1)=Table1[[#This Row],[SAP No]]) * (INDEX(ReferenceCard,,2)=Table1[[#This Row],[Mould No]]), 0), 9),)</f>
        <v>32.56</v>
      </c>
      <c r="K806" s="4" cm="1">
        <f t="array" ref="K806">IFERROR(INDEX(ReferenceCard, MATCH(1, (INDEX(ReferenceCard,,1)=Table1[[#This Row],[SAP No]]) * (INDEX(ReferenceCard,,2)=Table1[[#This Row],[Mould No]]), 0), 7),)</f>
        <v>33</v>
      </c>
      <c r="L806">
        <v>1800</v>
      </c>
      <c r="M806">
        <v>0</v>
      </c>
      <c r="N806">
        <v>0</v>
      </c>
      <c r="O806">
        <v>0</v>
      </c>
      <c r="P806">
        <f>Table1[[#This Row],[Shot]]*Table1[[#This Row],[Cav]]</f>
        <v>7200</v>
      </c>
      <c r="Q806">
        <v>0</v>
      </c>
      <c r="R806">
        <f>(Table1[[#This Row],[Part Weight (gm)]]*Table1[[#This Row],[Finish Good]])/1000</f>
        <v>0</v>
      </c>
      <c r="S806">
        <v>0</v>
      </c>
      <c r="T806">
        <f>IF(Table1[[#This Row],[Qty Order]]="Sample","-",IF(Table1[[#This Row],[Qty Order]]="RTFN","-",Table1[[#This Row],[Qty Order]]-Table1[[#This Row],[Qty Accumulate]]))</f>
        <v>0</v>
      </c>
      <c r="U806">
        <f>((Table1[[#This Row],[Shift Output]]*Table1[[#This Row],[Part Weight (gm)]])/1000)+Table1[[#This Row],[Reject Startup (kg)]]+Table1[[#This Row],[Reject Purging (kg)]]+Table1[[#This Row],[Reject Preform (kg)]]</f>
        <v>237.6</v>
      </c>
      <c r="V806" s="37">
        <f>(Table1[[#This Row],[Gross Weight (gm)]]-Table1[[#This Row],[Part Weight (gm)]])*Table1[[#This Row],[Shift Output]]/1000</f>
        <v>-3.1679999999999837</v>
      </c>
      <c r="W806" s="3">
        <v>0</v>
      </c>
      <c r="X806" s="36">
        <f>Table1[[#This Row],[Reject Startup (kg)]]/Table1[[#This Row],[Material Used]]</f>
        <v>0</v>
      </c>
      <c r="Y806" s="3">
        <v>2</v>
      </c>
      <c r="Z806" s="36">
        <f>Table1[[#This Row],[Reject Prod (kg)]]/Table1[[#This Row],[Material Used]]</f>
        <v>8.4175084175084174E-3</v>
      </c>
      <c r="AA806" s="4">
        <v>23.991283416748001</v>
      </c>
      <c r="AB806" s="5">
        <v>12</v>
      </c>
      <c r="AC806" s="4" cm="1">
        <f t="array" ref="AC806">IFERROR(INDEX(ReferenceCard, MATCH(1, (INDEX(ReferenceCard,,1)=Table1[[#This Row],[SAP No]]) * (INDEX(ReferenceCard,,2)=Table1[[#This Row],[Mould No]]), 0), 9),)</f>
        <v>32.56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L806" s="2"/>
      <c r="AM806" s="2"/>
      <c r="AN806" s="3">
        <v>0</v>
      </c>
      <c r="AO806" s="3">
        <v>0</v>
      </c>
      <c r="AP806" s="6">
        <f>((Table1[[#This Row],[Reject Startup (kg)]]+Table1[[#This Row],[Reject Prod (kg)]]+Table1[[#This Row],[Reject Purging (kg)]]+Table1[[#This Row],[Reject Preform (kg)]])/Table1[[#This Row],[Part Weight (gm)]])*1000</f>
        <v>60.606060606060609</v>
      </c>
    </row>
    <row r="807" spans="1:42" x14ac:dyDescent="0.35">
      <c r="A807" s="1">
        <v>45996</v>
      </c>
      <c r="B807">
        <v>2</v>
      </c>
      <c r="C807" t="s">
        <v>16</v>
      </c>
      <c r="D807" t="str" cm="1">
        <f t="array" ref="D807">IFERROR(INDEX(ReferenceCard, MATCH(1, (INDEX(ReferenceCard,,1)=Table1[[#This Row],[SAP No]]) * (INDEX(ReferenceCard,,2)=Table1[[#This Row],[Mould No]]), 0), 6),)</f>
        <v>PET</v>
      </c>
      <c r="E807">
        <v>323092</v>
      </c>
      <c r="F807">
        <v>0</v>
      </c>
      <c r="G807" t="str" cm="1">
        <f t="array" ref="G807">IFERROR(INDEX(ReferenceCard, MATCH(1, (INDEX(ReferenceCard,,1)=Table1[[#This Row],[SAP No]]) * (INDEX(ReferenceCard,,2)=Table1[[#This Row],[Mould No]]), 0), 3),)</f>
        <v>BX38-1000-GH-R-CL(GREEN) (ASEM)</v>
      </c>
      <c r="H807">
        <v>0</v>
      </c>
      <c r="I807" cm="1">
        <f t="array" ref="I807">IFERROR(INDEX(ReferenceCard, MATCH(1, (INDEX(ReferenceCard,,1)=Table1[[#This Row],[SAP No]]) * (INDEX(ReferenceCard,,2)=Table1[[#This Row],[Mould No]]), 0), 4),)</f>
        <v>4</v>
      </c>
      <c r="J807" s="4" cm="1">
        <f t="array" ref="J807">IFERROR(INDEX(ReferenceCard, MATCH(1, (INDEX(ReferenceCard,,1)=Table1[[#This Row],[SAP No]]) * (INDEX(ReferenceCard,,2)=Table1[[#This Row],[Mould No]]), 0), 9),)</f>
        <v>48.9</v>
      </c>
      <c r="K807" s="4" cm="1">
        <f t="array" ref="K807">IFERROR(INDEX(ReferenceCard, MATCH(1, (INDEX(ReferenceCard,,1)=Table1[[#This Row],[SAP No]]) * (INDEX(ReferenceCard,,2)=Table1[[#This Row],[Mould No]]), 0), 7),)</f>
        <v>48.9</v>
      </c>
      <c r="L807">
        <v>2409</v>
      </c>
      <c r="M807">
        <v>0</v>
      </c>
      <c r="N807">
        <v>0</v>
      </c>
      <c r="O807">
        <v>0</v>
      </c>
      <c r="P807">
        <f>Table1[[#This Row],[Shot]]*Table1[[#This Row],[Cav]]</f>
        <v>9636</v>
      </c>
      <c r="Q807">
        <v>0</v>
      </c>
      <c r="R807">
        <f>(Table1[[#This Row],[Part Weight (gm)]]*Table1[[#This Row],[Finish Good]])/1000</f>
        <v>0</v>
      </c>
      <c r="S807">
        <v>0</v>
      </c>
      <c r="T807">
        <f>IF(Table1[[#This Row],[Qty Order]]="Sample","-",IF(Table1[[#This Row],[Qty Order]]="RTFN","-",Table1[[#This Row],[Qty Order]]-Table1[[#This Row],[Qty Accumulate]]))</f>
        <v>0</v>
      </c>
      <c r="U807">
        <f>((Table1[[#This Row],[Shift Output]]*Table1[[#This Row],[Part Weight (gm)]])/1000)+Table1[[#This Row],[Reject Startup (kg)]]+Table1[[#This Row],[Reject Purging (kg)]]+Table1[[#This Row],[Reject Preform (kg)]]</f>
        <v>471.20039999999995</v>
      </c>
      <c r="V807" s="37">
        <f>(Table1[[#This Row],[Gross Weight (gm)]]-Table1[[#This Row],[Part Weight (gm)]])*Table1[[#This Row],[Shift Output]]/1000</f>
        <v>0</v>
      </c>
      <c r="W807" s="3">
        <v>0</v>
      </c>
      <c r="X807" s="36">
        <f>Table1[[#This Row],[Reject Startup (kg)]]/Table1[[#This Row],[Material Used]]</f>
        <v>0</v>
      </c>
      <c r="Y807" s="3">
        <v>17</v>
      </c>
      <c r="Z807" s="36">
        <f>Table1[[#This Row],[Reject Prod (kg)]]/Table1[[#This Row],[Material Used]]</f>
        <v>3.6078067845443262E-2</v>
      </c>
      <c r="AA807" s="4">
        <v>0</v>
      </c>
      <c r="AB807" s="5">
        <v>11.5</v>
      </c>
      <c r="AC807" s="4" cm="1">
        <f t="array" ref="AC807">IFERROR(INDEX(ReferenceCard, MATCH(1, (INDEX(ReferenceCard,,1)=Table1[[#This Row],[SAP No]]) * (INDEX(ReferenceCard,,2)=Table1[[#This Row],[Mould No]]), 0), 9),)</f>
        <v>48.9</v>
      </c>
      <c r="AD807" s="5">
        <v>0</v>
      </c>
      <c r="AE807" s="5">
        <v>0</v>
      </c>
      <c r="AF807" s="5">
        <v>0</v>
      </c>
      <c r="AG807" s="5">
        <v>0</v>
      </c>
      <c r="AH807" s="5">
        <v>0.5</v>
      </c>
      <c r="AI807" s="5">
        <v>0</v>
      </c>
      <c r="AJ807" s="5">
        <v>0</v>
      </c>
      <c r="AK807" t="s">
        <v>203</v>
      </c>
      <c r="AL807" s="2" t="s">
        <v>204</v>
      </c>
      <c r="AM807" s="2"/>
      <c r="AN807" s="3"/>
      <c r="AO807" s="3">
        <v>0</v>
      </c>
      <c r="AP807" s="6">
        <f>((Table1[[#This Row],[Reject Startup (kg)]]+Table1[[#This Row],[Reject Prod (kg)]]+Table1[[#This Row],[Reject Purging (kg)]]+Table1[[#This Row],[Reject Preform (kg)]])/Table1[[#This Row],[Part Weight (gm)]])*1000</f>
        <v>347.64826175869126</v>
      </c>
    </row>
    <row r="808" spans="1:42" x14ac:dyDescent="0.35">
      <c r="A808" s="1">
        <v>45996</v>
      </c>
      <c r="B808">
        <v>2</v>
      </c>
      <c r="C808" t="s">
        <v>23</v>
      </c>
      <c r="D808" t="str" cm="1">
        <f t="array" ref="D808">IFERROR(INDEX(ReferenceCard, MATCH(1, (INDEX(ReferenceCard,,1)=Table1[[#This Row],[SAP No]]) * (INDEX(ReferenceCard,,2)=Table1[[#This Row],[Mould No]]), 0), 6),)</f>
        <v>PPSB520Y</v>
      </c>
      <c r="E808">
        <v>586276</v>
      </c>
      <c r="F808">
        <v>2</v>
      </c>
      <c r="G808" t="str" cm="1">
        <f t="array" ref="G808">IFERROR(INDEX(ReferenceCard, MATCH(1, (INDEX(ReferenceCard,,1)=Table1[[#This Row],[SAP No]]) * (INDEX(ReferenceCard,,2)=Table1[[#This Row],[Mould No]]), 0), 3),)</f>
        <v>BC28-0056-D-APH-LEB-604001-MOLD2</v>
      </c>
      <c r="H808">
        <v>0</v>
      </c>
      <c r="I808" cm="1">
        <f t="array" ref="I808">IFERROR(INDEX(ReferenceCard, MATCH(1, (INDEX(ReferenceCard,,1)=Table1[[#This Row],[SAP No]]) * (INDEX(ReferenceCard,,2)=Table1[[#This Row],[Mould No]]), 0), 4),)</f>
        <v>6</v>
      </c>
      <c r="J808" s="4" cm="1">
        <f t="array" ref="J808">IFERROR(INDEX(ReferenceCard, MATCH(1, (INDEX(ReferenceCard,,1)=Table1[[#This Row],[SAP No]]) * (INDEX(ReferenceCard,,2)=Table1[[#This Row],[Mould No]]), 0), 9),)</f>
        <v>12.3</v>
      </c>
      <c r="K808" s="4" cm="1">
        <f t="array" ref="K808">IFERROR(INDEX(ReferenceCard, MATCH(1, (INDEX(ReferenceCard,,1)=Table1[[#This Row],[SAP No]]) * (INDEX(ReferenceCard,,2)=Table1[[#This Row],[Mould No]]), 0), 7),)</f>
        <v>12.3</v>
      </c>
      <c r="L808">
        <v>3862</v>
      </c>
      <c r="M808">
        <v>0</v>
      </c>
      <c r="N808">
        <v>0</v>
      </c>
      <c r="O808">
        <v>0</v>
      </c>
      <c r="P808">
        <f>Table1[[#This Row],[Shot]]*Table1[[#This Row],[Cav]]</f>
        <v>23172</v>
      </c>
      <c r="Q808">
        <v>0</v>
      </c>
      <c r="R808">
        <f>(Table1[[#This Row],[Part Weight (gm)]]*Table1[[#This Row],[Finish Good]])/1000</f>
        <v>0</v>
      </c>
      <c r="S808">
        <v>0</v>
      </c>
      <c r="T808">
        <f>IF(Table1[[#This Row],[Qty Order]]="Sample","-",IF(Table1[[#This Row],[Qty Order]]="RTFN","-",Table1[[#This Row],[Qty Order]]-Table1[[#This Row],[Qty Accumulate]]))</f>
        <v>0</v>
      </c>
      <c r="U808">
        <f>((Table1[[#This Row],[Shift Output]]*Table1[[#This Row],[Part Weight (gm)]])/1000)+Table1[[#This Row],[Reject Startup (kg)]]+Table1[[#This Row],[Reject Purging (kg)]]+Table1[[#This Row],[Reject Preform (kg)]]</f>
        <v>285.01560000000006</v>
      </c>
      <c r="V808" s="37">
        <f>(Table1[[#This Row],[Gross Weight (gm)]]-Table1[[#This Row],[Part Weight (gm)]])*Table1[[#This Row],[Shift Output]]/1000</f>
        <v>0</v>
      </c>
      <c r="W808" s="3">
        <v>0</v>
      </c>
      <c r="X808" s="36">
        <f>Table1[[#This Row],[Reject Startup (kg)]]/Table1[[#This Row],[Material Used]]</f>
        <v>0</v>
      </c>
      <c r="Y808" s="3">
        <v>60</v>
      </c>
      <c r="Z808" s="36">
        <f>Table1[[#This Row],[Reject Prod (kg)]]/Table1[[#This Row],[Material Used]]</f>
        <v>0.21051479287449523</v>
      </c>
      <c r="AA808" s="4">
        <v>25.492403030395501</v>
      </c>
      <c r="AB808" s="5">
        <v>7.71999999999999</v>
      </c>
      <c r="AC808" s="4" cm="1">
        <f t="array" ref="AC808">IFERROR(INDEX(ReferenceCard, MATCH(1, (INDEX(ReferenceCard,,1)=Table1[[#This Row],[SAP No]]) * (INDEX(ReferenceCard,,2)=Table1[[#This Row],[Mould No]]), 0), 9),)</f>
        <v>12.3</v>
      </c>
      <c r="AD808" s="5">
        <v>0</v>
      </c>
      <c r="AE808" s="5">
        <v>0</v>
      </c>
      <c r="AF808" s="5">
        <v>0</v>
      </c>
      <c r="AG808" s="5">
        <v>0</v>
      </c>
      <c r="AH808" s="5">
        <v>4.28</v>
      </c>
      <c r="AI808" s="5">
        <v>0</v>
      </c>
      <c r="AJ808" s="5">
        <v>0</v>
      </c>
      <c r="AL808" s="2"/>
      <c r="AM808" s="2"/>
      <c r="AN808" s="3">
        <v>0</v>
      </c>
      <c r="AO808" s="3">
        <v>0</v>
      </c>
      <c r="AP808" s="6">
        <f>((Table1[[#This Row],[Reject Startup (kg)]]+Table1[[#This Row],[Reject Prod (kg)]]+Table1[[#This Row],[Reject Purging (kg)]]+Table1[[#This Row],[Reject Preform (kg)]])/Table1[[#This Row],[Part Weight (gm)]])*1000</f>
        <v>4878.0487804878048</v>
      </c>
    </row>
    <row r="809" spans="1:42" x14ac:dyDescent="0.35">
      <c r="A809" s="1">
        <v>45996</v>
      </c>
      <c r="B809">
        <v>2</v>
      </c>
      <c r="C809" t="s">
        <v>25</v>
      </c>
      <c r="D809" t="str" cm="1">
        <f t="array" ref="D809">IFERROR(INDEX(ReferenceCard, MATCH(1, (INDEX(ReferenceCard,,1)=Table1[[#This Row],[SAP No]]) * (INDEX(ReferenceCard,,2)=Table1[[#This Row],[Mould No]]), 0), 6),)</f>
        <v>PET</v>
      </c>
      <c r="E809">
        <v>323133</v>
      </c>
      <c r="F809">
        <v>0</v>
      </c>
      <c r="G809" t="str" cm="1">
        <f t="array" ref="G809">IFERROR(INDEX(ReferenceCard, MATCH(1, (INDEX(ReferenceCard,,1)=Table1[[#This Row],[SAP No]]) * (INDEX(ReferenceCard,,2)=Table1[[#This Row],[Mould No]]), 0), 3),)</f>
        <v>BX38-2000-RH-R-CL(GREEN) (ASEM)</v>
      </c>
      <c r="H809">
        <v>0</v>
      </c>
      <c r="I809" cm="1">
        <f t="array" ref="I809">IFERROR(INDEX(ReferenceCard, MATCH(1, (INDEX(ReferenceCard,,1)=Table1[[#This Row],[SAP No]]) * (INDEX(ReferenceCard,,2)=Table1[[#This Row],[Mould No]]), 0), 4),)</f>
        <v>4</v>
      </c>
      <c r="J809" s="4" cm="1">
        <f t="array" ref="J809">IFERROR(INDEX(ReferenceCard, MATCH(1, (INDEX(ReferenceCard,,1)=Table1[[#This Row],[SAP No]]) * (INDEX(ReferenceCard,,2)=Table1[[#This Row],[Mould No]]), 0), 9),)</f>
        <v>77</v>
      </c>
      <c r="K809" s="4" cm="1">
        <f t="array" ref="K809">IFERROR(INDEX(ReferenceCard, MATCH(1, (INDEX(ReferenceCard,,1)=Table1[[#This Row],[SAP No]]) * (INDEX(ReferenceCard,,2)=Table1[[#This Row],[Mould No]]), 0), 7),)</f>
        <v>77</v>
      </c>
      <c r="L809">
        <v>4764</v>
      </c>
      <c r="M809">
        <v>0</v>
      </c>
      <c r="N809">
        <v>0</v>
      </c>
      <c r="O809">
        <v>0</v>
      </c>
      <c r="P809">
        <f>Table1[[#This Row],[Shot]]*Table1[[#This Row],[Cav]]</f>
        <v>19056</v>
      </c>
      <c r="Q809">
        <v>0</v>
      </c>
      <c r="R809">
        <f>(Table1[[#This Row],[Part Weight (gm)]]*Table1[[#This Row],[Finish Good]])/1000</f>
        <v>0</v>
      </c>
      <c r="S809">
        <v>0</v>
      </c>
      <c r="T809">
        <f>IF(Table1[[#This Row],[Qty Order]]="Sample","-",IF(Table1[[#This Row],[Qty Order]]="RTFN","-",Table1[[#This Row],[Qty Order]]-Table1[[#This Row],[Qty Accumulate]]))</f>
        <v>0</v>
      </c>
      <c r="U809">
        <f>((Table1[[#This Row],[Shift Output]]*Table1[[#This Row],[Part Weight (gm)]])/1000)+Table1[[#This Row],[Reject Startup (kg)]]+Table1[[#This Row],[Reject Purging (kg)]]+Table1[[#This Row],[Reject Preform (kg)]]</f>
        <v>1467.3119999999999</v>
      </c>
      <c r="V809" s="37">
        <f>(Table1[[#This Row],[Gross Weight (gm)]]-Table1[[#This Row],[Part Weight (gm)]])*Table1[[#This Row],[Shift Output]]/1000</f>
        <v>0</v>
      </c>
      <c r="W809" s="3">
        <v>0</v>
      </c>
      <c r="X809" s="36">
        <f>Table1[[#This Row],[Reject Startup (kg)]]/Table1[[#This Row],[Material Used]]</f>
        <v>0</v>
      </c>
      <c r="Y809" s="3">
        <v>24</v>
      </c>
      <c r="Z809" s="36">
        <f>Table1[[#This Row],[Reject Prod (kg)]]/Table1[[#This Row],[Material Used]]</f>
        <v>1.6356439530243058E-2</v>
      </c>
      <c r="AA809" s="4">
        <v>35.738555908203097</v>
      </c>
      <c r="AB809" s="5">
        <v>11.55</v>
      </c>
      <c r="AC809" s="4" cm="1">
        <f t="array" ref="AC809">IFERROR(INDEX(ReferenceCard, MATCH(1, (INDEX(ReferenceCard,,1)=Table1[[#This Row],[SAP No]]) * (INDEX(ReferenceCard,,2)=Table1[[#This Row],[Mould No]]), 0), 9),)</f>
        <v>77</v>
      </c>
      <c r="AD809" s="5">
        <v>0</v>
      </c>
      <c r="AE809" s="5">
        <v>0</v>
      </c>
      <c r="AF809" s="5">
        <v>0</v>
      </c>
      <c r="AG809" s="5">
        <v>0</v>
      </c>
      <c r="AH809" s="5">
        <v>0.45</v>
      </c>
      <c r="AI809" s="5">
        <v>0</v>
      </c>
      <c r="AJ809" s="5">
        <v>0</v>
      </c>
      <c r="AL809" s="2"/>
      <c r="AM809" s="2"/>
      <c r="AN809" s="3">
        <v>0</v>
      </c>
      <c r="AO809" s="3">
        <v>0</v>
      </c>
      <c r="AP809" s="6">
        <f>((Table1[[#This Row],[Reject Startup (kg)]]+Table1[[#This Row],[Reject Prod (kg)]]+Table1[[#This Row],[Reject Purging (kg)]]+Table1[[#This Row],[Reject Preform (kg)]])/Table1[[#This Row],[Part Weight (gm)]])*1000</f>
        <v>311.68831168831167</v>
      </c>
    </row>
    <row r="810" spans="1:42" x14ac:dyDescent="0.35">
      <c r="A810" s="1">
        <v>45996</v>
      </c>
      <c r="B810">
        <v>2</v>
      </c>
      <c r="C810" t="s">
        <v>27</v>
      </c>
      <c r="D810" t="str" cm="1">
        <f t="array" ref="D810">IFERROR(INDEX(ReferenceCard, MATCH(1, (INDEX(ReferenceCard,,1)=Table1[[#This Row],[SAP No]]) * (INDEX(ReferenceCard,,2)=Table1[[#This Row],[Mould No]]), 0), 6),)</f>
        <v>PPSB520Y</v>
      </c>
      <c r="E810">
        <v>552181</v>
      </c>
      <c r="F810">
        <v>4</v>
      </c>
      <c r="G810" t="str" cm="1">
        <f t="array" ref="G810">IFERROR(INDEX(ReferenceCard, MATCH(1, (INDEX(ReferenceCard,,1)=Table1[[#This Row],[SAP No]]) * (INDEX(ReferenceCard,,2)=Table1[[#This Row],[Mould No]]), 0), 3),)</f>
        <v>BC28-0090-D-APH-5180-3538-PP-6 NOTCHES-MOLD4</v>
      </c>
      <c r="H810">
        <v>0</v>
      </c>
      <c r="I810" cm="1">
        <f t="array" ref="I810">IFERROR(INDEX(ReferenceCard, MATCH(1, (INDEX(ReferenceCard,,1)=Table1[[#This Row],[SAP No]]) * (INDEX(ReferenceCard,,2)=Table1[[#This Row],[Mould No]]), 0), 4),)</f>
        <v>6</v>
      </c>
      <c r="J810" s="4" cm="1">
        <f t="array" ref="J810">IFERROR(INDEX(ReferenceCard, MATCH(1, (INDEX(ReferenceCard,,1)=Table1[[#This Row],[SAP No]]) * (INDEX(ReferenceCard,,2)=Table1[[#This Row],[Mould No]]), 0), 9),)</f>
        <v>18.8</v>
      </c>
      <c r="K810" s="4" cm="1">
        <f t="array" ref="K810">IFERROR(INDEX(ReferenceCard, MATCH(1, (INDEX(ReferenceCard,,1)=Table1[[#This Row],[SAP No]]) * (INDEX(ReferenceCard,,2)=Table1[[#This Row],[Mould No]]), 0), 7),)</f>
        <v>18.8</v>
      </c>
      <c r="L810">
        <v>1990</v>
      </c>
      <c r="M810">
        <v>0</v>
      </c>
      <c r="N810">
        <v>0</v>
      </c>
      <c r="O810">
        <v>0</v>
      </c>
      <c r="P810">
        <f>Table1[[#This Row],[Shot]]*Table1[[#This Row],[Cav]]</f>
        <v>11940</v>
      </c>
      <c r="Q810">
        <v>0</v>
      </c>
      <c r="R810">
        <f>(Table1[[#This Row],[Part Weight (gm)]]*Table1[[#This Row],[Finish Good]])/1000</f>
        <v>0</v>
      </c>
      <c r="S810">
        <v>0</v>
      </c>
      <c r="T810">
        <f>IF(Table1[[#This Row],[Qty Order]]="Sample","-",IF(Table1[[#This Row],[Qty Order]]="RTFN","-",Table1[[#This Row],[Qty Order]]-Table1[[#This Row],[Qty Accumulate]]))</f>
        <v>0</v>
      </c>
      <c r="U810">
        <f>((Table1[[#This Row],[Shift Output]]*Table1[[#This Row],[Part Weight (gm)]])/1000)+Table1[[#This Row],[Reject Startup (kg)]]+Table1[[#This Row],[Reject Purging (kg)]]+Table1[[#This Row],[Reject Preform (kg)]]</f>
        <v>244.47200000000001</v>
      </c>
      <c r="V810" s="37">
        <f>(Table1[[#This Row],[Gross Weight (gm)]]-Table1[[#This Row],[Part Weight (gm)]])*Table1[[#This Row],[Shift Output]]/1000</f>
        <v>0</v>
      </c>
      <c r="W810" s="3">
        <v>20</v>
      </c>
      <c r="X810" s="36">
        <f>Table1[[#This Row],[Reject Startup (kg)]]/Table1[[#This Row],[Material Used]]</f>
        <v>8.1808959717268231E-2</v>
      </c>
      <c r="Y810" s="3">
        <v>0</v>
      </c>
      <c r="Z810" s="36">
        <f>Table1[[#This Row],[Reject Prod (kg)]]/Table1[[#This Row],[Material Used]]</f>
        <v>0</v>
      </c>
      <c r="AA810" s="4">
        <v>0</v>
      </c>
      <c r="AB810" s="5">
        <v>10.89</v>
      </c>
      <c r="AC810" s="4" cm="1">
        <f t="array" ref="AC810">IFERROR(INDEX(ReferenceCard, MATCH(1, (INDEX(ReferenceCard,,1)=Table1[[#This Row],[SAP No]]) * (INDEX(ReferenceCard,,2)=Table1[[#This Row],[Mould No]]), 0), 9),)</f>
        <v>18.8</v>
      </c>
      <c r="AD810" s="5">
        <v>0</v>
      </c>
      <c r="AE810" s="5">
        <v>0</v>
      </c>
      <c r="AF810" s="5">
        <v>0</v>
      </c>
      <c r="AG810" s="5">
        <v>0</v>
      </c>
      <c r="AH810" s="5">
        <v>1.1100000000000001</v>
      </c>
      <c r="AI810" s="5">
        <v>0</v>
      </c>
      <c r="AJ810" s="5">
        <v>0</v>
      </c>
      <c r="AL810" s="2"/>
      <c r="AM810" s="2"/>
      <c r="AN810" s="3">
        <v>0</v>
      </c>
      <c r="AO810" s="3">
        <v>0</v>
      </c>
      <c r="AP810" s="6">
        <f>((Table1[[#This Row],[Reject Startup (kg)]]+Table1[[#This Row],[Reject Prod (kg)]]+Table1[[#This Row],[Reject Purging (kg)]]+Table1[[#This Row],[Reject Preform (kg)]])/Table1[[#This Row],[Part Weight (gm)]])*1000</f>
        <v>1063.8297872340424</v>
      </c>
    </row>
    <row r="811" spans="1:42" x14ac:dyDescent="0.35">
      <c r="A811" s="1">
        <v>45996</v>
      </c>
      <c r="B811">
        <v>2</v>
      </c>
      <c r="C811" t="s">
        <v>29</v>
      </c>
      <c r="D811" t="str" cm="1">
        <f t="array" ref="D811">IFERROR(INDEX(ReferenceCard, MATCH(1, (INDEX(ReferenceCard,,1)=Table1[[#This Row],[SAP No]]) * (INDEX(ReferenceCard,,2)=Table1[[#This Row],[Mould No]]), 0), 6),)</f>
        <v>PET</v>
      </c>
      <c r="E811">
        <v>620599</v>
      </c>
      <c r="F811">
        <v>0</v>
      </c>
      <c r="G811" t="str" cm="1">
        <f t="array" ref="G811">IFERROR(INDEX(ReferenceCard, MATCH(1, (INDEX(ReferenceCard,,1)=Table1[[#This Row],[SAP No]]) * (INDEX(ReferenceCard,,2)=Table1[[#This Row],[Mould No]]), 0), 3),)</f>
        <v>BC28-0750-K4-R-CL (55g)</v>
      </c>
      <c r="H811">
        <v>0</v>
      </c>
      <c r="I811" cm="1">
        <f t="array" ref="I811">IFERROR(INDEX(ReferenceCard, MATCH(1, (INDEX(ReferenceCard,,1)=Table1[[#This Row],[SAP No]]) * (INDEX(ReferenceCard,,2)=Table1[[#This Row],[Mould No]]), 0), 4),)</f>
        <v>4</v>
      </c>
      <c r="J811" s="4" cm="1">
        <f t="array" ref="J811">IFERROR(INDEX(ReferenceCard, MATCH(1, (INDEX(ReferenceCard,,1)=Table1[[#This Row],[SAP No]]) * (INDEX(ReferenceCard,,2)=Table1[[#This Row],[Mould No]]), 0), 9),)</f>
        <v>55</v>
      </c>
      <c r="K811" s="4" cm="1">
        <f t="array" ref="K811">IFERROR(INDEX(ReferenceCard, MATCH(1, (INDEX(ReferenceCard,,1)=Table1[[#This Row],[SAP No]]) * (INDEX(ReferenceCard,,2)=Table1[[#This Row],[Mould No]]), 0), 7),)</f>
        <v>55</v>
      </c>
      <c r="L811">
        <v>1513</v>
      </c>
      <c r="M811">
        <v>0</v>
      </c>
      <c r="N811">
        <v>0</v>
      </c>
      <c r="O811">
        <v>0</v>
      </c>
      <c r="P811">
        <f>Table1[[#This Row],[Shot]]*Table1[[#This Row],[Cav]]</f>
        <v>6052</v>
      </c>
      <c r="Q811">
        <v>0</v>
      </c>
      <c r="R811">
        <f>(Table1[[#This Row],[Part Weight (gm)]]*Table1[[#This Row],[Finish Good]])/1000</f>
        <v>0</v>
      </c>
      <c r="S811">
        <v>0</v>
      </c>
      <c r="T811">
        <f>IF(Table1[[#This Row],[Qty Order]]="Sample","-",IF(Table1[[#This Row],[Qty Order]]="RTFN","-",Table1[[#This Row],[Qty Order]]-Table1[[#This Row],[Qty Accumulate]]))</f>
        <v>0</v>
      </c>
      <c r="U811">
        <f>((Table1[[#This Row],[Shift Output]]*Table1[[#This Row],[Part Weight (gm)]])/1000)+Table1[[#This Row],[Reject Startup (kg)]]+Table1[[#This Row],[Reject Purging (kg)]]+Table1[[#This Row],[Reject Preform (kg)]]</f>
        <v>332.86</v>
      </c>
      <c r="V811" s="37">
        <f>(Table1[[#This Row],[Gross Weight (gm)]]-Table1[[#This Row],[Part Weight (gm)]])*Table1[[#This Row],[Shift Output]]/1000</f>
        <v>0</v>
      </c>
      <c r="W811" s="3">
        <v>0</v>
      </c>
      <c r="X811" s="36">
        <f>Table1[[#This Row],[Reject Startup (kg)]]/Table1[[#This Row],[Material Used]]</f>
        <v>0</v>
      </c>
      <c r="Y811" s="3">
        <v>19</v>
      </c>
      <c r="Z811" s="36">
        <f>Table1[[#This Row],[Reject Prod (kg)]]/Table1[[#This Row],[Material Used]]</f>
        <v>5.7081055098239498E-2</v>
      </c>
      <c r="AA811" s="4">
        <v>28.528480529785099</v>
      </c>
      <c r="AB811" s="5">
        <v>12</v>
      </c>
      <c r="AC811" s="4" cm="1">
        <f t="array" ref="AC811">IFERROR(INDEX(ReferenceCard, MATCH(1, (INDEX(ReferenceCard,,1)=Table1[[#This Row],[SAP No]]) * (INDEX(ReferenceCard,,2)=Table1[[#This Row],[Mould No]]), 0), 9),)</f>
        <v>55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L811" s="2"/>
      <c r="AM811" s="2"/>
      <c r="AN811" s="3">
        <v>0</v>
      </c>
      <c r="AO811" s="3">
        <v>0</v>
      </c>
      <c r="AP811" s="6">
        <f>((Table1[[#This Row],[Reject Startup (kg)]]+Table1[[#This Row],[Reject Prod (kg)]]+Table1[[#This Row],[Reject Purging (kg)]]+Table1[[#This Row],[Reject Preform (kg)]])/Table1[[#This Row],[Part Weight (gm)]])*1000</f>
        <v>345.45454545454544</v>
      </c>
    </row>
    <row r="812" spans="1:42" x14ac:dyDescent="0.35">
      <c r="A812" s="1">
        <v>45996</v>
      </c>
      <c r="B812">
        <v>2</v>
      </c>
      <c r="C812" t="s">
        <v>31</v>
      </c>
      <c r="D812" t="str" cm="1">
        <f t="array" ref="D812">IFERROR(INDEX(ReferenceCard, MATCH(1, (INDEX(ReferenceCard,,1)=Table1[[#This Row],[SAP No]]) * (INDEX(ReferenceCard,,2)=Table1[[#This Row],[Mould No]]), 0), 6),)</f>
        <v>PPSB520Y</v>
      </c>
      <c r="E812">
        <v>586276</v>
      </c>
      <c r="F812">
        <v>4</v>
      </c>
      <c r="G812" t="str" cm="1">
        <f t="array" ref="G812">IFERROR(INDEX(ReferenceCard, MATCH(1, (INDEX(ReferenceCard,,1)=Table1[[#This Row],[SAP No]]) * (INDEX(ReferenceCard,,2)=Table1[[#This Row],[Mould No]]), 0), 3),)</f>
        <v>BC28-0056-D-APH-LEB-604001-MOLD4</v>
      </c>
      <c r="H812">
        <v>0</v>
      </c>
      <c r="I812" cm="1">
        <f t="array" ref="I812">IFERROR(INDEX(ReferenceCard, MATCH(1, (INDEX(ReferenceCard,,1)=Table1[[#This Row],[SAP No]]) * (INDEX(ReferenceCard,,2)=Table1[[#This Row],[Mould No]]), 0), 4),)</f>
        <v>6</v>
      </c>
      <c r="J812" s="4" cm="1">
        <f t="array" ref="J812">IFERROR(INDEX(ReferenceCard, MATCH(1, (INDEX(ReferenceCard,,1)=Table1[[#This Row],[SAP No]]) * (INDEX(ReferenceCard,,2)=Table1[[#This Row],[Mould No]]), 0), 9),)</f>
        <v>12.3</v>
      </c>
      <c r="K812" s="4" cm="1">
        <f t="array" ref="K812">IFERROR(INDEX(ReferenceCard, MATCH(1, (INDEX(ReferenceCard,,1)=Table1[[#This Row],[SAP No]]) * (INDEX(ReferenceCard,,2)=Table1[[#This Row],[Mould No]]), 0), 7),)</f>
        <v>12.3</v>
      </c>
      <c r="L812">
        <v>1595</v>
      </c>
      <c r="M812">
        <v>0</v>
      </c>
      <c r="N812">
        <v>0</v>
      </c>
      <c r="O812">
        <v>0</v>
      </c>
      <c r="P812">
        <f>Table1[[#This Row],[Shot]]*Table1[[#This Row],[Cav]]</f>
        <v>9570</v>
      </c>
      <c r="Q812">
        <v>0</v>
      </c>
      <c r="R812">
        <f>(Table1[[#This Row],[Part Weight (gm)]]*Table1[[#This Row],[Finish Good]])/1000</f>
        <v>0</v>
      </c>
      <c r="S812">
        <v>0</v>
      </c>
      <c r="T812">
        <f>IF(Table1[[#This Row],[Qty Order]]="Sample","-",IF(Table1[[#This Row],[Qty Order]]="RTFN","-",Table1[[#This Row],[Qty Order]]-Table1[[#This Row],[Qty Accumulate]]))</f>
        <v>0</v>
      </c>
      <c r="U812">
        <f>((Table1[[#This Row],[Shift Output]]*Table1[[#This Row],[Part Weight (gm)]])/1000)+Table1[[#This Row],[Reject Startup (kg)]]+Table1[[#This Row],[Reject Purging (kg)]]+Table1[[#This Row],[Reject Preform (kg)]]</f>
        <v>117.711</v>
      </c>
      <c r="V812" s="37">
        <f>(Table1[[#This Row],[Gross Weight (gm)]]-Table1[[#This Row],[Part Weight (gm)]])*Table1[[#This Row],[Shift Output]]/1000</f>
        <v>0</v>
      </c>
      <c r="W812" s="3">
        <v>0</v>
      </c>
      <c r="X812" s="36">
        <f>Table1[[#This Row],[Reject Startup (kg)]]/Table1[[#This Row],[Material Used]]</f>
        <v>0</v>
      </c>
      <c r="Y812" s="3">
        <v>1</v>
      </c>
      <c r="Z812" s="36">
        <f>Table1[[#This Row],[Reject Prod (kg)]]/Table1[[#This Row],[Material Used]]</f>
        <v>8.4953827594702273E-3</v>
      </c>
      <c r="AA812" s="4">
        <v>27.078100204467699</v>
      </c>
      <c r="AB812" s="5">
        <v>12</v>
      </c>
      <c r="AC812" s="4" cm="1">
        <f t="array" ref="AC812">IFERROR(INDEX(ReferenceCard, MATCH(1, (INDEX(ReferenceCard,,1)=Table1[[#This Row],[SAP No]]) * (INDEX(ReferenceCard,,2)=Table1[[#This Row],[Mould No]]), 0), 9),)</f>
        <v>12.3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L812" s="2"/>
      <c r="AM812" s="2"/>
      <c r="AN812" s="3">
        <v>0</v>
      </c>
      <c r="AO812" s="3">
        <v>0</v>
      </c>
      <c r="AP812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813" spans="1:42" x14ac:dyDescent="0.35">
      <c r="A813" s="1">
        <v>45996</v>
      </c>
      <c r="B813">
        <v>2</v>
      </c>
      <c r="C813" t="s">
        <v>33</v>
      </c>
      <c r="D813" t="str" cm="1">
        <f t="array" ref="D813">IFERROR(INDEX(ReferenceCard, MATCH(1, (INDEX(ReferenceCard,,1)=Table1[[#This Row],[SAP No]]) * (INDEX(ReferenceCard,,2)=Table1[[#This Row],[Mould No]]), 0), 6),)</f>
        <v>PET</v>
      </c>
      <c r="E813">
        <v>541381</v>
      </c>
      <c r="F813">
        <v>0</v>
      </c>
      <c r="G813" t="str" cm="1">
        <f t="array" ref="G813">IFERROR(INDEX(ReferenceCard, MATCH(1, (INDEX(ReferenceCard,,1)=Table1[[#This Row],[SAP No]]) * (INDEX(ReferenceCard,,2)=Table1[[#This Row],[Mould No]]), 0), 3),)</f>
        <v>BC28-1200-K-R-CL</v>
      </c>
      <c r="H813">
        <v>0</v>
      </c>
      <c r="I813" cm="1">
        <f t="array" ref="I813">IFERROR(INDEX(ReferenceCard, MATCH(1, (INDEX(ReferenceCard,,1)=Table1[[#This Row],[SAP No]]) * (INDEX(ReferenceCard,,2)=Table1[[#This Row],[Mould No]]), 0), 4),)</f>
        <v>4</v>
      </c>
      <c r="J813" s="4" cm="1">
        <f t="array" ref="J813">IFERROR(INDEX(ReferenceCard, MATCH(1, (INDEX(ReferenceCard,,1)=Table1[[#This Row],[SAP No]]) * (INDEX(ReferenceCard,,2)=Table1[[#This Row],[Mould No]]), 0), 9),)</f>
        <v>55</v>
      </c>
      <c r="K813" s="4" cm="1">
        <f t="array" ref="K813">IFERROR(INDEX(ReferenceCard, MATCH(1, (INDEX(ReferenceCard,,1)=Table1[[#This Row],[SAP No]]) * (INDEX(ReferenceCard,,2)=Table1[[#This Row],[Mould No]]), 0), 7),)</f>
        <v>55</v>
      </c>
      <c r="L813">
        <v>0</v>
      </c>
      <c r="M813">
        <v>0</v>
      </c>
      <c r="N813">
        <v>0</v>
      </c>
      <c r="O813">
        <v>0</v>
      </c>
      <c r="P813">
        <f>Table1[[#This Row],[Shot]]*Table1[[#This Row],[Cav]]</f>
        <v>0</v>
      </c>
      <c r="Q813">
        <v>0</v>
      </c>
      <c r="R813">
        <f>(Table1[[#This Row],[Part Weight (gm)]]*Table1[[#This Row],[Finish Good]])/1000</f>
        <v>0</v>
      </c>
      <c r="S813">
        <v>0</v>
      </c>
      <c r="T813">
        <f>IF(Table1[[#This Row],[Qty Order]]="Sample","-",IF(Table1[[#This Row],[Qty Order]]="RTFN","-",Table1[[#This Row],[Qty Order]]-Table1[[#This Row],[Qty Accumulate]]))</f>
        <v>0</v>
      </c>
      <c r="U813">
        <f>((Table1[[#This Row],[Shift Output]]*Table1[[#This Row],[Part Weight (gm)]])/1000)+Table1[[#This Row],[Reject Startup (kg)]]+Table1[[#This Row],[Reject Purging (kg)]]+Table1[[#This Row],[Reject Preform (kg)]]</f>
        <v>0</v>
      </c>
      <c r="V813" s="37">
        <f>(Table1[[#This Row],[Gross Weight (gm)]]-Table1[[#This Row],[Part Weight (gm)]])*Table1[[#This Row],[Shift Output]]/1000</f>
        <v>0</v>
      </c>
      <c r="W813" s="3">
        <v>0</v>
      </c>
      <c r="X813" s="36" t="e">
        <f>Table1[[#This Row],[Reject Startup (kg)]]/Table1[[#This Row],[Material Used]]</f>
        <v>#DIV/0!</v>
      </c>
      <c r="Y813" s="3">
        <v>0</v>
      </c>
      <c r="Z813" s="36" t="e">
        <f>Table1[[#This Row],[Reject Prod (kg)]]/Table1[[#This Row],[Material Used]]</f>
        <v>#DIV/0!</v>
      </c>
      <c r="AA813" s="4">
        <v>0</v>
      </c>
      <c r="AB813" s="5">
        <v>0</v>
      </c>
      <c r="AC813" s="4" cm="1">
        <f t="array" ref="AC813">IFERROR(INDEX(ReferenceCard, MATCH(1, (INDEX(ReferenceCard,,1)=Table1[[#This Row],[SAP No]]) * (INDEX(ReferenceCard,,2)=Table1[[#This Row],[Mould No]]), 0), 9),)</f>
        <v>55</v>
      </c>
      <c r="AD813" s="5">
        <v>0</v>
      </c>
      <c r="AE813" s="5">
        <v>0</v>
      </c>
      <c r="AF813" s="5">
        <v>0</v>
      </c>
      <c r="AG813" s="5">
        <v>12</v>
      </c>
      <c r="AH813" s="5">
        <v>0</v>
      </c>
      <c r="AI813" s="5">
        <v>0</v>
      </c>
      <c r="AJ813" s="5">
        <v>0</v>
      </c>
      <c r="AK813" t="s">
        <v>205</v>
      </c>
      <c r="AL813" s="2"/>
      <c r="AM813" s="2"/>
      <c r="AN813" s="3">
        <v>0</v>
      </c>
      <c r="AO813" s="3">
        <v>0</v>
      </c>
      <c r="AP81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14" spans="1:42" x14ac:dyDescent="0.35">
      <c r="A814" s="1">
        <v>45996</v>
      </c>
      <c r="B814">
        <v>2</v>
      </c>
      <c r="C814" t="s">
        <v>35</v>
      </c>
      <c r="D814" t="str" cm="1">
        <f t="array" ref="D814">IFERROR(INDEX(ReferenceCard, MATCH(1, (INDEX(ReferenceCard,,1)=Table1[[#This Row],[SAP No]]) * (INDEX(ReferenceCard,,2)=Table1[[#This Row],[Mould No]]), 0), 6),)</f>
        <v>PPSB520Y</v>
      </c>
      <c r="E814">
        <v>552181</v>
      </c>
      <c r="F814">
        <v>1</v>
      </c>
      <c r="G814" t="str" cm="1">
        <f t="array" ref="G814">IFERROR(INDEX(ReferenceCard, MATCH(1, (INDEX(ReferenceCard,,1)=Table1[[#This Row],[SAP No]]) * (INDEX(ReferenceCard,,2)=Table1[[#This Row],[Mould No]]), 0), 3),)</f>
        <v>BC28-0090-D-APH-5180-3538-PP-6 NOTCHES-MOLD1</v>
      </c>
      <c r="H814">
        <v>0</v>
      </c>
      <c r="I814" cm="1">
        <f t="array" ref="I814">IFERROR(INDEX(ReferenceCard, MATCH(1, (INDEX(ReferenceCard,,1)=Table1[[#This Row],[SAP No]]) * (INDEX(ReferenceCard,,2)=Table1[[#This Row],[Mould No]]), 0), 4),)</f>
        <v>6</v>
      </c>
      <c r="J814" s="4" cm="1">
        <f t="array" ref="J814">IFERROR(INDEX(ReferenceCard, MATCH(1, (INDEX(ReferenceCard,,1)=Table1[[#This Row],[SAP No]]) * (INDEX(ReferenceCard,,2)=Table1[[#This Row],[Mould No]]), 0), 9),)</f>
        <v>18.8</v>
      </c>
      <c r="K814" s="4" cm="1">
        <f t="array" ref="K814">IFERROR(INDEX(ReferenceCard, MATCH(1, (INDEX(ReferenceCard,,1)=Table1[[#This Row],[SAP No]]) * (INDEX(ReferenceCard,,2)=Table1[[#This Row],[Mould No]]), 0), 7),)</f>
        <v>18.8</v>
      </c>
      <c r="L814">
        <v>1346</v>
      </c>
      <c r="M814">
        <v>0</v>
      </c>
      <c r="N814">
        <v>0</v>
      </c>
      <c r="O814">
        <v>0</v>
      </c>
      <c r="P814">
        <f>Table1[[#This Row],[Shot]]*Table1[[#This Row],[Cav]]</f>
        <v>8076</v>
      </c>
      <c r="Q814">
        <v>0</v>
      </c>
      <c r="R814">
        <f>(Table1[[#This Row],[Part Weight (gm)]]*Table1[[#This Row],[Finish Good]])/1000</f>
        <v>0</v>
      </c>
      <c r="S814">
        <v>0</v>
      </c>
      <c r="T814">
        <f>IF(Table1[[#This Row],[Qty Order]]="Sample","-",IF(Table1[[#This Row],[Qty Order]]="RTFN","-",Table1[[#This Row],[Qty Order]]-Table1[[#This Row],[Qty Accumulate]]))</f>
        <v>0</v>
      </c>
      <c r="U814">
        <f>((Table1[[#This Row],[Shift Output]]*Table1[[#This Row],[Part Weight (gm)]])/1000)+Table1[[#This Row],[Reject Startup (kg)]]+Table1[[#This Row],[Reject Purging (kg)]]+Table1[[#This Row],[Reject Preform (kg)]]</f>
        <v>151.82880000000003</v>
      </c>
      <c r="V814" s="37">
        <f>(Table1[[#This Row],[Gross Weight (gm)]]-Table1[[#This Row],[Part Weight (gm)]])*Table1[[#This Row],[Shift Output]]/1000</f>
        <v>0</v>
      </c>
      <c r="W814" s="3">
        <v>0</v>
      </c>
      <c r="X814" s="36">
        <f>Table1[[#This Row],[Reject Startup (kg)]]/Table1[[#This Row],[Material Used]]</f>
        <v>0</v>
      </c>
      <c r="Y814" s="3">
        <v>1</v>
      </c>
      <c r="Z814" s="36">
        <f>Table1[[#This Row],[Reject Prod (kg)]]/Table1[[#This Row],[Material Used]]</f>
        <v>6.5863656960998161E-3</v>
      </c>
      <c r="AA814" s="4">
        <v>32.069080352783203</v>
      </c>
      <c r="AB814" s="5">
        <v>12</v>
      </c>
      <c r="AC814" s="4" cm="1">
        <f t="array" ref="AC814">IFERROR(INDEX(ReferenceCard, MATCH(1, (INDEX(ReferenceCard,,1)=Table1[[#This Row],[SAP No]]) * (INDEX(ReferenceCard,,2)=Table1[[#This Row],[Mould No]]), 0), 9),)</f>
        <v>18.8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L814" s="2"/>
      <c r="AM814" s="2"/>
      <c r="AN814" s="3">
        <v>0</v>
      </c>
      <c r="AO814" s="3">
        <v>0</v>
      </c>
      <c r="AP814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815" spans="1:42" x14ac:dyDescent="0.35">
      <c r="A815" s="1">
        <v>45996</v>
      </c>
      <c r="B815">
        <v>2</v>
      </c>
      <c r="C815" t="s">
        <v>18</v>
      </c>
      <c r="D815" t="str" cm="1">
        <f t="array" ref="D815">IFERROR(INDEX(ReferenceCard, MATCH(1, (INDEX(ReferenceCard,,1)=Table1[[#This Row],[SAP No]]) * (INDEX(ReferenceCard,,2)=Table1[[#This Row],[Mould No]]), 0), 6),)</f>
        <v>PPSB520Y</v>
      </c>
      <c r="E815">
        <v>555979</v>
      </c>
      <c r="F815">
        <v>4</v>
      </c>
      <c r="G815" t="str" cm="1">
        <f t="array" ref="G815">IFERROR(INDEX(ReferenceCard, MATCH(1, (INDEX(ReferenceCard,,1)=Table1[[#This Row],[SAP No]]) * (INDEX(ReferenceCard,,2)=Table1[[#This Row],[Mould No]]), 0), 3),)</f>
        <v>BC28-0170-D-APH-5180-3539-PP-6 NOTCHES-MOLD4</v>
      </c>
      <c r="H815">
        <v>0</v>
      </c>
      <c r="I815" cm="1">
        <f t="array" ref="I815">IFERROR(INDEX(ReferenceCard, MATCH(1, (INDEX(ReferenceCard,,1)=Table1[[#This Row],[SAP No]]) * (INDEX(ReferenceCard,,2)=Table1[[#This Row],[Mould No]]), 0), 4),)</f>
        <v>6</v>
      </c>
      <c r="J815" s="4" cm="1">
        <f t="array" ref="J815">IFERROR(INDEX(ReferenceCard, MATCH(1, (INDEX(ReferenceCard,,1)=Table1[[#This Row],[SAP No]]) * (INDEX(ReferenceCard,,2)=Table1[[#This Row],[Mould No]]), 0), 9),)</f>
        <v>28</v>
      </c>
      <c r="K815" s="4" cm="1">
        <f t="array" ref="K815">IFERROR(INDEX(ReferenceCard, MATCH(1, (INDEX(ReferenceCard,,1)=Table1[[#This Row],[SAP No]]) * (INDEX(ReferenceCard,,2)=Table1[[#This Row],[Mould No]]), 0), 7),)</f>
        <v>28</v>
      </c>
      <c r="L815">
        <v>929</v>
      </c>
      <c r="M815">
        <v>0</v>
      </c>
      <c r="N815">
        <v>0</v>
      </c>
      <c r="O815">
        <v>0</v>
      </c>
      <c r="P815">
        <f>Table1[[#This Row],[Shot]]*Table1[[#This Row],[Cav]]</f>
        <v>5574</v>
      </c>
      <c r="Q815">
        <v>0</v>
      </c>
      <c r="R815">
        <f>(Table1[[#This Row],[Part Weight (gm)]]*Table1[[#This Row],[Finish Good]])/1000</f>
        <v>0</v>
      </c>
      <c r="S815">
        <v>0</v>
      </c>
      <c r="T815">
        <f>IF(Table1[[#This Row],[Qty Order]]="Sample","-",IF(Table1[[#This Row],[Qty Order]]="RTFN","-",Table1[[#This Row],[Qty Order]]-Table1[[#This Row],[Qty Accumulate]]))</f>
        <v>0</v>
      </c>
      <c r="U815">
        <f>((Table1[[#This Row],[Shift Output]]*Table1[[#This Row],[Part Weight (gm)]])/1000)+Table1[[#This Row],[Reject Startup (kg)]]+Table1[[#This Row],[Reject Purging (kg)]]+Table1[[#This Row],[Reject Preform (kg)]]</f>
        <v>156.072</v>
      </c>
      <c r="V815" s="37">
        <f>(Table1[[#This Row],[Gross Weight (gm)]]-Table1[[#This Row],[Part Weight (gm)]])*Table1[[#This Row],[Shift Output]]/1000</f>
        <v>0</v>
      </c>
      <c r="W815" s="3">
        <v>0</v>
      </c>
      <c r="X815" s="36">
        <f>Table1[[#This Row],[Reject Startup (kg)]]/Table1[[#This Row],[Material Used]]</f>
        <v>0</v>
      </c>
      <c r="Y815" s="3">
        <v>19</v>
      </c>
      <c r="Z815" s="36">
        <f>Table1[[#This Row],[Reject Prod (kg)]]/Table1[[#This Row],[Material Used]]</f>
        <v>0.12173868470962119</v>
      </c>
      <c r="AA815" s="4">
        <v>43.5</v>
      </c>
      <c r="AB815" s="5">
        <v>12</v>
      </c>
      <c r="AC815" s="4" cm="1">
        <f t="array" ref="AC815">IFERROR(INDEX(ReferenceCard, MATCH(1, (INDEX(ReferenceCard,,1)=Table1[[#This Row],[SAP No]]) * (INDEX(ReferenceCard,,2)=Table1[[#This Row],[Mould No]]), 0), 9),)</f>
        <v>28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L815" s="2"/>
      <c r="AM815" s="2"/>
      <c r="AN815" s="3">
        <v>0</v>
      </c>
      <c r="AO815" s="3">
        <v>0</v>
      </c>
      <c r="AP815" s="6">
        <f>((Table1[[#This Row],[Reject Startup (kg)]]+Table1[[#This Row],[Reject Prod (kg)]]+Table1[[#This Row],[Reject Purging (kg)]]+Table1[[#This Row],[Reject Preform (kg)]])/Table1[[#This Row],[Part Weight (gm)]])*1000</f>
        <v>678.57142857142856</v>
      </c>
    </row>
    <row r="816" spans="1:42" x14ac:dyDescent="0.35">
      <c r="A816" s="1">
        <v>45996</v>
      </c>
      <c r="B816">
        <v>1</v>
      </c>
      <c r="C816" t="s">
        <v>18</v>
      </c>
      <c r="D816" t="str" cm="1">
        <f t="array" ref="D816">IFERROR(INDEX(ReferenceCard, MATCH(1, (INDEX(ReferenceCard,,1)=Table1[[#This Row],[SAP No]]) * (INDEX(ReferenceCard,,2)=Table1[[#This Row],[Mould No]]), 0), 6),)</f>
        <v>PPSB520Y</v>
      </c>
      <c r="E816">
        <v>555979</v>
      </c>
      <c r="F816">
        <v>4</v>
      </c>
      <c r="G816" t="str" cm="1">
        <f t="array" ref="G816">IFERROR(INDEX(ReferenceCard, MATCH(1, (INDEX(ReferenceCard,,1)=Table1[[#This Row],[SAP No]]) * (INDEX(ReferenceCard,,2)=Table1[[#This Row],[Mould No]]), 0), 3),)</f>
        <v>BC28-0170-D-APH-5180-3539-PP-6 NOTCHES-MOLD4</v>
      </c>
      <c r="H816">
        <v>0</v>
      </c>
      <c r="I816" cm="1">
        <f t="array" ref="I816">IFERROR(INDEX(ReferenceCard, MATCH(1, (INDEX(ReferenceCard,,1)=Table1[[#This Row],[SAP No]]) * (INDEX(ReferenceCard,,2)=Table1[[#This Row],[Mould No]]), 0), 4),)</f>
        <v>6</v>
      </c>
      <c r="J816" s="4" cm="1">
        <f t="array" ref="J816">IFERROR(INDEX(ReferenceCard, MATCH(1, (INDEX(ReferenceCard,,1)=Table1[[#This Row],[SAP No]]) * (INDEX(ReferenceCard,,2)=Table1[[#This Row],[Mould No]]), 0), 9),)</f>
        <v>28</v>
      </c>
      <c r="K816" s="4" cm="1">
        <f t="array" ref="K816">IFERROR(INDEX(ReferenceCard, MATCH(1, (INDEX(ReferenceCard,,1)=Table1[[#This Row],[SAP No]]) * (INDEX(ReferenceCard,,2)=Table1[[#This Row],[Mould No]]), 0), 7),)</f>
        <v>28</v>
      </c>
      <c r="L816">
        <v>1000</v>
      </c>
      <c r="M816">
        <v>0</v>
      </c>
      <c r="N816">
        <v>0</v>
      </c>
      <c r="O816">
        <v>0</v>
      </c>
      <c r="P816">
        <f>Table1[[#This Row],[Shot]]*Table1[[#This Row],[Cav]]</f>
        <v>6000</v>
      </c>
      <c r="Q816">
        <v>0</v>
      </c>
      <c r="R816">
        <f>(Table1[[#This Row],[Part Weight (gm)]]*Table1[[#This Row],[Finish Good]])/1000</f>
        <v>0</v>
      </c>
      <c r="S816">
        <v>0</v>
      </c>
      <c r="T816">
        <f>IF(Table1[[#This Row],[Qty Order]]="Sample","-",IF(Table1[[#This Row],[Qty Order]]="RTFN","-",Table1[[#This Row],[Qty Order]]-Table1[[#This Row],[Qty Accumulate]]))</f>
        <v>0</v>
      </c>
      <c r="U816">
        <f>((Table1[[#This Row],[Shift Output]]*Table1[[#This Row],[Part Weight (gm)]])/1000)+Table1[[#This Row],[Reject Startup (kg)]]+Table1[[#This Row],[Reject Purging (kg)]]+Table1[[#This Row],[Reject Preform (kg)]]</f>
        <v>174</v>
      </c>
      <c r="V816" s="37">
        <f>(Table1[[#This Row],[Gross Weight (gm)]]-Table1[[#This Row],[Part Weight (gm)]])*Table1[[#This Row],[Shift Output]]/1000</f>
        <v>0</v>
      </c>
      <c r="W816" s="3">
        <v>0</v>
      </c>
      <c r="X816" s="36">
        <f>Table1[[#This Row],[Reject Startup (kg)]]/Table1[[#This Row],[Material Used]]</f>
        <v>0</v>
      </c>
      <c r="Y816" s="3">
        <v>2</v>
      </c>
      <c r="Z816" s="36">
        <f>Table1[[#This Row],[Reject Prod (kg)]]/Table1[[#This Row],[Material Used]]</f>
        <v>1.1494252873563218E-2</v>
      </c>
      <c r="AA816" s="4">
        <v>43.5</v>
      </c>
      <c r="AB816" s="5">
        <v>12</v>
      </c>
      <c r="AC816" s="4" cm="1">
        <f t="array" ref="AC816">IFERROR(INDEX(ReferenceCard, MATCH(1, (INDEX(ReferenceCard,,1)=Table1[[#This Row],[SAP No]]) * (INDEX(ReferenceCard,,2)=Table1[[#This Row],[Mould No]]), 0), 9),)</f>
        <v>28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L816" s="2"/>
      <c r="AM816" s="2"/>
      <c r="AN816" s="3">
        <v>3.5</v>
      </c>
      <c r="AO816" s="3">
        <v>2.5</v>
      </c>
      <c r="AP816" s="6">
        <f>((Table1[[#This Row],[Reject Startup (kg)]]+Table1[[#This Row],[Reject Prod (kg)]]+Table1[[#This Row],[Reject Purging (kg)]]+Table1[[#This Row],[Reject Preform (kg)]])/Table1[[#This Row],[Part Weight (gm)]])*1000</f>
        <v>285.71428571428572</v>
      </c>
    </row>
    <row r="817" spans="1:42" x14ac:dyDescent="0.35">
      <c r="A817" s="1">
        <v>45996</v>
      </c>
      <c r="B817">
        <v>1</v>
      </c>
      <c r="C817" t="s">
        <v>0</v>
      </c>
      <c r="D817" t="str" cm="1">
        <f t="array" ref="D817">IFERROR(INDEX(ReferenceCard, MATCH(1, (INDEX(ReferenceCard,,1)=Table1[[#This Row],[SAP No]]) * (INDEX(ReferenceCard,,2)=Table1[[#This Row],[Mould No]]), 0), 6),)</f>
        <v>PET</v>
      </c>
      <c r="E817">
        <v>369308</v>
      </c>
      <c r="F817">
        <v>0</v>
      </c>
      <c r="G817" t="str" cm="1">
        <f t="array" ref="G817">IFERROR(INDEX(ReferenceCard, MATCH(1, (INDEX(ReferenceCard,,1)=Table1[[#This Row],[SAP No]]) * (INDEX(ReferenceCard,,2)=Table1[[#This Row],[Mould No]]), 0), 3),)</f>
        <v>BW38-0280-LS-R-RED</v>
      </c>
      <c r="H817">
        <v>0</v>
      </c>
      <c r="I817" cm="1">
        <f t="array" ref="I817">IFERROR(INDEX(ReferenceCard, MATCH(1, (INDEX(ReferenceCard,,1)=Table1[[#This Row],[SAP No]]) * (INDEX(ReferenceCard,,2)=Table1[[#This Row],[Mould No]]), 0), 4),)</f>
        <v>4</v>
      </c>
      <c r="J817" s="4" cm="1">
        <f t="array" ref="J817">IFERROR(INDEX(ReferenceCard, MATCH(1, (INDEX(ReferenceCard,,1)=Table1[[#This Row],[SAP No]]) * (INDEX(ReferenceCard,,2)=Table1[[#This Row],[Mould No]]), 0), 9),)</f>
        <v>31</v>
      </c>
      <c r="K817" s="4" cm="1">
        <f t="array" ref="K817">IFERROR(INDEX(ReferenceCard, MATCH(1, (INDEX(ReferenceCard,,1)=Table1[[#This Row],[SAP No]]) * (INDEX(ReferenceCard,,2)=Table1[[#This Row],[Mould No]]), 0), 7),)</f>
        <v>31</v>
      </c>
      <c r="L817">
        <v>2338</v>
      </c>
      <c r="M817">
        <v>0</v>
      </c>
      <c r="N817">
        <v>0</v>
      </c>
      <c r="O817">
        <v>0</v>
      </c>
      <c r="P817">
        <f>Table1[[#This Row],[Shot]]*Table1[[#This Row],[Cav]]</f>
        <v>9352</v>
      </c>
      <c r="Q817">
        <v>0</v>
      </c>
      <c r="R817">
        <f>(Table1[[#This Row],[Part Weight (gm)]]*Table1[[#This Row],[Finish Good]])/1000</f>
        <v>0</v>
      </c>
      <c r="S817">
        <v>0</v>
      </c>
      <c r="T817">
        <f>IF(Table1[[#This Row],[Qty Order]]="Sample","-",IF(Table1[[#This Row],[Qty Order]]="RTFN","-",Table1[[#This Row],[Qty Order]]-Table1[[#This Row],[Qty Accumulate]]))</f>
        <v>0</v>
      </c>
      <c r="U817">
        <f>((Table1[[#This Row],[Shift Output]]*Table1[[#This Row],[Part Weight (gm)]])/1000)+Table1[[#This Row],[Reject Startup (kg)]]+Table1[[#This Row],[Reject Purging (kg)]]+Table1[[#This Row],[Reject Preform (kg)]]</f>
        <v>289.91199999999998</v>
      </c>
      <c r="V817" s="37">
        <f>(Table1[[#This Row],[Gross Weight (gm)]]-Table1[[#This Row],[Part Weight (gm)]])*Table1[[#This Row],[Shift Output]]/1000</f>
        <v>0</v>
      </c>
      <c r="W817" s="3">
        <v>0</v>
      </c>
      <c r="X817" s="36">
        <f>Table1[[#This Row],[Reject Startup (kg)]]/Table1[[#This Row],[Material Used]]</f>
        <v>0</v>
      </c>
      <c r="Y817" s="3">
        <v>1</v>
      </c>
      <c r="Z817" s="36">
        <f>Table1[[#This Row],[Reject Prod (kg)]]/Table1[[#This Row],[Material Used]]</f>
        <v>3.4493225530505809E-3</v>
      </c>
      <c r="AA817" s="4">
        <v>31.2321243286132</v>
      </c>
      <c r="AB817" s="5">
        <v>11.99</v>
      </c>
      <c r="AC817" s="4" cm="1">
        <f t="array" ref="AC817">IFERROR(INDEX(ReferenceCard, MATCH(1, (INDEX(ReferenceCard,,1)=Table1[[#This Row],[SAP No]]) * (INDEX(ReferenceCard,,2)=Table1[[#This Row],[Mould No]]), 0), 9),)</f>
        <v>31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L817" s="2"/>
      <c r="AM817" s="2"/>
      <c r="AN817" s="3">
        <v>0</v>
      </c>
      <c r="AO817" s="3">
        <v>0</v>
      </c>
      <c r="AP817" s="6">
        <f>((Table1[[#This Row],[Reject Startup (kg)]]+Table1[[#This Row],[Reject Prod (kg)]]+Table1[[#This Row],[Reject Purging (kg)]]+Table1[[#This Row],[Reject Preform (kg)]])/Table1[[#This Row],[Part Weight (gm)]])*1000</f>
        <v>32.258064516129032</v>
      </c>
    </row>
    <row r="818" spans="1:42" x14ac:dyDescent="0.35">
      <c r="A818" s="1">
        <v>45996</v>
      </c>
      <c r="B818">
        <v>1</v>
      </c>
      <c r="C818" t="s">
        <v>3</v>
      </c>
      <c r="D818" t="str" cm="1">
        <f t="array" ref="D818">IFERROR(INDEX(ReferenceCard, MATCH(1, (INDEX(ReferenceCard,,1)=Table1[[#This Row],[SAP No]]) * (INDEX(ReferenceCard,,2)=Table1[[#This Row],[Mould No]]), 0), 6),)</f>
        <v>PET</v>
      </c>
      <c r="E818">
        <v>324163</v>
      </c>
      <c r="F818">
        <v>0</v>
      </c>
      <c r="G818" t="str" cm="1">
        <f t="array" ref="G818">IFERROR(INDEX(ReferenceCard, MATCH(1, (INDEX(ReferenceCard,,1)=Table1[[#This Row],[SAP No]]) * (INDEX(ReferenceCard,,2)=Table1[[#This Row],[Mould No]]), 0), 3),)</f>
        <v>BC28-0265-A-Q-CL</v>
      </c>
      <c r="H818">
        <v>0</v>
      </c>
      <c r="I818" cm="1">
        <f t="array" ref="I818">IFERROR(INDEX(ReferenceCard, MATCH(1, (INDEX(ReferenceCard,,1)=Table1[[#This Row],[SAP No]]) * (INDEX(ReferenceCard,,2)=Table1[[#This Row],[Mould No]]), 0), 4),)</f>
        <v>4</v>
      </c>
      <c r="J818" s="4" cm="1">
        <f t="array" ref="J818">IFERROR(INDEX(ReferenceCard, MATCH(1, (INDEX(ReferenceCard,,1)=Table1[[#This Row],[SAP No]]) * (INDEX(ReferenceCard,,2)=Table1[[#This Row],[Mould No]]), 0), 9),)</f>
        <v>24</v>
      </c>
      <c r="K818" s="4" cm="1">
        <f t="array" ref="K818">IFERROR(INDEX(ReferenceCard, MATCH(1, (INDEX(ReferenceCard,,1)=Table1[[#This Row],[SAP No]]) * (INDEX(ReferenceCard,,2)=Table1[[#This Row],[Mould No]]), 0), 7),)</f>
        <v>23.5</v>
      </c>
      <c r="L818">
        <v>2</v>
      </c>
      <c r="M818">
        <v>0</v>
      </c>
      <c r="N818">
        <v>0</v>
      </c>
      <c r="O818">
        <v>0</v>
      </c>
      <c r="P818">
        <f>Table1[[#This Row],[Shot]]*Table1[[#This Row],[Cav]]</f>
        <v>8</v>
      </c>
      <c r="Q818">
        <v>0</v>
      </c>
      <c r="R818">
        <f>(Table1[[#This Row],[Part Weight (gm)]]*Table1[[#This Row],[Finish Good]])/1000</f>
        <v>0</v>
      </c>
      <c r="S818">
        <v>0</v>
      </c>
      <c r="T818">
        <f>IF(Table1[[#This Row],[Qty Order]]="Sample","-",IF(Table1[[#This Row],[Qty Order]]="RTFN","-",Table1[[#This Row],[Qty Order]]-Table1[[#This Row],[Qty Accumulate]]))</f>
        <v>0</v>
      </c>
      <c r="U818">
        <f>((Table1[[#This Row],[Shift Output]]*Table1[[#This Row],[Part Weight (gm)]])/1000)+Table1[[#This Row],[Reject Startup (kg)]]+Table1[[#This Row],[Reject Purging (kg)]]+Table1[[#This Row],[Reject Preform (kg)]]</f>
        <v>0.188</v>
      </c>
      <c r="V818" s="37">
        <f>(Table1[[#This Row],[Gross Weight (gm)]]-Table1[[#This Row],[Part Weight (gm)]])*Table1[[#This Row],[Shift Output]]/1000</f>
        <v>4.0000000000000001E-3</v>
      </c>
      <c r="W818" s="3">
        <v>0</v>
      </c>
      <c r="X818" s="36">
        <f>Table1[[#This Row],[Reject Startup (kg)]]/Table1[[#This Row],[Material Used]]</f>
        <v>0</v>
      </c>
      <c r="Y818" s="3">
        <v>0</v>
      </c>
      <c r="Z818" s="36">
        <f>Table1[[#This Row],[Reject Prod (kg)]]/Table1[[#This Row],[Material Used]]</f>
        <v>0</v>
      </c>
      <c r="AA818" s="4">
        <v>0</v>
      </c>
      <c r="AB818" s="5">
        <v>0</v>
      </c>
      <c r="AC818" s="4" cm="1">
        <f t="array" ref="AC818">IFERROR(INDEX(ReferenceCard, MATCH(1, (INDEX(ReferenceCard,,1)=Table1[[#This Row],[SAP No]]) * (INDEX(ReferenceCard,,2)=Table1[[#This Row],[Mould No]]), 0), 9),)</f>
        <v>24</v>
      </c>
      <c r="AD818" s="5">
        <v>0</v>
      </c>
      <c r="AE818" s="5">
        <v>11.99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t="s">
        <v>206</v>
      </c>
      <c r="AL818" s="2" t="s">
        <v>207</v>
      </c>
      <c r="AM818" s="2"/>
      <c r="AN818" s="3"/>
      <c r="AO818" s="3">
        <v>0</v>
      </c>
      <c r="AP81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19" spans="1:42" x14ac:dyDescent="0.35">
      <c r="A819" s="1">
        <v>45996</v>
      </c>
      <c r="B819">
        <v>1</v>
      </c>
      <c r="C819" t="s">
        <v>5</v>
      </c>
      <c r="D819" t="str" cm="1">
        <f t="array" ref="D819">IFERROR(INDEX(ReferenceCard, MATCH(1, (INDEX(ReferenceCard,,1)=Table1[[#This Row],[SAP No]]) * (INDEX(ReferenceCard,,2)=Table1[[#This Row],[Mould No]]), 0), 6),)</f>
        <v>PET</v>
      </c>
      <c r="E819">
        <v>543590</v>
      </c>
      <c r="F819">
        <v>0</v>
      </c>
      <c r="G819" t="str" cm="1">
        <f t="array" ref="G819">IFERROR(INDEX(ReferenceCard, MATCH(1, (INDEX(ReferenceCard,,1)=Table1[[#This Row],[SAP No]]) * (INDEX(ReferenceCard,,2)=Table1[[#This Row],[Mould No]]), 0), 3),)</f>
        <v>BC28-0130-R-R-AM</v>
      </c>
      <c r="H819">
        <v>0</v>
      </c>
      <c r="I819" cm="1">
        <f t="array" ref="I819">IFERROR(INDEX(ReferenceCard, MATCH(1, (INDEX(ReferenceCard,,1)=Table1[[#This Row],[SAP No]]) * (INDEX(ReferenceCard,,2)=Table1[[#This Row],[Mould No]]), 0), 4),)</f>
        <v>4</v>
      </c>
      <c r="J819" s="4" cm="1">
        <f t="array" ref="J819">IFERROR(INDEX(ReferenceCard, MATCH(1, (INDEX(ReferenceCard,,1)=Table1[[#This Row],[SAP No]]) * (INDEX(ReferenceCard,,2)=Table1[[#This Row],[Mould No]]), 0), 9),)</f>
        <v>19</v>
      </c>
      <c r="K819" s="4" cm="1">
        <f t="array" ref="K819">IFERROR(INDEX(ReferenceCard, MATCH(1, (INDEX(ReferenceCard,,1)=Table1[[#This Row],[SAP No]]) * (INDEX(ReferenceCard,,2)=Table1[[#This Row],[Mould No]]), 0), 7),)</f>
        <v>19</v>
      </c>
      <c r="L819">
        <v>3294</v>
      </c>
      <c r="M819">
        <v>0</v>
      </c>
      <c r="N819">
        <v>0</v>
      </c>
      <c r="O819">
        <v>0</v>
      </c>
      <c r="P819">
        <f>Table1[[#This Row],[Shot]]*Table1[[#This Row],[Cav]]</f>
        <v>13176</v>
      </c>
      <c r="Q819">
        <v>0</v>
      </c>
      <c r="R819">
        <f>(Table1[[#This Row],[Part Weight (gm)]]*Table1[[#This Row],[Finish Good]])/1000</f>
        <v>0</v>
      </c>
      <c r="S819">
        <v>0</v>
      </c>
      <c r="T819">
        <f>IF(Table1[[#This Row],[Qty Order]]="Sample","-",IF(Table1[[#This Row],[Qty Order]]="RTFN","-",Table1[[#This Row],[Qty Order]]-Table1[[#This Row],[Qty Accumulate]]))</f>
        <v>0</v>
      </c>
      <c r="U819">
        <f>((Table1[[#This Row],[Shift Output]]*Table1[[#This Row],[Part Weight (gm)]])/1000)+Table1[[#This Row],[Reject Startup (kg)]]+Table1[[#This Row],[Reject Purging (kg)]]+Table1[[#This Row],[Reject Preform (kg)]]</f>
        <v>250.34399999999999</v>
      </c>
      <c r="V819" s="37">
        <f>(Table1[[#This Row],[Gross Weight (gm)]]-Table1[[#This Row],[Part Weight (gm)]])*Table1[[#This Row],[Shift Output]]/1000</f>
        <v>0</v>
      </c>
      <c r="W819" s="3">
        <v>0</v>
      </c>
      <c r="X819" s="36">
        <f>Table1[[#This Row],[Reject Startup (kg)]]/Table1[[#This Row],[Material Used]]</f>
        <v>0</v>
      </c>
      <c r="Y819" s="3">
        <v>4</v>
      </c>
      <c r="Z819" s="36">
        <f>Table1[[#This Row],[Reject Prod (kg)]]/Table1[[#This Row],[Material Used]]</f>
        <v>1.5978014252388713E-2</v>
      </c>
      <c r="AA819" s="4">
        <v>22.168991088867099</v>
      </c>
      <c r="AB819" s="5">
        <v>11.99</v>
      </c>
      <c r="AC819" s="4" cm="1">
        <f t="array" ref="AC819">IFERROR(INDEX(ReferenceCard, MATCH(1, (INDEX(ReferenceCard,,1)=Table1[[#This Row],[SAP No]]) * (INDEX(ReferenceCard,,2)=Table1[[#This Row],[Mould No]]), 0), 9),)</f>
        <v>19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L819" s="2"/>
      <c r="AM819" s="2"/>
      <c r="AN819" s="3">
        <v>0</v>
      </c>
      <c r="AO819" s="3">
        <v>0</v>
      </c>
      <c r="AP819" s="6">
        <f>((Table1[[#This Row],[Reject Startup (kg)]]+Table1[[#This Row],[Reject Prod (kg)]]+Table1[[#This Row],[Reject Purging (kg)]]+Table1[[#This Row],[Reject Preform (kg)]])/Table1[[#This Row],[Part Weight (gm)]])*1000</f>
        <v>210.52631578947367</v>
      </c>
    </row>
    <row r="820" spans="1:42" x14ac:dyDescent="0.35">
      <c r="A820" s="1">
        <v>45996</v>
      </c>
      <c r="B820">
        <v>1</v>
      </c>
      <c r="C820" t="s">
        <v>7</v>
      </c>
      <c r="D820" t="str" cm="1">
        <f t="array" ref="D820">IFERROR(INDEX(ReferenceCard, MATCH(1, (INDEX(ReferenceCard,,1)=Table1[[#This Row],[SAP No]]) * (INDEX(ReferenceCard,,2)=Table1[[#This Row],[Mould No]]), 0), 6),)</f>
        <v>PET</v>
      </c>
      <c r="E820">
        <v>426555</v>
      </c>
      <c r="F820">
        <v>0</v>
      </c>
      <c r="G820" t="str" cm="1">
        <f t="array" ref="G820">IFERROR(INDEX(ReferenceCard, MATCH(1, (INDEX(ReferenceCard,,1)=Table1[[#This Row],[SAP No]]) * (INDEX(ReferenceCard,,2)=Table1[[#This Row],[Mould No]]), 0), 3),)</f>
        <v>BX38-0330-Z-S-CL-HW</v>
      </c>
      <c r="H820">
        <v>0</v>
      </c>
      <c r="I820" cm="1">
        <f t="array" ref="I820">IFERROR(INDEX(ReferenceCard, MATCH(1, (INDEX(ReferenceCard,,1)=Table1[[#This Row],[SAP No]]) * (INDEX(ReferenceCard,,2)=Table1[[#This Row],[Mould No]]), 0), 4),)</f>
        <v>4</v>
      </c>
      <c r="J820" s="4" cm="1">
        <f t="array" ref="J820">IFERROR(INDEX(ReferenceCard, MATCH(1, (INDEX(ReferenceCard,,1)=Table1[[#This Row],[SAP No]]) * (INDEX(ReferenceCard,,2)=Table1[[#This Row],[Mould No]]), 0), 9),)</f>
        <v>29</v>
      </c>
      <c r="K820" s="4" cm="1">
        <f t="array" ref="K820">IFERROR(INDEX(ReferenceCard, MATCH(1, (INDEX(ReferenceCard,,1)=Table1[[#This Row],[SAP No]]) * (INDEX(ReferenceCard,,2)=Table1[[#This Row],[Mould No]]), 0), 7),)</f>
        <v>29</v>
      </c>
      <c r="L820">
        <v>1492</v>
      </c>
      <c r="M820">
        <v>0</v>
      </c>
      <c r="N820">
        <v>0</v>
      </c>
      <c r="O820">
        <v>0</v>
      </c>
      <c r="P820">
        <f>Table1[[#This Row],[Shot]]*Table1[[#This Row],[Cav]]</f>
        <v>5968</v>
      </c>
      <c r="Q820">
        <v>0</v>
      </c>
      <c r="R820">
        <f>(Table1[[#This Row],[Part Weight (gm)]]*Table1[[#This Row],[Finish Good]])/1000</f>
        <v>0</v>
      </c>
      <c r="S820">
        <v>0</v>
      </c>
      <c r="T820">
        <f>IF(Table1[[#This Row],[Qty Order]]="Sample","-",IF(Table1[[#This Row],[Qty Order]]="RTFN","-",Table1[[#This Row],[Qty Order]]-Table1[[#This Row],[Qty Accumulate]]))</f>
        <v>0</v>
      </c>
      <c r="U820">
        <f>((Table1[[#This Row],[Shift Output]]*Table1[[#This Row],[Part Weight (gm)]])/1000)+Table1[[#This Row],[Reject Startup (kg)]]+Table1[[#This Row],[Reject Purging (kg)]]+Table1[[#This Row],[Reject Preform (kg)]]</f>
        <v>173.072</v>
      </c>
      <c r="V820" s="37">
        <f>(Table1[[#This Row],[Gross Weight (gm)]]-Table1[[#This Row],[Part Weight (gm)]])*Table1[[#This Row],[Shift Output]]/1000</f>
        <v>0</v>
      </c>
      <c r="W820" s="3">
        <v>0</v>
      </c>
      <c r="X820" s="36">
        <f>Table1[[#This Row],[Reject Startup (kg)]]/Table1[[#This Row],[Material Used]]</f>
        <v>0</v>
      </c>
      <c r="Y820" s="3">
        <v>3</v>
      </c>
      <c r="Z820" s="36">
        <f>Table1[[#This Row],[Reject Prod (kg)]]/Table1[[#This Row],[Material Used]]</f>
        <v>1.7333826384394933E-2</v>
      </c>
      <c r="AA820" s="4">
        <v>25.325117111206001</v>
      </c>
      <c r="AB820" s="5">
        <v>0</v>
      </c>
      <c r="AC820" s="4" cm="1">
        <f t="array" ref="AC820">IFERROR(INDEX(ReferenceCard, MATCH(1, (INDEX(ReferenceCard,,1)=Table1[[#This Row],[SAP No]]) * (INDEX(ReferenceCard,,2)=Table1[[#This Row],[Mould No]]), 0), 9),)</f>
        <v>29</v>
      </c>
      <c r="AD820" s="5">
        <v>0</v>
      </c>
      <c r="AE820" s="5">
        <v>0</v>
      </c>
      <c r="AF820" s="5">
        <v>0</v>
      </c>
      <c r="AG820" s="5">
        <v>0</v>
      </c>
      <c r="AH820" s="5">
        <v>11.99</v>
      </c>
      <c r="AI820" s="5">
        <v>0</v>
      </c>
      <c r="AJ820" s="5">
        <v>0</v>
      </c>
      <c r="AK820" t="s">
        <v>208</v>
      </c>
      <c r="AL820" s="2"/>
      <c r="AM820" s="2"/>
      <c r="AN820" s="3">
        <v>0</v>
      </c>
      <c r="AO820" s="3">
        <v>0</v>
      </c>
      <c r="AP820" s="6">
        <f>((Table1[[#This Row],[Reject Startup (kg)]]+Table1[[#This Row],[Reject Prod (kg)]]+Table1[[#This Row],[Reject Purging (kg)]]+Table1[[#This Row],[Reject Preform (kg)]])/Table1[[#This Row],[Part Weight (gm)]])*1000</f>
        <v>103.44827586206897</v>
      </c>
    </row>
    <row r="821" spans="1:42" x14ac:dyDescent="0.35">
      <c r="A821" s="1">
        <v>45996</v>
      </c>
      <c r="B821">
        <v>1</v>
      </c>
      <c r="C821" t="s">
        <v>9</v>
      </c>
      <c r="D821" t="str" cm="1">
        <f t="array" ref="D821">IFERROR(INDEX(ReferenceCard, MATCH(1, (INDEX(ReferenceCard,,1)=Table1[[#This Row],[SAP No]]) * (INDEX(ReferenceCard,,2)=Table1[[#This Row],[Mould No]]), 0), 6),)</f>
        <v>rPET</v>
      </c>
      <c r="E821">
        <v>593537</v>
      </c>
      <c r="F821">
        <v>0</v>
      </c>
      <c r="G821" t="str" cm="1">
        <f t="array" ref="G821">IFERROR(INDEX(ReferenceCard, MATCH(1, (INDEX(ReferenceCard,,1)=Table1[[#This Row],[SAP No]]) * (INDEX(ReferenceCard,,2)=Table1[[#This Row],[Mould No]]), 0), 3),)</f>
        <v>BX38-1000-RN-R-CL-rPET</v>
      </c>
      <c r="H821">
        <v>0</v>
      </c>
      <c r="I821" cm="1">
        <f t="array" ref="I821">IFERROR(INDEX(ReferenceCard, MATCH(1, (INDEX(ReferenceCard,,1)=Table1[[#This Row],[SAP No]]) * (INDEX(ReferenceCard,,2)=Table1[[#This Row],[Mould No]]), 0), 4),)</f>
        <v>4</v>
      </c>
      <c r="J821" s="4" cm="1">
        <f t="array" ref="J821">IFERROR(INDEX(ReferenceCard, MATCH(1, (INDEX(ReferenceCard,,1)=Table1[[#This Row],[SAP No]]) * (INDEX(ReferenceCard,,2)=Table1[[#This Row],[Mould No]]), 0), 9),)</f>
        <v>56.5</v>
      </c>
      <c r="K821" s="4" cm="1">
        <f t="array" ref="K821">IFERROR(INDEX(ReferenceCard, MATCH(1, (INDEX(ReferenceCard,,1)=Table1[[#This Row],[SAP No]]) * (INDEX(ReferenceCard,,2)=Table1[[#This Row],[Mould No]]), 0), 7),)</f>
        <v>56.8</v>
      </c>
      <c r="L821">
        <v>7006</v>
      </c>
      <c r="M821">
        <v>0</v>
      </c>
      <c r="N821">
        <v>0</v>
      </c>
      <c r="O821">
        <v>0</v>
      </c>
      <c r="P821">
        <f>Table1[[#This Row],[Shot]]*Table1[[#This Row],[Cav]]</f>
        <v>28024</v>
      </c>
      <c r="Q821">
        <v>0</v>
      </c>
      <c r="R821">
        <f>(Table1[[#This Row],[Part Weight (gm)]]*Table1[[#This Row],[Finish Good]])/1000</f>
        <v>0</v>
      </c>
      <c r="S821">
        <v>0</v>
      </c>
      <c r="T821">
        <f>IF(Table1[[#This Row],[Qty Order]]="Sample","-",IF(Table1[[#This Row],[Qty Order]]="RTFN","-",Table1[[#This Row],[Qty Order]]-Table1[[#This Row],[Qty Accumulate]]))</f>
        <v>0</v>
      </c>
      <c r="U821">
        <f>((Table1[[#This Row],[Shift Output]]*Table1[[#This Row],[Part Weight (gm)]])/1000)+Table1[[#This Row],[Reject Startup (kg)]]+Table1[[#This Row],[Reject Purging (kg)]]+Table1[[#This Row],[Reject Preform (kg)]]</f>
        <v>1591.7631999999999</v>
      </c>
      <c r="V821" s="37">
        <f>(Table1[[#This Row],[Gross Weight (gm)]]-Table1[[#This Row],[Part Weight (gm)]])*Table1[[#This Row],[Shift Output]]/1000</f>
        <v>-8.4071999999999214</v>
      </c>
      <c r="W821" s="3">
        <v>0</v>
      </c>
      <c r="X821" s="36">
        <f>Table1[[#This Row],[Reject Startup (kg)]]/Table1[[#This Row],[Material Used]]</f>
        <v>0</v>
      </c>
      <c r="Y821" s="3">
        <v>10</v>
      </c>
      <c r="Z821" s="36">
        <f>Table1[[#This Row],[Reject Prod (kg)]]/Table1[[#This Row],[Material Used]]</f>
        <v>6.28234149401117E-3</v>
      </c>
      <c r="AA821" s="4">
        <v>28.440832138061499</v>
      </c>
      <c r="AB821" s="5">
        <v>11.3599999999999</v>
      </c>
      <c r="AC821" s="4" cm="1">
        <f t="array" ref="AC821">IFERROR(INDEX(ReferenceCard, MATCH(1, (INDEX(ReferenceCard,,1)=Table1[[#This Row],[SAP No]]) * (INDEX(ReferenceCard,,2)=Table1[[#This Row],[Mould No]]), 0), 9),)</f>
        <v>56.5</v>
      </c>
      <c r="AD821" s="5">
        <v>0</v>
      </c>
      <c r="AE821" s="5">
        <v>0</v>
      </c>
      <c r="AF821" s="5">
        <v>0</v>
      </c>
      <c r="AG821" s="5">
        <v>0</v>
      </c>
      <c r="AH821" s="5">
        <v>0.63</v>
      </c>
      <c r="AI821" s="5">
        <v>0</v>
      </c>
      <c r="AJ821" s="5">
        <v>0</v>
      </c>
      <c r="AL821" s="2"/>
      <c r="AM821" s="2"/>
      <c r="AN821" s="3">
        <v>0</v>
      </c>
      <c r="AO821" s="3">
        <v>0</v>
      </c>
      <c r="AP821" s="6">
        <f>((Table1[[#This Row],[Reject Startup (kg)]]+Table1[[#This Row],[Reject Prod (kg)]]+Table1[[#This Row],[Reject Purging (kg)]]+Table1[[#This Row],[Reject Preform (kg)]])/Table1[[#This Row],[Part Weight (gm)]])*1000</f>
        <v>176.05633802816902</v>
      </c>
    </row>
    <row r="822" spans="1:42" x14ac:dyDescent="0.35">
      <c r="A822" s="1">
        <v>45996</v>
      </c>
      <c r="B822">
        <v>1</v>
      </c>
      <c r="C822" t="s">
        <v>11</v>
      </c>
      <c r="D822" t="str" cm="1">
        <f t="array" ref="D822">IFERROR(INDEX(ReferenceCard, MATCH(1, (INDEX(ReferenceCard,,1)=Table1[[#This Row],[SAP No]]) * (INDEX(ReferenceCard,,2)=Table1[[#This Row],[Mould No]]), 0), 6),)</f>
        <v>rPET</v>
      </c>
      <c r="E822">
        <v>620994</v>
      </c>
      <c r="F822">
        <v>0</v>
      </c>
      <c r="G822" t="str" cm="1">
        <f t="array" ref="G822">IFERROR(INDEX(ReferenceCard, MATCH(1, (INDEX(ReferenceCard,,1)=Table1[[#This Row],[SAP No]]) * (INDEX(ReferenceCard,,2)=Table1[[#This Row],[Mould No]]), 0), 3),)</f>
        <v>JJ63-0400-SH-S-CL-rPET</v>
      </c>
      <c r="H822">
        <v>0</v>
      </c>
      <c r="I822" cm="1">
        <f t="array" ref="I822">IFERROR(INDEX(ReferenceCard, MATCH(1, (INDEX(ReferenceCard,,1)=Table1[[#This Row],[SAP No]]) * (INDEX(ReferenceCard,,2)=Table1[[#This Row],[Mould No]]), 0), 4),)</f>
        <v>4</v>
      </c>
      <c r="J822" s="4" cm="1">
        <f t="array" ref="J822">IFERROR(INDEX(ReferenceCard, MATCH(1, (INDEX(ReferenceCard,,1)=Table1[[#This Row],[SAP No]]) * (INDEX(ReferenceCard,,2)=Table1[[#This Row],[Mould No]]), 0), 9),)</f>
        <v>32.74</v>
      </c>
      <c r="K822" s="4" cm="1">
        <f t="array" ref="K822">IFERROR(INDEX(ReferenceCard, MATCH(1, (INDEX(ReferenceCard,,1)=Table1[[#This Row],[SAP No]]) * (INDEX(ReferenceCard,,2)=Table1[[#This Row],[Mould No]]), 0), 7),)</f>
        <v>33</v>
      </c>
      <c r="L822">
        <v>1458</v>
      </c>
      <c r="M822">
        <v>0</v>
      </c>
      <c r="N822">
        <v>0</v>
      </c>
      <c r="O822">
        <v>0</v>
      </c>
      <c r="P822">
        <f>Table1[[#This Row],[Shot]]*Table1[[#This Row],[Cav]]</f>
        <v>5832</v>
      </c>
      <c r="Q822">
        <v>0</v>
      </c>
      <c r="R822">
        <f>(Table1[[#This Row],[Part Weight (gm)]]*Table1[[#This Row],[Finish Good]])/1000</f>
        <v>0</v>
      </c>
      <c r="S822">
        <v>0</v>
      </c>
      <c r="T822">
        <f>IF(Table1[[#This Row],[Qty Order]]="Sample","-",IF(Table1[[#This Row],[Qty Order]]="RTFN","-",Table1[[#This Row],[Qty Order]]-Table1[[#This Row],[Qty Accumulate]]))</f>
        <v>0</v>
      </c>
      <c r="U822">
        <f>((Table1[[#This Row],[Shift Output]]*Table1[[#This Row],[Part Weight (gm)]])/1000)+Table1[[#This Row],[Reject Startup (kg)]]+Table1[[#This Row],[Reject Purging (kg)]]+Table1[[#This Row],[Reject Preform (kg)]]</f>
        <v>214.95599999999999</v>
      </c>
      <c r="V822" s="37">
        <f>(Table1[[#This Row],[Gross Weight (gm)]]-Table1[[#This Row],[Part Weight (gm)]])*Table1[[#This Row],[Shift Output]]/1000</f>
        <v>-1.5163199999999883</v>
      </c>
      <c r="W822" s="3">
        <v>18</v>
      </c>
      <c r="X822" s="36">
        <f>Table1[[#This Row],[Reject Startup (kg)]]/Table1[[#This Row],[Material Used]]</f>
        <v>8.3738067325406132E-2</v>
      </c>
      <c r="Y822" s="3">
        <v>1</v>
      </c>
      <c r="Z822" s="36">
        <f>Table1[[#This Row],[Reject Prod (kg)]]/Table1[[#This Row],[Material Used]]</f>
        <v>4.6521148514114515E-3</v>
      </c>
      <c r="AA822" s="4">
        <v>21.7467136383056</v>
      </c>
      <c r="AB822" s="5">
        <v>11.99</v>
      </c>
      <c r="AC822" s="4" cm="1">
        <f t="array" ref="AC822">IFERROR(INDEX(ReferenceCard, MATCH(1, (INDEX(ReferenceCard,,1)=Table1[[#This Row],[SAP No]]) * (INDEX(ReferenceCard,,2)=Table1[[#This Row],[Mould No]]), 0), 9),)</f>
        <v>32.74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L822" s="2"/>
      <c r="AM822" s="2"/>
      <c r="AN822" s="3">
        <v>3</v>
      </c>
      <c r="AO822" s="3">
        <v>1.5</v>
      </c>
      <c r="AP822" s="6">
        <f>((Table1[[#This Row],[Reject Startup (kg)]]+Table1[[#This Row],[Reject Prod (kg)]]+Table1[[#This Row],[Reject Purging (kg)]]+Table1[[#This Row],[Reject Preform (kg)]])/Table1[[#This Row],[Part Weight (gm)]])*1000</f>
        <v>712.12121212121212</v>
      </c>
    </row>
    <row r="823" spans="1:42" x14ac:dyDescent="0.35">
      <c r="A823" s="1">
        <v>45996</v>
      </c>
      <c r="B823">
        <v>1</v>
      </c>
      <c r="C823" t="s">
        <v>14</v>
      </c>
      <c r="D823" t="str" cm="1">
        <f t="array" ref="D823">IFERROR(INDEX(ReferenceCard, MATCH(1, (INDEX(ReferenceCard,,1)=Table1[[#This Row],[SAP No]]) * (INDEX(ReferenceCard,,2)=Table1[[#This Row],[Mould No]]), 0), 6),)</f>
        <v>PET</v>
      </c>
      <c r="E823">
        <v>324165</v>
      </c>
      <c r="F823">
        <v>0</v>
      </c>
      <c r="G823" t="str" cm="1">
        <f t="array" ref="G823">IFERROR(INDEX(ReferenceCard, MATCH(1, (INDEX(ReferenceCard,,1)=Table1[[#This Row],[SAP No]]) * (INDEX(ReferenceCard,,2)=Table1[[#This Row],[Mould No]]), 0), 3),)</f>
        <v>JJ63-0400-SH-S-WH</v>
      </c>
      <c r="H823">
        <v>0</v>
      </c>
      <c r="I823" cm="1">
        <f t="array" ref="I823">IFERROR(INDEX(ReferenceCard, MATCH(1, (INDEX(ReferenceCard,,1)=Table1[[#This Row],[SAP No]]) * (INDEX(ReferenceCard,,2)=Table1[[#This Row],[Mould No]]), 0), 4),)</f>
        <v>4</v>
      </c>
      <c r="J823" s="4" cm="1">
        <f t="array" ref="J823">IFERROR(INDEX(ReferenceCard, MATCH(1, (INDEX(ReferenceCard,,1)=Table1[[#This Row],[SAP No]]) * (INDEX(ReferenceCard,,2)=Table1[[#This Row],[Mould No]]), 0), 9),)</f>
        <v>32.56</v>
      </c>
      <c r="K823" s="4" cm="1">
        <f t="array" ref="K823">IFERROR(INDEX(ReferenceCard, MATCH(1, (INDEX(ReferenceCard,,1)=Table1[[#This Row],[SAP No]]) * (INDEX(ReferenceCard,,2)=Table1[[#This Row],[Mould No]]), 0), 7),)</f>
        <v>33</v>
      </c>
      <c r="L823">
        <v>6876</v>
      </c>
      <c r="M823">
        <v>0</v>
      </c>
      <c r="N823">
        <v>0</v>
      </c>
      <c r="O823">
        <v>0</v>
      </c>
      <c r="P823">
        <f>Table1[[#This Row],[Shot]]*Table1[[#This Row],[Cav]]</f>
        <v>27504</v>
      </c>
      <c r="Q823">
        <v>0</v>
      </c>
      <c r="R823">
        <f>(Table1[[#This Row],[Part Weight (gm)]]*Table1[[#This Row],[Finish Good]])/1000</f>
        <v>0</v>
      </c>
      <c r="S823">
        <v>0</v>
      </c>
      <c r="T823">
        <f>IF(Table1[[#This Row],[Qty Order]]="Sample","-",IF(Table1[[#This Row],[Qty Order]]="RTFN","-",Table1[[#This Row],[Qty Order]]-Table1[[#This Row],[Qty Accumulate]]))</f>
        <v>0</v>
      </c>
      <c r="U823">
        <f>((Table1[[#This Row],[Shift Output]]*Table1[[#This Row],[Part Weight (gm)]])/1000)+Table1[[#This Row],[Reject Startup (kg)]]+Table1[[#This Row],[Reject Purging (kg)]]+Table1[[#This Row],[Reject Preform (kg)]]</f>
        <v>909.63199999999995</v>
      </c>
      <c r="V823" s="37">
        <f>(Table1[[#This Row],[Gross Weight (gm)]]-Table1[[#This Row],[Part Weight (gm)]])*Table1[[#This Row],[Shift Output]]/1000</f>
        <v>-12.101759999999937</v>
      </c>
      <c r="W823" s="3">
        <v>0</v>
      </c>
      <c r="X823" s="36">
        <f>Table1[[#This Row],[Reject Startup (kg)]]/Table1[[#This Row],[Material Used]]</f>
        <v>0</v>
      </c>
      <c r="Y823" s="3">
        <v>4</v>
      </c>
      <c r="Z823" s="36">
        <f>Table1[[#This Row],[Reject Prod (kg)]]/Table1[[#This Row],[Material Used]]</f>
        <v>4.3973826778301557E-3</v>
      </c>
      <c r="AA823" s="4">
        <v>23.977636337280199</v>
      </c>
      <c r="AB823" s="5">
        <v>11.8699999999999</v>
      </c>
      <c r="AC823" s="4" cm="1">
        <f t="array" ref="AC823">IFERROR(INDEX(ReferenceCard, MATCH(1, (INDEX(ReferenceCard,,1)=Table1[[#This Row],[SAP No]]) * (INDEX(ReferenceCard,,2)=Table1[[#This Row],[Mould No]]), 0), 9),)</f>
        <v>32.56</v>
      </c>
      <c r="AD823" s="5">
        <v>0</v>
      </c>
      <c r="AE823" s="5">
        <v>0</v>
      </c>
      <c r="AF823" s="5">
        <v>0</v>
      </c>
      <c r="AG823" s="5">
        <v>0</v>
      </c>
      <c r="AH823" s="5">
        <v>0.12</v>
      </c>
      <c r="AI823" s="5">
        <v>0</v>
      </c>
      <c r="AJ823" s="5">
        <v>0</v>
      </c>
      <c r="AL823" s="2"/>
      <c r="AM823" s="2"/>
      <c r="AN823" s="3">
        <v>0</v>
      </c>
      <c r="AO823" s="3">
        <v>2</v>
      </c>
      <c r="AP823" s="6">
        <f>((Table1[[#This Row],[Reject Startup (kg)]]+Table1[[#This Row],[Reject Prod (kg)]]+Table1[[#This Row],[Reject Purging (kg)]]+Table1[[#This Row],[Reject Preform (kg)]])/Table1[[#This Row],[Part Weight (gm)]])*1000</f>
        <v>181.81818181818181</v>
      </c>
    </row>
    <row r="824" spans="1:42" x14ac:dyDescent="0.35">
      <c r="A824" s="1">
        <v>45996</v>
      </c>
      <c r="B824">
        <v>1</v>
      </c>
      <c r="C824" t="s">
        <v>16</v>
      </c>
      <c r="D824" t="str" cm="1">
        <f t="array" ref="D824">IFERROR(INDEX(ReferenceCard, MATCH(1, (INDEX(ReferenceCard,,1)=Table1[[#This Row],[SAP No]]) * (INDEX(ReferenceCard,,2)=Table1[[#This Row],[Mould No]]), 0), 6),)</f>
        <v>PET</v>
      </c>
      <c r="E824">
        <v>323092</v>
      </c>
      <c r="F824">
        <v>0</v>
      </c>
      <c r="G824" t="str" cm="1">
        <f t="array" ref="G824">IFERROR(INDEX(ReferenceCard, MATCH(1, (INDEX(ReferenceCard,,1)=Table1[[#This Row],[SAP No]]) * (INDEX(ReferenceCard,,2)=Table1[[#This Row],[Mould No]]), 0), 3),)</f>
        <v>BX38-1000-GH-R-CL(GREEN) (ASEM)</v>
      </c>
      <c r="H824">
        <v>0</v>
      </c>
      <c r="I824" cm="1">
        <f t="array" ref="I824">IFERROR(INDEX(ReferenceCard, MATCH(1, (INDEX(ReferenceCard,,1)=Table1[[#This Row],[SAP No]]) * (INDEX(ReferenceCard,,2)=Table1[[#This Row],[Mould No]]), 0), 4),)</f>
        <v>4</v>
      </c>
      <c r="J824" s="4" cm="1">
        <f t="array" ref="J824">IFERROR(INDEX(ReferenceCard, MATCH(1, (INDEX(ReferenceCard,,1)=Table1[[#This Row],[SAP No]]) * (INDEX(ReferenceCard,,2)=Table1[[#This Row],[Mould No]]), 0), 9),)</f>
        <v>48.9</v>
      </c>
      <c r="K824" s="4" cm="1">
        <f t="array" ref="K824">IFERROR(INDEX(ReferenceCard, MATCH(1, (INDEX(ReferenceCard,,1)=Table1[[#This Row],[SAP No]]) * (INDEX(ReferenceCard,,2)=Table1[[#This Row],[Mould No]]), 0), 7),)</f>
        <v>48.9</v>
      </c>
      <c r="L824">
        <v>2855</v>
      </c>
      <c r="M824">
        <v>0</v>
      </c>
      <c r="N824">
        <v>0</v>
      </c>
      <c r="O824">
        <v>0</v>
      </c>
      <c r="P824">
        <f>Table1[[#This Row],[Shot]]*Table1[[#This Row],[Cav]]</f>
        <v>11420</v>
      </c>
      <c r="Q824">
        <v>0</v>
      </c>
      <c r="R824">
        <f>(Table1[[#This Row],[Part Weight (gm)]]*Table1[[#This Row],[Finish Good]])/1000</f>
        <v>0</v>
      </c>
      <c r="S824">
        <v>0</v>
      </c>
      <c r="T824">
        <f>IF(Table1[[#This Row],[Qty Order]]="Sample","-",IF(Table1[[#This Row],[Qty Order]]="RTFN","-",Table1[[#This Row],[Qty Order]]-Table1[[#This Row],[Qty Accumulate]]))</f>
        <v>0</v>
      </c>
      <c r="U824">
        <f>((Table1[[#This Row],[Shift Output]]*Table1[[#This Row],[Part Weight (gm)]])/1000)+Table1[[#This Row],[Reject Startup (kg)]]+Table1[[#This Row],[Reject Purging (kg)]]+Table1[[#This Row],[Reject Preform (kg)]]</f>
        <v>591.43799999999999</v>
      </c>
      <c r="V824" s="37">
        <f>(Table1[[#This Row],[Gross Weight (gm)]]-Table1[[#This Row],[Part Weight (gm)]])*Table1[[#This Row],[Shift Output]]/1000</f>
        <v>0</v>
      </c>
      <c r="W824" s="3">
        <v>27</v>
      </c>
      <c r="X824" s="36">
        <f>Table1[[#This Row],[Reject Startup (kg)]]/Table1[[#This Row],[Material Used]]</f>
        <v>4.5651446136365945E-2</v>
      </c>
      <c r="Y824" s="3">
        <v>0</v>
      </c>
      <c r="Z824" s="36">
        <f>Table1[[#This Row],[Reject Prod (kg)]]/Table1[[#This Row],[Material Used]]</f>
        <v>0</v>
      </c>
      <c r="AA824" s="4">
        <v>0</v>
      </c>
      <c r="AB824" s="5">
        <v>3.0899999999999901</v>
      </c>
      <c r="AC824" s="4" cm="1">
        <f t="array" ref="AC824">IFERROR(INDEX(ReferenceCard, MATCH(1, (INDEX(ReferenceCard,,1)=Table1[[#This Row],[SAP No]]) * (INDEX(ReferenceCard,,2)=Table1[[#This Row],[Mould No]]), 0), 9),)</f>
        <v>48.9</v>
      </c>
      <c r="AD824" s="5">
        <v>0</v>
      </c>
      <c r="AE824" s="5">
        <v>0</v>
      </c>
      <c r="AF824" s="5">
        <v>0</v>
      </c>
      <c r="AG824" s="5">
        <v>0</v>
      </c>
      <c r="AH824" s="5">
        <v>8.91</v>
      </c>
      <c r="AI824" s="5">
        <v>0</v>
      </c>
      <c r="AJ824" s="5">
        <v>0</v>
      </c>
      <c r="AK824" t="s">
        <v>209</v>
      </c>
      <c r="AL824" s="2" t="s">
        <v>210</v>
      </c>
      <c r="AM824" s="2"/>
      <c r="AN824" s="3"/>
      <c r="AO824" s="3">
        <v>6</v>
      </c>
      <c r="AP824" s="6">
        <f>((Table1[[#This Row],[Reject Startup (kg)]]+Table1[[#This Row],[Reject Prod (kg)]]+Table1[[#This Row],[Reject Purging (kg)]]+Table1[[#This Row],[Reject Preform (kg)]])/Table1[[#This Row],[Part Weight (gm)]])*1000</f>
        <v>674.84662576687117</v>
      </c>
    </row>
    <row r="825" spans="1:42" x14ac:dyDescent="0.35">
      <c r="A825" s="1">
        <v>45996</v>
      </c>
      <c r="B825">
        <v>1</v>
      </c>
      <c r="C825" t="s">
        <v>23</v>
      </c>
      <c r="D825" t="str" cm="1">
        <f t="array" ref="D825">IFERROR(INDEX(ReferenceCard, MATCH(1, (INDEX(ReferenceCard,,1)=Table1[[#This Row],[SAP No]]) * (INDEX(ReferenceCard,,2)=Table1[[#This Row],[Mould No]]), 0), 6),)</f>
        <v>PPSB520Y</v>
      </c>
      <c r="E825">
        <v>586276</v>
      </c>
      <c r="F825">
        <v>2</v>
      </c>
      <c r="G825" t="str" cm="1">
        <f t="array" ref="G825">IFERROR(INDEX(ReferenceCard, MATCH(1, (INDEX(ReferenceCard,,1)=Table1[[#This Row],[SAP No]]) * (INDEX(ReferenceCard,,2)=Table1[[#This Row],[Mould No]]), 0), 3),)</f>
        <v>BC28-0056-D-APH-LEB-604001-MOLD2</v>
      </c>
      <c r="H825">
        <v>0</v>
      </c>
      <c r="I825" cm="1">
        <f t="array" ref="I825">IFERROR(INDEX(ReferenceCard, MATCH(1, (INDEX(ReferenceCard,,1)=Table1[[#This Row],[SAP No]]) * (INDEX(ReferenceCard,,2)=Table1[[#This Row],[Mould No]]), 0), 4),)</f>
        <v>6</v>
      </c>
      <c r="J825" s="4" cm="1">
        <f t="array" ref="J825">IFERROR(INDEX(ReferenceCard, MATCH(1, (INDEX(ReferenceCard,,1)=Table1[[#This Row],[SAP No]]) * (INDEX(ReferenceCard,,2)=Table1[[#This Row],[Mould No]]), 0), 9),)</f>
        <v>12.3</v>
      </c>
      <c r="K825" s="4" cm="1">
        <f t="array" ref="K825">IFERROR(INDEX(ReferenceCard, MATCH(1, (INDEX(ReferenceCard,,1)=Table1[[#This Row],[SAP No]]) * (INDEX(ReferenceCard,,2)=Table1[[#This Row],[Mould No]]), 0), 7),)</f>
        <v>12.3</v>
      </c>
      <c r="L825">
        <v>2305</v>
      </c>
      <c r="M825">
        <v>0</v>
      </c>
      <c r="N825">
        <v>0</v>
      </c>
      <c r="O825">
        <v>0</v>
      </c>
      <c r="P825">
        <f>Table1[[#This Row],[Shot]]*Table1[[#This Row],[Cav]]</f>
        <v>13830</v>
      </c>
      <c r="Q825">
        <v>0</v>
      </c>
      <c r="R825">
        <f>(Table1[[#This Row],[Part Weight (gm)]]*Table1[[#This Row],[Finish Good]])/1000</f>
        <v>0</v>
      </c>
      <c r="S825">
        <v>0</v>
      </c>
      <c r="T825">
        <f>IF(Table1[[#This Row],[Qty Order]]="Sample","-",IF(Table1[[#This Row],[Qty Order]]="RTFN","-",Table1[[#This Row],[Qty Order]]-Table1[[#This Row],[Qty Accumulate]]))</f>
        <v>0</v>
      </c>
      <c r="U825">
        <f>((Table1[[#This Row],[Shift Output]]*Table1[[#This Row],[Part Weight (gm)]])/1000)+Table1[[#This Row],[Reject Startup (kg)]]+Table1[[#This Row],[Reject Purging (kg)]]+Table1[[#This Row],[Reject Preform (kg)]]</f>
        <v>170.10900000000001</v>
      </c>
      <c r="V825" s="37">
        <f>(Table1[[#This Row],[Gross Weight (gm)]]-Table1[[#This Row],[Part Weight (gm)]])*Table1[[#This Row],[Shift Output]]/1000</f>
        <v>0</v>
      </c>
      <c r="W825" s="3">
        <v>0</v>
      </c>
      <c r="X825" s="36">
        <f>Table1[[#This Row],[Reject Startup (kg)]]/Table1[[#This Row],[Material Used]]</f>
        <v>0</v>
      </c>
      <c r="Y825" s="3">
        <v>0</v>
      </c>
      <c r="Z825" s="36">
        <f>Table1[[#This Row],[Reject Prod (kg)]]/Table1[[#This Row],[Material Used]]</f>
        <v>0</v>
      </c>
      <c r="AA825" s="4">
        <v>25.9614562988281</v>
      </c>
      <c r="AB825" s="5">
        <v>11.99</v>
      </c>
      <c r="AC825" s="4" cm="1">
        <f t="array" ref="AC825">IFERROR(INDEX(ReferenceCard, MATCH(1, (INDEX(ReferenceCard,,1)=Table1[[#This Row],[SAP No]]) * (INDEX(ReferenceCard,,2)=Table1[[#This Row],[Mould No]]), 0), 9),)</f>
        <v>12.3</v>
      </c>
      <c r="AD825" s="5">
        <v>0</v>
      </c>
      <c r="AE825" s="5">
        <v>0</v>
      </c>
      <c r="AF825" s="5">
        <v>0</v>
      </c>
      <c r="AG825" s="5">
        <v>0</v>
      </c>
      <c r="AH825" s="5">
        <v>0.01</v>
      </c>
      <c r="AI825" s="5">
        <v>0</v>
      </c>
      <c r="AJ825" s="5">
        <v>0</v>
      </c>
      <c r="AL825" s="2"/>
      <c r="AM825" s="2"/>
      <c r="AN825" s="3">
        <v>0</v>
      </c>
      <c r="AO825" s="3">
        <v>0</v>
      </c>
      <c r="AP82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26" spans="1:42" x14ac:dyDescent="0.35">
      <c r="A826" s="1">
        <v>45996</v>
      </c>
      <c r="B826">
        <v>1</v>
      </c>
      <c r="C826" t="s">
        <v>25</v>
      </c>
      <c r="D826" t="str" cm="1">
        <f t="array" ref="D826">IFERROR(INDEX(ReferenceCard, MATCH(1, (INDEX(ReferenceCard,,1)=Table1[[#This Row],[SAP No]]) * (INDEX(ReferenceCard,,2)=Table1[[#This Row],[Mould No]]), 0), 6),)</f>
        <v>PET</v>
      </c>
      <c r="E826">
        <v>323133</v>
      </c>
      <c r="F826">
        <v>0</v>
      </c>
      <c r="G826" t="str" cm="1">
        <f t="array" ref="G826">IFERROR(INDEX(ReferenceCard, MATCH(1, (INDEX(ReferenceCard,,1)=Table1[[#This Row],[SAP No]]) * (INDEX(ReferenceCard,,2)=Table1[[#This Row],[Mould No]]), 0), 3),)</f>
        <v>BX38-2000-RH-R-CL(GREEN) (ASEM)</v>
      </c>
      <c r="H826">
        <v>0</v>
      </c>
      <c r="I826" cm="1">
        <f t="array" ref="I826">IFERROR(INDEX(ReferenceCard, MATCH(1, (INDEX(ReferenceCard,,1)=Table1[[#This Row],[SAP No]]) * (INDEX(ReferenceCard,,2)=Table1[[#This Row],[Mould No]]), 0), 4),)</f>
        <v>4</v>
      </c>
      <c r="J826" s="4" cm="1">
        <f t="array" ref="J826">IFERROR(INDEX(ReferenceCard, MATCH(1, (INDEX(ReferenceCard,,1)=Table1[[#This Row],[SAP No]]) * (INDEX(ReferenceCard,,2)=Table1[[#This Row],[Mould No]]), 0), 9),)</f>
        <v>77</v>
      </c>
      <c r="K826" s="4" cm="1">
        <f t="array" ref="K826">IFERROR(INDEX(ReferenceCard, MATCH(1, (INDEX(ReferenceCard,,1)=Table1[[#This Row],[SAP No]]) * (INDEX(ReferenceCard,,2)=Table1[[#This Row],[Mould No]]), 0), 7),)</f>
        <v>77</v>
      </c>
      <c r="L826">
        <v>2719</v>
      </c>
      <c r="M826">
        <v>0</v>
      </c>
      <c r="N826">
        <v>0</v>
      </c>
      <c r="O826">
        <v>0</v>
      </c>
      <c r="P826">
        <f>Table1[[#This Row],[Shot]]*Table1[[#This Row],[Cav]]</f>
        <v>10876</v>
      </c>
      <c r="Q826">
        <v>0</v>
      </c>
      <c r="R826">
        <f>(Table1[[#This Row],[Part Weight (gm)]]*Table1[[#This Row],[Finish Good]])/1000</f>
        <v>0</v>
      </c>
      <c r="S826">
        <v>0</v>
      </c>
      <c r="T826">
        <f>IF(Table1[[#This Row],[Qty Order]]="Sample","-",IF(Table1[[#This Row],[Qty Order]]="RTFN","-",Table1[[#This Row],[Qty Order]]-Table1[[#This Row],[Qty Accumulate]]))</f>
        <v>0</v>
      </c>
      <c r="U826">
        <f>((Table1[[#This Row],[Shift Output]]*Table1[[#This Row],[Part Weight (gm)]])/1000)+Table1[[#This Row],[Reject Startup (kg)]]+Table1[[#This Row],[Reject Purging (kg)]]+Table1[[#This Row],[Reject Preform (kg)]]</f>
        <v>867.65200000000004</v>
      </c>
      <c r="V826" s="37">
        <f>(Table1[[#This Row],[Gross Weight (gm)]]-Table1[[#This Row],[Part Weight (gm)]])*Table1[[#This Row],[Shift Output]]/1000</f>
        <v>0</v>
      </c>
      <c r="W826" s="3">
        <v>25</v>
      </c>
      <c r="X826" s="36">
        <f>Table1[[#This Row],[Reject Startup (kg)]]/Table1[[#This Row],[Material Used]]</f>
        <v>2.8813395232189863E-2</v>
      </c>
      <c r="Y826" s="3">
        <v>10</v>
      </c>
      <c r="Z826" s="36">
        <f>Table1[[#This Row],[Reject Prod (kg)]]/Table1[[#This Row],[Material Used]]</f>
        <v>1.1525358092875944E-2</v>
      </c>
      <c r="AA826" s="4">
        <v>35.494937896728501</v>
      </c>
      <c r="AB826" s="5">
        <v>11.99</v>
      </c>
      <c r="AC826" s="4" cm="1">
        <f t="array" ref="AC826">IFERROR(INDEX(ReferenceCard, MATCH(1, (INDEX(ReferenceCard,,1)=Table1[[#This Row],[SAP No]]) * (INDEX(ReferenceCard,,2)=Table1[[#This Row],[Mould No]]), 0), 9),)</f>
        <v>77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L826" s="2"/>
      <c r="AM826" s="2"/>
      <c r="AN826" s="3">
        <v>2.7</v>
      </c>
      <c r="AO826" s="3">
        <v>2.5</v>
      </c>
      <c r="AP826" s="6">
        <f>((Table1[[#This Row],[Reject Startup (kg)]]+Table1[[#This Row],[Reject Prod (kg)]]+Table1[[#This Row],[Reject Purging (kg)]]+Table1[[#This Row],[Reject Preform (kg)]])/Table1[[#This Row],[Part Weight (gm)]])*1000</f>
        <v>522.07792207792215</v>
      </c>
    </row>
    <row r="827" spans="1:42" x14ac:dyDescent="0.35">
      <c r="A827" s="1">
        <v>45996</v>
      </c>
      <c r="B827">
        <v>1</v>
      </c>
      <c r="C827" t="s">
        <v>27</v>
      </c>
      <c r="D827" t="str" cm="1">
        <f t="array" ref="D827">IFERROR(INDEX(ReferenceCard, MATCH(1, (INDEX(ReferenceCard,,1)=Table1[[#This Row],[SAP No]]) * (INDEX(ReferenceCard,,2)=Table1[[#This Row],[Mould No]]), 0), 6),)</f>
        <v>PPSB520Y</v>
      </c>
      <c r="E827">
        <v>552181</v>
      </c>
      <c r="F827">
        <v>4</v>
      </c>
      <c r="G827" t="str" cm="1">
        <f t="array" ref="G827">IFERROR(INDEX(ReferenceCard, MATCH(1, (INDEX(ReferenceCard,,1)=Table1[[#This Row],[SAP No]]) * (INDEX(ReferenceCard,,2)=Table1[[#This Row],[Mould No]]), 0), 3),)</f>
        <v>BC28-0090-D-APH-5180-3538-PP-6 NOTCHES-MOLD4</v>
      </c>
      <c r="H827">
        <v>0</v>
      </c>
      <c r="I827" cm="1">
        <f t="array" ref="I827">IFERROR(INDEX(ReferenceCard, MATCH(1, (INDEX(ReferenceCard,,1)=Table1[[#This Row],[SAP No]]) * (INDEX(ReferenceCard,,2)=Table1[[#This Row],[Mould No]]), 0), 4),)</f>
        <v>6</v>
      </c>
      <c r="J827" s="4" cm="1">
        <f t="array" ref="J827">IFERROR(INDEX(ReferenceCard, MATCH(1, (INDEX(ReferenceCard,,1)=Table1[[#This Row],[SAP No]]) * (INDEX(ReferenceCard,,2)=Table1[[#This Row],[Mould No]]), 0), 9),)</f>
        <v>18.8</v>
      </c>
      <c r="K827" s="4" cm="1">
        <f t="array" ref="K827">IFERROR(INDEX(ReferenceCard, MATCH(1, (INDEX(ReferenceCard,,1)=Table1[[#This Row],[SAP No]]) * (INDEX(ReferenceCard,,2)=Table1[[#This Row],[Mould No]]), 0), 7),)</f>
        <v>18.8</v>
      </c>
      <c r="L827">
        <v>2560</v>
      </c>
      <c r="M827">
        <v>0</v>
      </c>
      <c r="N827">
        <v>0</v>
      </c>
      <c r="O827">
        <v>0</v>
      </c>
      <c r="P827">
        <f>Table1[[#This Row],[Shot]]*Table1[[#This Row],[Cav]]</f>
        <v>15360</v>
      </c>
      <c r="Q827">
        <v>0</v>
      </c>
      <c r="R827">
        <f>(Table1[[#This Row],[Part Weight (gm)]]*Table1[[#This Row],[Finish Good]])/1000</f>
        <v>0</v>
      </c>
      <c r="S827">
        <v>0</v>
      </c>
      <c r="T827">
        <f>IF(Table1[[#This Row],[Qty Order]]="Sample","-",IF(Table1[[#This Row],[Qty Order]]="RTFN","-",Table1[[#This Row],[Qty Order]]-Table1[[#This Row],[Qty Accumulate]]))</f>
        <v>0</v>
      </c>
      <c r="U827">
        <f>((Table1[[#This Row],[Shift Output]]*Table1[[#This Row],[Part Weight (gm)]])/1000)+Table1[[#This Row],[Reject Startup (kg)]]+Table1[[#This Row],[Reject Purging (kg)]]+Table1[[#This Row],[Reject Preform (kg)]]</f>
        <v>321.76799999999997</v>
      </c>
      <c r="V827" s="37">
        <f>(Table1[[#This Row],[Gross Weight (gm)]]-Table1[[#This Row],[Part Weight (gm)]])*Table1[[#This Row],[Shift Output]]/1000</f>
        <v>0</v>
      </c>
      <c r="W827" s="3">
        <v>26</v>
      </c>
      <c r="X827" s="36">
        <f>Table1[[#This Row],[Reject Startup (kg)]]/Table1[[#This Row],[Material Used]]</f>
        <v>8.0803560329181276E-2</v>
      </c>
      <c r="Y827" s="3">
        <v>0</v>
      </c>
      <c r="Z827" s="36">
        <f>Table1[[#This Row],[Reject Prod (kg)]]/Table1[[#This Row],[Material Used]]</f>
        <v>0</v>
      </c>
      <c r="AA827" s="4">
        <v>0</v>
      </c>
      <c r="AB827" s="5">
        <v>2.95</v>
      </c>
      <c r="AC827" s="4" cm="1">
        <f t="array" ref="AC827">IFERROR(INDEX(ReferenceCard, MATCH(1, (INDEX(ReferenceCard,,1)=Table1[[#This Row],[SAP No]]) * (INDEX(ReferenceCard,,2)=Table1[[#This Row],[Mould No]]), 0), 9),)</f>
        <v>18.8</v>
      </c>
      <c r="AD827" s="5">
        <v>0</v>
      </c>
      <c r="AE827" s="5">
        <v>0</v>
      </c>
      <c r="AF827" s="5">
        <v>0</v>
      </c>
      <c r="AG827" s="5">
        <v>0</v>
      </c>
      <c r="AH827" s="5">
        <v>9.0399999999999903</v>
      </c>
      <c r="AI827" s="5">
        <v>0</v>
      </c>
      <c r="AJ827" s="5">
        <v>0</v>
      </c>
      <c r="AL827" s="2"/>
      <c r="AM827" s="2"/>
      <c r="AN827" s="3">
        <v>4</v>
      </c>
      <c r="AO827" s="3">
        <v>3</v>
      </c>
      <c r="AP827" s="6">
        <f>((Table1[[#This Row],[Reject Startup (kg)]]+Table1[[#This Row],[Reject Prod (kg)]]+Table1[[#This Row],[Reject Purging (kg)]]+Table1[[#This Row],[Reject Preform (kg)]])/Table1[[#This Row],[Part Weight (gm)]])*1000</f>
        <v>1755.3191489361702</v>
      </c>
    </row>
    <row r="828" spans="1:42" x14ac:dyDescent="0.35">
      <c r="A828" s="1">
        <v>45996</v>
      </c>
      <c r="B828">
        <v>1</v>
      </c>
      <c r="C828" t="s">
        <v>29</v>
      </c>
      <c r="D828" t="str" cm="1">
        <f t="array" ref="D828">IFERROR(INDEX(ReferenceCard, MATCH(1, (INDEX(ReferenceCard,,1)=Table1[[#This Row],[SAP No]]) * (INDEX(ReferenceCard,,2)=Table1[[#This Row],[Mould No]]), 0), 6),)</f>
        <v>PET</v>
      </c>
      <c r="E828">
        <v>620599</v>
      </c>
      <c r="F828">
        <v>0</v>
      </c>
      <c r="G828" t="str" cm="1">
        <f t="array" ref="G828">IFERROR(INDEX(ReferenceCard, MATCH(1, (INDEX(ReferenceCard,,1)=Table1[[#This Row],[SAP No]]) * (INDEX(ReferenceCard,,2)=Table1[[#This Row],[Mould No]]), 0), 3),)</f>
        <v>BC28-0750-K4-R-CL (55g)</v>
      </c>
      <c r="H828">
        <v>0</v>
      </c>
      <c r="I828" cm="1">
        <f t="array" ref="I828">IFERROR(INDEX(ReferenceCard, MATCH(1, (INDEX(ReferenceCard,,1)=Table1[[#This Row],[SAP No]]) * (INDEX(ReferenceCard,,2)=Table1[[#This Row],[Mould No]]), 0), 4),)</f>
        <v>4</v>
      </c>
      <c r="J828" s="4" cm="1">
        <f t="array" ref="J828">IFERROR(INDEX(ReferenceCard, MATCH(1, (INDEX(ReferenceCard,,1)=Table1[[#This Row],[SAP No]]) * (INDEX(ReferenceCard,,2)=Table1[[#This Row],[Mould No]]), 0), 9),)</f>
        <v>55</v>
      </c>
      <c r="K828" s="4" cm="1">
        <f t="array" ref="K828">IFERROR(INDEX(ReferenceCard, MATCH(1, (INDEX(ReferenceCard,,1)=Table1[[#This Row],[SAP No]]) * (INDEX(ReferenceCard,,2)=Table1[[#This Row],[Mould No]]), 0), 7),)</f>
        <v>55</v>
      </c>
      <c r="L828">
        <v>5060</v>
      </c>
      <c r="M828">
        <v>0</v>
      </c>
      <c r="N828">
        <v>0</v>
      </c>
      <c r="O828">
        <v>0</v>
      </c>
      <c r="P828">
        <f>Table1[[#This Row],[Shot]]*Table1[[#This Row],[Cav]]</f>
        <v>20240</v>
      </c>
      <c r="Q828">
        <v>0</v>
      </c>
      <c r="R828">
        <f>(Table1[[#This Row],[Part Weight (gm)]]*Table1[[#This Row],[Finish Good]])/1000</f>
        <v>0</v>
      </c>
      <c r="S828">
        <v>0</v>
      </c>
      <c r="T828">
        <f>IF(Table1[[#This Row],[Qty Order]]="Sample","-",IF(Table1[[#This Row],[Qty Order]]="RTFN","-",Table1[[#This Row],[Qty Order]]-Table1[[#This Row],[Qty Accumulate]]))</f>
        <v>0</v>
      </c>
      <c r="U828">
        <f>((Table1[[#This Row],[Shift Output]]*Table1[[#This Row],[Part Weight (gm)]])/1000)+Table1[[#This Row],[Reject Startup (kg)]]+Table1[[#This Row],[Reject Purging (kg)]]+Table1[[#This Row],[Reject Preform (kg)]]</f>
        <v>1114.8</v>
      </c>
      <c r="V828" s="37">
        <f>(Table1[[#This Row],[Gross Weight (gm)]]-Table1[[#This Row],[Part Weight (gm)]])*Table1[[#This Row],[Shift Output]]/1000</f>
        <v>0</v>
      </c>
      <c r="W828" s="3">
        <v>0</v>
      </c>
      <c r="X828" s="36">
        <f>Table1[[#This Row],[Reject Startup (kg)]]/Table1[[#This Row],[Material Used]]</f>
        <v>0</v>
      </c>
      <c r="Y828" s="3">
        <v>33</v>
      </c>
      <c r="Z828" s="36">
        <f>Table1[[#This Row],[Reject Prod (kg)]]/Table1[[#This Row],[Material Used]]</f>
        <v>2.9601722282023683E-2</v>
      </c>
      <c r="AA828" s="4">
        <v>27.780380249023398</v>
      </c>
      <c r="AB828" s="5">
        <v>11.99</v>
      </c>
      <c r="AC828" s="4" cm="1">
        <f t="array" ref="AC828">IFERROR(INDEX(ReferenceCard, MATCH(1, (INDEX(ReferenceCard,,1)=Table1[[#This Row],[SAP No]]) * (INDEX(ReferenceCard,,2)=Table1[[#This Row],[Mould No]]), 0), 9),)</f>
        <v>55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L828" s="2"/>
      <c r="AM828" s="2"/>
      <c r="AN828" s="3">
        <v>0</v>
      </c>
      <c r="AO828" s="3">
        <v>1.6</v>
      </c>
      <c r="AP828" s="6">
        <f>((Table1[[#This Row],[Reject Startup (kg)]]+Table1[[#This Row],[Reject Prod (kg)]]+Table1[[#This Row],[Reject Purging (kg)]]+Table1[[#This Row],[Reject Preform (kg)]])/Table1[[#This Row],[Part Weight (gm)]])*1000</f>
        <v>629.09090909090912</v>
      </c>
    </row>
    <row r="829" spans="1:42" x14ac:dyDescent="0.35">
      <c r="A829" s="1">
        <v>45996</v>
      </c>
      <c r="B829">
        <v>1</v>
      </c>
      <c r="C829" t="s">
        <v>31</v>
      </c>
      <c r="D829" t="str" cm="1">
        <f t="array" ref="D829">IFERROR(INDEX(ReferenceCard, MATCH(1, (INDEX(ReferenceCard,,1)=Table1[[#This Row],[SAP No]]) * (INDEX(ReferenceCard,,2)=Table1[[#This Row],[Mould No]]), 0), 6),)</f>
        <v>PPSB520Y</v>
      </c>
      <c r="E829">
        <v>586276</v>
      </c>
      <c r="F829">
        <v>4</v>
      </c>
      <c r="G829" t="str" cm="1">
        <f t="array" ref="G829">IFERROR(INDEX(ReferenceCard, MATCH(1, (INDEX(ReferenceCard,,1)=Table1[[#This Row],[SAP No]]) * (INDEX(ReferenceCard,,2)=Table1[[#This Row],[Mould No]]), 0), 3),)</f>
        <v>BC28-0056-D-APH-LEB-604001-MOLD4</v>
      </c>
      <c r="H829">
        <v>0</v>
      </c>
      <c r="I829" cm="1">
        <f t="array" ref="I829">IFERROR(INDEX(ReferenceCard, MATCH(1, (INDEX(ReferenceCard,,1)=Table1[[#This Row],[SAP No]]) * (INDEX(ReferenceCard,,2)=Table1[[#This Row],[Mould No]]), 0), 4),)</f>
        <v>6</v>
      </c>
      <c r="J829" s="4" cm="1">
        <f t="array" ref="J829">IFERROR(INDEX(ReferenceCard, MATCH(1, (INDEX(ReferenceCard,,1)=Table1[[#This Row],[SAP No]]) * (INDEX(ReferenceCard,,2)=Table1[[#This Row],[Mould No]]), 0), 9),)</f>
        <v>12.3</v>
      </c>
      <c r="K829" s="4" cm="1">
        <f t="array" ref="K829">IFERROR(INDEX(ReferenceCard, MATCH(1, (INDEX(ReferenceCard,,1)=Table1[[#This Row],[SAP No]]) * (INDEX(ReferenceCard,,2)=Table1[[#This Row],[Mould No]]), 0), 7),)</f>
        <v>12.3</v>
      </c>
      <c r="L829">
        <v>3579</v>
      </c>
      <c r="M829">
        <v>0</v>
      </c>
      <c r="N829">
        <v>0</v>
      </c>
      <c r="O829">
        <v>0</v>
      </c>
      <c r="P829">
        <f>Table1[[#This Row],[Shot]]*Table1[[#This Row],[Cav]]</f>
        <v>21474</v>
      </c>
      <c r="Q829">
        <v>0</v>
      </c>
      <c r="R829">
        <f>(Table1[[#This Row],[Part Weight (gm)]]*Table1[[#This Row],[Finish Good]])/1000</f>
        <v>0</v>
      </c>
      <c r="S829">
        <v>0</v>
      </c>
      <c r="T829">
        <f>IF(Table1[[#This Row],[Qty Order]]="Sample","-",IF(Table1[[#This Row],[Qty Order]]="RTFN","-",Table1[[#This Row],[Qty Order]]-Table1[[#This Row],[Qty Accumulate]]))</f>
        <v>0</v>
      </c>
      <c r="U829">
        <f>((Table1[[#This Row],[Shift Output]]*Table1[[#This Row],[Part Weight (gm)]])/1000)+Table1[[#This Row],[Reject Startup (kg)]]+Table1[[#This Row],[Reject Purging (kg)]]+Table1[[#This Row],[Reject Preform (kg)]]</f>
        <v>264.1302</v>
      </c>
      <c r="V829" s="37">
        <f>(Table1[[#This Row],[Gross Weight (gm)]]-Table1[[#This Row],[Part Weight (gm)]])*Table1[[#This Row],[Shift Output]]/1000</f>
        <v>0</v>
      </c>
      <c r="W829" s="3">
        <v>0</v>
      </c>
      <c r="X829" s="36">
        <f>Table1[[#This Row],[Reject Startup (kg)]]/Table1[[#This Row],[Material Used]]</f>
        <v>0</v>
      </c>
      <c r="Y829" s="3">
        <v>2</v>
      </c>
      <c r="Z829" s="36">
        <f>Table1[[#This Row],[Reject Prod (kg)]]/Table1[[#This Row],[Material Used]]</f>
        <v>7.5720231915926313E-3</v>
      </c>
      <c r="AA829" s="4">
        <v>26.937843322753899</v>
      </c>
      <c r="AB829" s="5">
        <v>11.99</v>
      </c>
      <c r="AC829" s="4" cm="1">
        <f t="array" ref="AC829">IFERROR(INDEX(ReferenceCard, MATCH(1, (INDEX(ReferenceCard,,1)=Table1[[#This Row],[SAP No]]) * (INDEX(ReferenceCard,,2)=Table1[[#This Row],[Mould No]]), 0), 9),)</f>
        <v>12.3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  <c r="AL829" s="2"/>
      <c r="AM829" s="2"/>
      <c r="AN829" s="3">
        <v>0</v>
      </c>
      <c r="AO829" s="3">
        <v>0</v>
      </c>
      <c r="AP829" s="6">
        <f>((Table1[[#This Row],[Reject Startup (kg)]]+Table1[[#This Row],[Reject Prod (kg)]]+Table1[[#This Row],[Reject Purging (kg)]]+Table1[[#This Row],[Reject Preform (kg)]])/Table1[[#This Row],[Part Weight (gm)]])*1000</f>
        <v>162.60162601626016</v>
      </c>
    </row>
    <row r="830" spans="1:42" x14ac:dyDescent="0.35">
      <c r="A830" s="1">
        <v>45996</v>
      </c>
      <c r="B830">
        <v>1</v>
      </c>
      <c r="C830" t="s">
        <v>33</v>
      </c>
      <c r="D830" t="str" cm="1">
        <f t="array" ref="D830">IFERROR(INDEX(ReferenceCard, MATCH(1, (INDEX(ReferenceCard,,1)=Table1[[#This Row],[SAP No]]) * (INDEX(ReferenceCard,,2)=Table1[[#This Row],[Mould No]]), 0), 6),)</f>
        <v>PET</v>
      </c>
      <c r="E830">
        <v>541381</v>
      </c>
      <c r="F830">
        <v>0</v>
      </c>
      <c r="G830" t="str" cm="1">
        <f t="array" ref="G830">IFERROR(INDEX(ReferenceCard, MATCH(1, (INDEX(ReferenceCard,,1)=Table1[[#This Row],[SAP No]]) * (INDEX(ReferenceCard,,2)=Table1[[#This Row],[Mould No]]), 0), 3),)</f>
        <v>BC28-1200-K-R-CL</v>
      </c>
      <c r="H830">
        <v>0</v>
      </c>
      <c r="I830" cm="1">
        <f t="array" ref="I830">IFERROR(INDEX(ReferenceCard, MATCH(1, (INDEX(ReferenceCard,,1)=Table1[[#This Row],[SAP No]]) * (INDEX(ReferenceCard,,2)=Table1[[#This Row],[Mould No]]), 0), 4),)</f>
        <v>4</v>
      </c>
      <c r="J830" s="4" cm="1">
        <f t="array" ref="J830">IFERROR(INDEX(ReferenceCard, MATCH(1, (INDEX(ReferenceCard,,1)=Table1[[#This Row],[SAP No]]) * (INDEX(ReferenceCard,,2)=Table1[[#This Row],[Mould No]]), 0), 9),)</f>
        <v>55</v>
      </c>
      <c r="K830" s="4" cm="1">
        <f t="array" ref="K830">IFERROR(INDEX(ReferenceCard, MATCH(1, (INDEX(ReferenceCard,,1)=Table1[[#This Row],[SAP No]]) * (INDEX(ReferenceCard,,2)=Table1[[#This Row],[Mould No]]), 0), 7),)</f>
        <v>55</v>
      </c>
      <c r="L830">
        <v>0</v>
      </c>
      <c r="M830">
        <v>0</v>
      </c>
      <c r="N830">
        <v>0</v>
      </c>
      <c r="O830">
        <v>0</v>
      </c>
      <c r="P830">
        <f>Table1[[#This Row],[Shot]]*Table1[[#This Row],[Cav]]</f>
        <v>0</v>
      </c>
      <c r="Q830">
        <v>0</v>
      </c>
      <c r="R830">
        <f>(Table1[[#This Row],[Part Weight (gm)]]*Table1[[#This Row],[Finish Good]])/1000</f>
        <v>0</v>
      </c>
      <c r="S830">
        <v>0</v>
      </c>
      <c r="T830">
        <f>IF(Table1[[#This Row],[Qty Order]]="Sample","-",IF(Table1[[#This Row],[Qty Order]]="RTFN","-",Table1[[#This Row],[Qty Order]]-Table1[[#This Row],[Qty Accumulate]]))</f>
        <v>0</v>
      </c>
      <c r="U830">
        <f>((Table1[[#This Row],[Shift Output]]*Table1[[#This Row],[Part Weight (gm)]])/1000)+Table1[[#This Row],[Reject Startup (kg)]]+Table1[[#This Row],[Reject Purging (kg)]]+Table1[[#This Row],[Reject Preform (kg)]]</f>
        <v>28</v>
      </c>
      <c r="V830" s="37">
        <f>(Table1[[#This Row],[Gross Weight (gm)]]-Table1[[#This Row],[Part Weight (gm)]])*Table1[[#This Row],[Shift Output]]/1000</f>
        <v>0</v>
      </c>
      <c r="W830" s="3">
        <v>0</v>
      </c>
      <c r="X830" s="36">
        <f>Table1[[#This Row],[Reject Startup (kg)]]/Table1[[#This Row],[Material Used]]</f>
        <v>0</v>
      </c>
      <c r="Y830" s="3">
        <v>0</v>
      </c>
      <c r="Z830" s="36">
        <f>Table1[[#This Row],[Reject Prod (kg)]]/Table1[[#This Row],[Material Used]]</f>
        <v>0</v>
      </c>
      <c r="AA830" s="4">
        <v>0</v>
      </c>
      <c r="AB830" s="5">
        <v>0</v>
      </c>
      <c r="AC830" s="4" cm="1">
        <f t="array" ref="AC830">IFERROR(INDEX(ReferenceCard, MATCH(1, (INDEX(ReferenceCard,,1)=Table1[[#This Row],[SAP No]]) * (INDEX(ReferenceCard,,2)=Table1[[#This Row],[Mould No]]), 0), 9),)</f>
        <v>55</v>
      </c>
      <c r="AD830" s="5">
        <v>0</v>
      </c>
      <c r="AE830" s="5">
        <v>0</v>
      </c>
      <c r="AF830" s="5">
        <v>0</v>
      </c>
      <c r="AG830" s="5">
        <v>11.99</v>
      </c>
      <c r="AH830" s="5">
        <v>0</v>
      </c>
      <c r="AI830" s="5">
        <v>0</v>
      </c>
      <c r="AJ830" s="5">
        <v>0</v>
      </c>
      <c r="AK830" t="s">
        <v>211</v>
      </c>
      <c r="AL830" s="2"/>
      <c r="AM830" s="2"/>
      <c r="AN830" s="3">
        <v>22</v>
      </c>
      <c r="AO830" s="3">
        <v>6</v>
      </c>
      <c r="AP830" s="6">
        <f>((Table1[[#This Row],[Reject Startup (kg)]]+Table1[[#This Row],[Reject Prod (kg)]]+Table1[[#This Row],[Reject Purging (kg)]]+Table1[[#This Row],[Reject Preform (kg)]])/Table1[[#This Row],[Part Weight (gm)]])*1000</f>
        <v>509.09090909090907</v>
      </c>
    </row>
    <row r="831" spans="1:42" x14ac:dyDescent="0.35">
      <c r="A831" s="1">
        <v>45996</v>
      </c>
      <c r="B831">
        <v>1</v>
      </c>
      <c r="C831" t="s">
        <v>35</v>
      </c>
      <c r="D831" t="str" cm="1">
        <f t="array" ref="D831">IFERROR(INDEX(ReferenceCard, MATCH(1, (INDEX(ReferenceCard,,1)=Table1[[#This Row],[SAP No]]) * (INDEX(ReferenceCard,,2)=Table1[[#This Row],[Mould No]]), 0), 6),)</f>
        <v>PPSB520Y</v>
      </c>
      <c r="E831">
        <v>552181</v>
      </c>
      <c r="F831">
        <v>1</v>
      </c>
      <c r="G831" t="str" cm="1">
        <f t="array" ref="G831">IFERROR(INDEX(ReferenceCard, MATCH(1, (INDEX(ReferenceCard,,1)=Table1[[#This Row],[SAP No]]) * (INDEX(ReferenceCard,,2)=Table1[[#This Row],[Mould No]]), 0), 3),)</f>
        <v>BC28-0090-D-APH-5180-3538-PP-6 NOTCHES-MOLD1</v>
      </c>
      <c r="H831">
        <v>0</v>
      </c>
      <c r="I831" cm="1">
        <f t="array" ref="I831">IFERROR(INDEX(ReferenceCard, MATCH(1, (INDEX(ReferenceCard,,1)=Table1[[#This Row],[SAP No]]) * (INDEX(ReferenceCard,,2)=Table1[[#This Row],[Mould No]]), 0), 4),)</f>
        <v>6</v>
      </c>
      <c r="J831" s="4" cm="1">
        <f t="array" ref="J831">IFERROR(INDEX(ReferenceCard, MATCH(1, (INDEX(ReferenceCard,,1)=Table1[[#This Row],[SAP No]]) * (INDEX(ReferenceCard,,2)=Table1[[#This Row],[Mould No]]), 0), 9),)</f>
        <v>18.8</v>
      </c>
      <c r="K831" s="4" cm="1">
        <f t="array" ref="K831">IFERROR(INDEX(ReferenceCard, MATCH(1, (INDEX(ReferenceCard,,1)=Table1[[#This Row],[SAP No]]) * (INDEX(ReferenceCard,,2)=Table1[[#This Row],[Mould No]]), 0), 7),)</f>
        <v>18.8</v>
      </c>
      <c r="L831">
        <v>3006</v>
      </c>
      <c r="M831">
        <v>0</v>
      </c>
      <c r="N831">
        <v>0</v>
      </c>
      <c r="O831">
        <v>0</v>
      </c>
      <c r="P831">
        <f>Table1[[#This Row],[Shot]]*Table1[[#This Row],[Cav]]</f>
        <v>18036</v>
      </c>
      <c r="Q831">
        <v>0</v>
      </c>
      <c r="R831">
        <f>(Table1[[#This Row],[Part Weight (gm)]]*Table1[[#This Row],[Finish Good]])/1000</f>
        <v>0</v>
      </c>
      <c r="S831">
        <v>0</v>
      </c>
      <c r="T831">
        <f>IF(Table1[[#This Row],[Qty Order]]="Sample","-",IF(Table1[[#This Row],[Qty Order]]="RTFN","-",Table1[[#This Row],[Qty Order]]-Table1[[#This Row],[Qty Accumulate]]))</f>
        <v>0</v>
      </c>
      <c r="U831">
        <f>((Table1[[#This Row],[Shift Output]]*Table1[[#This Row],[Part Weight (gm)]])/1000)+Table1[[#This Row],[Reject Startup (kg)]]+Table1[[#This Row],[Reject Purging (kg)]]+Table1[[#This Row],[Reject Preform (kg)]]</f>
        <v>339.07679999999999</v>
      </c>
      <c r="V831" s="37">
        <f>(Table1[[#This Row],[Gross Weight (gm)]]-Table1[[#This Row],[Part Weight (gm)]])*Table1[[#This Row],[Shift Output]]/1000</f>
        <v>0</v>
      </c>
      <c r="W831" s="3">
        <v>0</v>
      </c>
      <c r="X831" s="36">
        <f>Table1[[#This Row],[Reject Startup (kg)]]/Table1[[#This Row],[Material Used]]</f>
        <v>0</v>
      </c>
      <c r="Y831" s="3">
        <v>4</v>
      </c>
      <c r="Z831" s="36">
        <f>Table1[[#This Row],[Reject Prod (kg)]]/Table1[[#This Row],[Material Used]]</f>
        <v>1.1796737494278583E-2</v>
      </c>
      <c r="AA831" s="4">
        <v>32.0706367492675</v>
      </c>
      <c r="AB831" s="5">
        <v>11.99</v>
      </c>
      <c r="AC831" s="4" cm="1">
        <f t="array" ref="AC831">IFERROR(INDEX(ReferenceCard, MATCH(1, (INDEX(ReferenceCard,,1)=Table1[[#This Row],[SAP No]]) * (INDEX(ReferenceCard,,2)=Table1[[#This Row],[Mould No]]), 0), 9),)</f>
        <v>18.8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L831" s="2"/>
      <c r="AM831" s="2"/>
      <c r="AN831" s="3">
        <v>0</v>
      </c>
      <c r="AO831" s="3">
        <v>0</v>
      </c>
      <c r="AP831" s="6">
        <f>((Table1[[#This Row],[Reject Startup (kg)]]+Table1[[#This Row],[Reject Prod (kg)]]+Table1[[#This Row],[Reject Purging (kg)]]+Table1[[#This Row],[Reject Preform (kg)]])/Table1[[#This Row],[Part Weight (gm)]])*1000</f>
        <v>212.7659574468085</v>
      </c>
    </row>
    <row r="832" spans="1:42" x14ac:dyDescent="0.35">
      <c r="A832" s="1">
        <v>45995</v>
      </c>
      <c r="B832">
        <v>2</v>
      </c>
      <c r="C832" t="s">
        <v>11</v>
      </c>
      <c r="D832" t="str" cm="1">
        <f t="array" ref="D832">IFERROR(INDEX(ReferenceCard, MATCH(1, (INDEX(ReferenceCard,,1)=Table1[[#This Row],[SAP No]]) * (INDEX(ReferenceCard,,2)=Table1[[#This Row],[Mould No]]), 0), 6),)</f>
        <v>rPET</v>
      </c>
      <c r="E832">
        <v>620994</v>
      </c>
      <c r="F832">
        <v>0</v>
      </c>
      <c r="G832" t="str" cm="1">
        <f t="array" ref="G832">IFERROR(INDEX(ReferenceCard, MATCH(1, (INDEX(ReferenceCard,,1)=Table1[[#This Row],[SAP No]]) * (INDEX(ReferenceCard,,2)=Table1[[#This Row],[Mould No]]), 0), 3),)</f>
        <v>JJ63-0400-SH-S-CL-rPET</v>
      </c>
      <c r="H832">
        <v>0</v>
      </c>
      <c r="I832" cm="1">
        <f t="array" ref="I832">IFERROR(INDEX(ReferenceCard, MATCH(1, (INDEX(ReferenceCard,,1)=Table1[[#This Row],[SAP No]]) * (INDEX(ReferenceCard,,2)=Table1[[#This Row],[Mould No]]), 0), 4),)</f>
        <v>4</v>
      </c>
      <c r="J832" s="4" cm="1">
        <f t="array" ref="J832">IFERROR(INDEX(ReferenceCard, MATCH(1, (INDEX(ReferenceCard,,1)=Table1[[#This Row],[SAP No]]) * (INDEX(ReferenceCard,,2)=Table1[[#This Row],[Mould No]]), 0), 9),)</f>
        <v>32.74</v>
      </c>
      <c r="K832" s="4" cm="1">
        <f t="array" ref="K832">IFERROR(INDEX(ReferenceCard, MATCH(1, (INDEX(ReferenceCard,,1)=Table1[[#This Row],[SAP No]]) * (INDEX(ReferenceCard,,2)=Table1[[#This Row],[Mould No]]), 0), 7),)</f>
        <v>33</v>
      </c>
      <c r="L832">
        <v>0</v>
      </c>
      <c r="M832">
        <v>0</v>
      </c>
      <c r="N832">
        <v>0</v>
      </c>
      <c r="O832">
        <v>0</v>
      </c>
      <c r="P832">
        <f>Table1[[#This Row],[Shot]]*Table1[[#This Row],[Cav]]</f>
        <v>0</v>
      </c>
      <c r="Q832">
        <v>0</v>
      </c>
      <c r="R832">
        <f>(Table1[[#This Row],[Part Weight (gm)]]*Table1[[#This Row],[Finish Good]])/1000</f>
        <v>0</v>
      </c>
      <c r="S832">
        <v>0</v>
      </c>
      <c r="T832">
        <f>IF(Table1[[#This Row],[Qty Order]]="Sample","-",IF(Table1[[#This Row],[Qty Order]]="RTFN","-",Table1[[#This Row],[Qty Order]]-Table1[[#This Row],[Qty Accumulate]]))</f>
        <v>0</v>
      </c>
      <c r="U832">
        <f>((Table1[[#This Row],[Shift Output]]*Table1[[#This Row],[Part Weight (gm)]])/1000)+Table1[[#This Row],[Reject Startup (kg)]]+Table1[[#This Row],[Reject Purging (kg)]]+Table1[[#This Row],[Reject Preform (kg)]]</f>
        <v>0</v>
      </c>
      <c r="V832" s="37">
        <f>(Table1[[#This Row],[Gross Weight (gm)]]-Table1[[#This Row],[Part Weight (gm)]])*Table1[[#This Row],[Shift Output]]/1000</f>
        <v>0</v>
      </c>
      <c r="W832" s="3">
        <v>0</v>
      </c>
      <c r="X832" s="36" t="e">
        <f>Table1[[#This Row],[Reject Startup (kg)]]/Table1[[#This Row],[Material Used]]</f>
        <v>#DIV/0!</v>
      </c>
      <c r="Y832" s="3">
        <v>0</v>
      </c>
      <c r="Z832" s="36" t="e">
        <f>Table1[[#This Row],[Reject Prod (kg)]]/Table1[[#This Row],[Material Used]]</f>
        <v>#DIV/0!</v>
      </c>
      <c r="AA832" s="4">
        <v>0</v>
      </c>
      <c r="AB832" s="5">
        <v>12.01</v>
      </c>
      <c r="AC832" s="4" cm="1">
        <f t="array" ref="AC832">IFERROR(INDEX(ReferenceCard, MATCH(1, (INDEX(ReferenceCard,,1)=Table1[[#This Row],[SAP No]]) * (INDEX(ReferenceCard,,2)=Table1[[#This Row],[Mould No]]), 0), 9),)</f>
        <v>32.74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L832" s="2"/>
      <c r="AM832" s="2"/>
      <c r="AN832" s="3">
        <v>0</v>
      </c>
      <c r="AO832" s="3">
        <v>0</v>
      </c>
      <c r="AP832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33" spans="1:42" x14ac:dyDescent="0.35">
      <c r="A833" s="1">
        <v>45995</v>
      </c>
      <c r="B833">
        <v>2</v>
      </c>
      <c r="C833" t="s">
        <v>14</v>
      </c>
      <c r="D833" t="str" cm="1">
        <f t="array" ref="D833">IFERROR(INDEX(ReferenceCard, MATCH(1, (INDEX(ReferenceCard,,1)=Table1[[#This Row],[SAP No]]) * (INDEX(ReferenceCard,,2)=Table1[[#This Row],[Mould No]]), 0), 6),)</f>
        <v>PET</v>
      </c>
      <c r="E833">
        <v>324165</v>
      </c>
      <c r="F833">
        <v>0</v>
      </c>
      <c r="G833" t="str" cm="1">
        <f t="array" ref="G833">IFERROR(INDEX(ReferenceCard, MATCH(1, (INDEX(ReferenceCard,,1)=Table1[[#This Row],[SAP No]]) * (INDEX(ReferenceCard,,2)=Table1[[#This Row],[Mould No]]), 0), 3),)</f>
        <v>JJ63-0400-SH-S-WH</v>
      </c>
      <c r="H833">
        <v>0</v>
      </c>
      <c r="I833" cm="1">
        <f t="array" ref="I833">IFERROR(INDEX(ReferenceCard, MATCH(1, (INDEX(ReferenceCard,,1)=Table1[[#This Row],[SAP No]]) * (INDEX(ReferenceCard,,2)=Table1[[#This Row],[Mould No]]), 0), 4),)</f>
        <v>4</v>
      </c>
      <c r="J833" s="4" cm="1">
        <f t="array" ref="J833">IFERROR(INDEX(ReferenceCard, MATCH(1, (INDEX(ReferenceCard,,1)=Table1[[#This Row],[SAP No]]) * (INDEX(ReferenceCard,,2)=Table1[[#This Row],[Mould No]]), 0), 9),)</f>
        <v>32.56</v>
      </c>
      <c r="K833" s="4" cm="1">
        <f t="array" ref="K833">IFERROR(INDEX(ReferenceCard, MATCH(1, (INDEX(ReferenceCard,,1)=Table1[[#This Row],[SAP No]]) * (INDEX(ReferenceCard,,2)=Table1[[#This Row],[Mould No]]), 0), 7),)</f>
        <v>33</v>
      </c>
      <c r="L833">
        <v>0</v>
      </c>
      <c r="M833">
        <v>0</v>
      </c>
      <c r="N833">
        <v>0</v>
      </c>
      <c r="O833">
        <v>0</v>
      </c>
      <c r="P833">
        <f>Table1[[#This Row],[Shot]]*Table1[[#This Row],[Cav]]</f>
        <v>0</v>
      </c>
      <c r="Q833">
        <v>0</v>
      </c>
      <c r="R833">
        <f>(Table1[[#This Row],[Part Weight (gm)]]*Table1[[#This Row],[Finish Good]])/1000</f>
        <v>0</v>
      </c>
      <c r="S833">
        <v>0</v>
      </c>
      <c r="T833">
        <f>IF(Table1[[#This Row],[Qty Order]]="Sample","-",IF(Table1[[#This Row],[Qty Order]]="RTFN","-",Table1[[#This Row],[Qty Order]]-Table1[[#This Row],[Qty Accumulate]]))</f>
        <v>0</v>
      </c>
      <c r="U833">
        <f>((Table1[[#This Row],[Shift Output]]*Table1[[#This Row],[Part Weight (gm)]])/1000)+Table1[[#This Row],[Reject Startup (kg)]]+Table1[[#This Row],[Reject Purging (kg)]]+Table1[[#This Row],[Reject Preform (kg)]]</f>
        <v>0</v>
      </c>
      <c r="V833" s="37">
        <f>(Table1[[#This Row],[Gross Weight (gm)]]-Table1[[#This Row],[Part Weight (gm)]])*Table1[[#This Row],[Shift Output]]/1000</f>
        <v>0</v>
      </c>
      <c r="W833" s="3">
        <v>0</v>
      </c>
      <c r="X833" s="36" t="e">
        <f>Table1[[#This Row],[Reject Startup (kg)]]/Table1[[#This Row],[Material Used]]</f>
        <v>#DIV/0!</v>
      </c>
      <c r="Y833" s="3">
        <v>2</v>
      </c>
      <c r="Z833" s="36" t="e">
        <f>Table1[[#This Row],[Reject Prod (kg)]]/Table1[[#This Row],[Material Used]]</f>
        <v>#DIV/0!</v>
      </c>
      <c r="AA833" s="4">
        <v>0</v>
      </c>
      <c r="AB833" s="5">
        <v>12.01</v>
      </c>
      <c r="AC833" s="4" cm="1">
        <f t="array" ref="AC833">IFERROR(INDEX(ReferenceCard, MATCH(1, (INDEX(ReferenceCard,,1)=Table1[[#This Row],[SAP No]]) * (INDEX(ReferenceCard,,2)=Table1[[#This Row],[Mould No]]), 0), 9),)</f>
        <v>32.56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  <c r="AL833" s="2"/>
      <c r="AM833" s="2"/>
      <c r="AN833" s="3">
        <v>0</v>
      </c>
      <c r="AO833" s="3">
        <v>0</v>
      </c>
      <c r="AP833" s="6">
        <f>((Table1[[#This Row],[Reject Startup (kg)]]+Table1[[#This Row],[Reject Prod (kg)]]+Table1[[#This Row],[Reject Purging (kg)]]+Table1[[#This Row],[Reject Preform (kg)]])/Table1[[#This Row],[Part Weight (gm)]])*1000</f>
        <v>60.606060606060609</v>
      </c>
    </row>
    <row r="834" spans="1:42" x14ac:dyDescent="0.35">
      <c r="A834" s="1">
        <v>45995</v>
      </c>
      <c r="B834">
        <v>2</v>
      </c>
      <c r="C834" t="s">
        <v>35</v>
      </c>
      <c r="D834" t="str" cm="1">
        <f t="array" ref="D834">IFERROR(INDEX(ReferenceCard, MATCH(1, (INDEX(ReferenceCard,,1)=Table1[[#This Row],[SAP No]]) * (INDEX(ReferenceCard,,2)=Table1[[#This Row],[Mould No]]), 0), 6),)</f>
        <v>PPSB520Y</v>
      </c>
      <c r="E834">
        <v>552181</v>
      </c>
      <c r="F834">
        <v>1</v>
      </c>
      <c r="G834" t="str" cm="1">
        <f t="array" ref="G834">IFERROR(INDEX(ReferenceCard, MATCH(1, (INDEX(ReferenceCard,,1)=Table1[[#This Row],[SAP No]]) * (INDEX(ReferenceCard,,2)=Table1[[#This Row],[Mould No]]), 0), 3),)</f>
        <v>BC28-0090-D-APH-5180-3538-PP-6 NOTCHES-MOLD1</v>
      </c>
      <c r="H834">
        <v>0</v>
      </c>
      <c r="I834" cm="1">
        <f t="array" ref="I834">IFERROR(INDEX(ReferenceCard, MATCH(1, (INDEX(ReferenceCard,,1)=Table1[[#This Row],[SAP No]]) * (INDEX(ReferenceCard,,2)=Table1[[#This Row],[Mould No]]), 0), 4),)</f>
        <v>6</v>
      </c>
      <c r="J834" s="4" cm="1">
        <f t="array" ref="J834">IFERROR(INDEX(ReferenceCard, MATCH(1, (INDEX(ReferenceCard,,1)=Table1[[#This Row],[SAP No]]) * (INDEX(ReferenceCard,,2)=Table1[[#This Row],[Mould No]]), 0), 9),)</f>
        <v>18.8</v>
      </c>
      <c r="K834" s="4" cm="1">
        <f t="array" ref="K834">IFERROR(INDEX(ReferenceCard, MATCH(1, (INDEX(ReferenceCard,,1)=Table1[[#This Row],[SAP No]]) * (INDEX(ReferenceCard,,2)=Table1[[#This Row],[Mould No]]), 0), 7),)</f>
        <v>18.8</v>
      </c>
      <c r="L834">
        <v>0</v>
      </c>
      <c r="M834">
        <v>0</v>
      </c>
      <c r="N834">
        <v>0</v>
      </c>
      <c r="O834">
        <v>0</v>
      </c>
      <c r="P834">
        <f>Table1[[#This Row],[Shot]]*Table1[[#This Row],[Cav]]</f>
        <v>0</v>
      </c>
      <c r="Q834">
        <v>0</v>
      </c>
      <c r="R834">
        <f>(Table1[[#This Row],[Part Weight (gm)]]*Table1[[#This Row],[Finish Good]])/1000</f>
        <v>0</v>
      </c>
      <c r="S834">
        <v>0</v>
      </c>
      <c r="T834">
        <f>IF(Table1[[#This Row],[Qty Order]]="Sample","-",IF(Table1[[#This Row],[Qty Order]]="RTFN","-",Table1[[#This Row],[Qty Order]]-Table1[[#This Row],[Qty Accumulate]]))</f>
        <v>0</v>
      </c>
      <c r="U834">
        <f>((Table1[[#This Row],[Shift Output]]*Table1[[#This Row],[Part Weight (gm)]])/1000)+Table1[[#This Row],[Reject Startup (kg)]]+Table1[[#This Row],[Reject Purging (kg)]]+Table1[[#This Row],[Reject Preform (kg)]]</f>
        <v>0</v>
      </c>
      <c r="V834" s="37">
        <f>(Table1[[#This Row],[Gross Weight (gm)]]-Table1[[#This Row],[Part Weight (gm)]])*Table1[[#This Row],[Shift Output]]/1000</f>
        <v>0</v>
      </c>
      <c r="W834" s="3">
        <v>0</v>
      </c>
      <c r="X834" s="36" t="e">
        <f>Table1[[#This Row],[Reject Startup (kg)]]/Table1[[#This Row],[Material Used]]</f>
        <v>#DIV/0!</v>
      </c>
      <c r="Y834" s="3">
        <v>1</v>
      </c>
      <c r="Z834" s="36" t="e">
        <f>Table1[[#This Row],[Reject Prod (kg)]]/Table1[[#This Row],[Material Used]]</f>
        <v>#DIV/0!</v>
      </c>
      <c r="AA834" s="4">
        <v>0</v>
      </c>
      <c r="AB834" s="5">
        <v>12.01</v>
      </c>
      <c r="AC834" s="4" cm="1">
        <f t="array" ref="AC834">IFERROR(INDEX(ReferenceCard, MATCH(1, (INDEX(ReferenceCard,,1)=Table1[[#This Row],[SAP No]]) * (INDEX(ReferenceCard,,2)=Table1[[#This Row],[Mould No]]), 0), 9),)</f>
        <v>18.8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L834" s="2"/>
      <c r="AM834" s="2"/>
      <c r="AN834" s="3">
        <v>0</v>
      </c>
      <c r="AO834" s="3">
        <v>0</v>
      </c>
      <c r="AP834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835" spans="1:42" x14ac:dyDescent="0.35">
      <c r="A835" s="1">
        <v>45995</v>
      </c>
      <c r="B835">
        <v>2</v>
      </c>
      <c r="C835" t="s">
        <v>18</v>
      </c>
      <c r="D835" t="str" cm="1">
        <f t="array" ref="D835">IFERROR(INDEX(ReferenceCard, MATCH(1, (INDEX(ReferenceCard,,1)=Table1[[#This Row],[SAP No]]) * (INDEX(ReferenceCard,,2)=Table1[[#This Row],[Mould No]]), 0), 6),)</f>
        <v>PPSB520Y</v>
      </c>
      <c r="E835">
        <v>555979</v>
      </c>
      <c r="F835">
        <v>4</v>
      </c>
      <c r="G835" t="str" cm="1">
        <f t="array" ref="G835">IFERROR(INDEX(ReferenceCard, MATCH(1, (INDEX(ReferenceCard,,1)=Table1[[#This Row],[SAP No]]) * (INDEX(ReferenceCard,,2)=Table1[[#This Row],[Mould No]]), 0), 3),)</f>
        <v>BC28-0170-D-APH-5180-3539-PP-6 NOTCHES-MOLD4</v>
      </c>
      <c r="H835">
        <v>0</v>
      </c>
      <c r="I835" cm="1">
        <f t="array" ref="I835">IFERROR(INDEX(ReferenceCard, MATCH(1, (INDEX(ReferenceCard,,1)=Table1[[#This Row],[SAP No]]) * (INDEX(ReferenceCard,,2)=Table1[[#This Row],[Mould No]]), 0), 4),)</f>
        <v>6</v>
      </c>
      <c r="J835" s="4" cm="1">
        <f t="array" ref="J835">IFERROR(INDEX(ReferenceCard, MATCH(1, (INDEX(ReferenceCard,,1)=Table1[[#This Row],[SAP No]]) * (INDEX(ReferenceCard,,2)=Table1[[#This Row],[Mould No]]), 0), 9),)</f>
        <v>28</v>
      </c>
      <c r="K835" s="4" cm="1">
        <f t="array" ref="K835">IFERROR(INDEX(ReferenceCard, MATCH(1, (INDEX(ReferenceCard,,1)=Table1[[#This Row],[SAP No]]) * (INDEX(ReferenceCard,,2)=Table1[[#This Row],[Mould No]]), 0), 7),)</f>
        <v>28</v>
      </c>
      <c r="L835">
        <v>308</v>
      </c>
      <c r="M835">
        <v>0</v>
      </c>
      <c r="N835">
        <v>0</v>
      </c>
      <c r="O835">
        <v>0</v>
      </c>
      <c r="P835">
        <f>Table1[[#This Row],[Shot]]*Table1[[#This Row],[Cav]]</f>
        <v>1848</v>
      </c>
      <c r="Q835">
        <v>0</v>
      </c>
      <c r="R835">
        <f>(Table1[[#This Row],[Part Weight (gm)]]*Table1[[#This Row],[Finish Good]])/1000</f>
        <v>0</v>
      </c>
      <c r="S835">
        <v>0</v>
      </c>
      <c r="T835">
        <f>IF(Table1[[#This Row],[Qty Order]]="Sample","-",IF(Table1[[#This Row],[Qty Order]]="RTFN","-",Table1[[#This Row],[Qty Order]]-Table1[[#This Row],[Qty Accumulate]]))</f>
        <v>0</v>
      </c>
      <c r="U835">
        <f>((Table1[[#This Row],[Shift Output]]*Table1[[#This Row],[Part Weight (gm)]])/1000)+Table1[[#This Row],[Reject Startup (kg)]]+Table1[[#This Row],[Reject Purging (kg)]]+Table1[[#This Row],[Reject Preform (kg)]]</f>
        <v>65.744</v>
      </c>
      <c r="V835" s="37">
        <f>(Table1[[#This Row],[Gross Weight (gm)]]-Table1[[#This Row],[Part Weight (gm)]])*Table1[[#This Row],[Shift Output]]/1000</f>
        <v>0</v>
      </c>
      <c r="W835" s="3">
        <v>14</v>
      </c>
      <c r="X835" s="36">
        <f>Table1[[#This Row],[Reject Startup (kg)]]/Table1[[#This Row],[Material Used]]</f>
        <v>0.21294718909710392</v>
      </c>
      <c r="Y835" s="3">
        <v>4</v>
      </c>
      <c r="Z835" s="36">
        <f>Table1[[#This Row],[Reject Prod (kg)]]/Table1[[#This Row],[Material Used]]</f>
        <v>6.084205402774398E-2</v>
      </c>
      <c r="AA835" s="4">
        <v>43.5</v>
      </c>
      <c r="AB835" s="5">
        <v>5.5</v>
      </c>
      <c r="AC835" s="4" cm="1">
        <f t="array" ref="AC835">IFERROR(INDEX(ReferenceCard, MATCH(1, (INDEX(ReferenceCard,,1)=Table1[[#This Row],[SAP No]]) * (INDEX(ReferenceCard,,2)=Table1[[#This Row],[Mould No]]), 0), 9),)</f>
        <v>28</v>
      </c>
      <c r="AD835" s="5">
        <v>0</v>
      </c>
      <c r="AE835" s="5">
        <v>0</v>
      </c>
      <c r="AF835" s="5">
        <v>0</v>
      </c>
      <c r="AG835" s="5">
        <v>0</v>
      </c>
      <c r="AH835" s="5">
        <v>6.5</v>
      </c>
      <c r="AI835" s="5">
        <v>0</v>
      </c>
      <c r="AJ835" s="5">
        <v>0</v>
      </c>
      <c r="AK835" t="s">
        <v>212</v>
      </c>
      <c r="AL835" s="2"/>
      <c r="AM835" s="2"/>
      <c r="AN835" s="3">
        <v>0</v>
      </c>
      <c r="AO835" s="3">
        <v>0</v>
      </c>
      <c r="AP835" s="6">
        <f>((Table1[[#This Row],[Reject Startup (kg)]]+Table1[[#This Row],[Reject Prod (kg)]]+Table1[[#This Row],[Reject Purging (kg)]]+Table1[[#This Row],[Reject Preform (kg)]])/Table1[[#This Row],[Part Weight (gm)]])*1000</f>
        <v>642.85714285714289</v>
      </c>
    </row>
    <row r="836" spans="1:42" x14ac:dyDescent="0.35">
      <c r="A836" s="1">
        <v>45995</v>
      </c>
      <c r="B836">
        <v>2</v>
      </c>
      <c r="C836" t="s">
        <v>0</v>
      </c>
      <c r="D836" t="str" cm="1">
        <f t="array" ref="D836">IFERROR(INDEX(ReferenceCard, MATCH(1, (INDEX(ReferenceCard,,1)=Table1[[#This Row],[SAP No]]) * (INDEX(ReferenceCard,,2)=Table1[[#This Row],[Mould No]]), 0), 6),)</f>
        <v>PET</v>
      </c>
      <c r="E836">
        <v>369308</v>
      </c>
      <c r="F836">
        <v>0</v>
      </c>
      <c r="G836" t="str" cm="1">
        <f t="array" ref="G836">IFERROR(INDEX(ReferenceCard, MATCH(1, (INDEX(ReferenceCard,,1)=Table1[[#This Row],[SAP No]]) * (INDEX(ReferenceCard,,2)=Table1[[#This Row],[Mould No]]), 0), 3),)</f>
        <v>BW38-0280-LS-R-RED</v>
      </c>
      <c r="H836">
        <v>0</v>
      </c>
      <c r="I836" cm="1">
        <f t="array" ref="I836">IFERROR(INDEX(ReferenceCard, MATCH(1, (INDEX(ReferenceCard,,1)=Table1[[#This Row],[SAP No]]) * (INDEX(ReferenceCard,,2)=Table1[[#This Row],[Mould No]]), 0), 4),)</f>
        <v>4</v>
      </c>
      <c r="J836" s="4" cm="1">
        <f t="array" ref="J836">IFERROR(INDEX(ReferenceCard, MATCH(1, (INDEX(ReferenceCard,,1)=Table1[[#This Row],[SAP No]]) * (INDEX(ReferenceCard,,2)=Table1[[#This Row],[Mould No]]), 0), 9),)</f>
        <v>31</v>
      </c>
      <c r="K836" s="4" cm="1">
        <f t="array" ref="K836">IFERROR(INDEX(ReferenceCard, MATCH(1, (INDEX(ReferenceCard,,1)=Table1[[#This Row],[SAP No]]) * (INDEX(ReferenceCard,,2)=Table1[[#This Row],[Mould No]]), 0), 7),)</f>
        <v>31</v>
      </c>
      <c r="L836">
        <v>0</v>
      </c>
      <c r="M836">
        <v>0</v>
      </c>
      <c r="N836">
        <v>0</v>
      </c>
      <c r="O836">
        <v>0</v>
      </c>
      <c r="P836">
        <f>Table1[[#This Row],[Shot]]*Table1[[#This Row],[Cav]]</f>
        <v>0</v>
      </c>
      <c r="Q836">
        <v>0</v>
      </c>
      <c r="R836">
        <f>(Table1[[#This Row],[Part Weight (gm)]]*Table1[[#This Row],[Finish Good]])/1000</f>
        <v>0</v>
      </c>
      <c r="S836">
        <v>0</v>
      </c>
      <c r="T836">
        <f>IF(Table1[[#This Row],[Qty Order]]="Sample","-",IF(Table1[[#This Row],[Qty Order]]="RTFN","-",Table1[[#This Row],[Qty Order]]-Table1[[#This Row],[Qty Accumulate]]))</f>
        <v>0</v>
      </c>
      <c r="U836">
        <f>((Table1[[#This Row],[Shift Output]]*Table1[[#This Row],[Part Weight (gm)]])/1000)+Table1[[#This Row],[Reject Startup (kg)]]+Table1[[#This Row],[Reject Purging (kg)]]+Table1[[#This Row],[Reject Preform (kg)]]</f>
        <v>0</v>
      </c>
      <c r="V836" s="37">
        <f>(Table1[[#This Row],[Gross Weight (gm)]]-Table1[[#This Row],[Part Weight (gm)]])*Table1[[#This Row],[Shift Output]]/1000</f>
        <v>0</v>
      </c>
      <c r="W836" s="3">
        <v>0</v>
      </c>
      <c r="X836" s="36" t="e">
        <f>Table1[[#This Row],[Reject Startup (kg)]]/Table1[[#This Row],[Material Used]]</f>
        <v>#DIV/0!</v>
      </c>
      <c r="Y836" s="3">
        <v>2</v>
      </c>
      <c r="Z836" s="36" t="e">
        <f>Table1[[#This Row],[Reject Prod (kg)]]/Table1[[#This Row],[Material Used]]</f>
        <v>#DIV/0!</v>
      </c>
      <c r="AA836" s="4">
        <v>0</v>
      </c>
      <c r="AB836" s="5">
        <v>12.01</v>
      </c>
      <c r="AC836" s="4" cm="1">
        <f t="array" ref="AC836">IFERROR(INDEX(ReferenceCard, MATCH(1, (INDEX(ReferenceCard,,1)=Table1[[#This Row],[SAP No]]) * (INDEX(ReferenceCard,,2)=Table1[[#This Row],[Mould No]]), 0), 9),)</f>
        <v>31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L836" s="2"/>
      <c r="AM836" s="2"/>
      <c r="AN836" s="3">
        <v>0</v>
      </c>
      <c r="AO836" s="3">
        <v>0</v>
      </c>
      <c r="AP836" s="6">
        <f>((Table1[[#This Row],[Reject Startup (kg)]]+Table1[[#This Row],[Reject Prod (kg)]]+Table1[[#This Row],[Reject Purging (kg)]]+Table1[[#This Row],[Reject Preform (kg)]])/Table1[[#This Row],[Part Weight (gm)]])*1000</f>
        <v>64.516129032258064</v>
      </c>
    </row>
    <row r="837" spans="1:42" x14ac:dyDescent="0.35">
      <c r="A837" s="1">
        <v>45995</v>
      </c>
      <c r="B837">
        <v>2</v>
      </c>
      <c r="C837" t="s">
        <v>3</v>
      </c>
      <c r="D837" t="str" cm="1">
        <f t="array" ref="D837">IFERROR(INDEX(ReferenceCard, MATCH(1, (INDEX(ReferenceCard,,1)=Table1[[#This Row],[SAP No]]) * (INDEX(ReferenceCard,,2)=Table1[[#This Row],[Mould No]]), 0), 6),)</f>
        <v>PET</v>
      </c>
      <c r="E837">
        <v>324163</v>
      </c>
      <c r="F837">
        <v>0</v>
      </c>
      <c r="G837" t="str" cm="1">
        <f t="array" ref="G837">IFERROR(INDEX(ReferenceCard, MATCH(1, (INDEX(ReferenceCard,,1)=Table1[[#This Row],[SAP No]]) * (INDEX(ReferenceCard,,2)=Table1[[#This Row],[Mould No]]), 0), 3),)</f>
        <v>BC28-0265-A-Q-CL</v>
      </c>
      <c r="H837">
        <v>0</v>
      </c>
      <c r="I837" cm="1">
        <f t="array" ref="I837">IFERROR(INDEX(ReferenceCard, MATCH(1, (INDEX(ReferenceCard,,1)=Table1[[#This Row],[SAP No]]) * (INDEX(ReferenceCard,,2)=Table1[[#This Row],[Mould No]]), 0), 4),)</f>
        <v>4</v>
      </c>
      <c r="J837" s="4" cm="1">
        <f t="array" ref="J837">IFERROR(INDEX(ReferenceCard, MATCH(1, (INDEX(ReferenceCard,,1)=Table1[[#This Row],[SAP No]]) * (INDEX(ReferenceCard,,2)=Table1[[#This Row],[Mould No]]), 0), 9),)</f>
        <v>24</v>
      </c>
      <c r="K837" s="4" cm="1">
        <f t="array" ref="K837">IFERROR(INDEX(ReferenceCard, MATCH(1, (INDEX(ReferenceCard,,1)=Table1[[#This Row],[SAP No]]) * (INDEX(ReferenceCard,,2)=Table1[[#This Row],[Mould No]]), 0), 7),)</f>
        <v>23.5</v>
      </c>
      <c r="L837">
        <v>0</v>
      </c>
      <c r="M837">
        <v>0</v>
      </c>
      <c r="N837">
        <v>0</v>
      </c>
      <c r="O837">
        <v>0</v>
      </c>
      <c r="P837">
        <f>Table1[[#This Row],[Shot]]*Table1[[#This Row],[Cav]]</f>
        <v>0</v>
      </c>
      <c r="Q837">
        <v>0</v>
      </c>
      <c r="R837">
        <f>(Table1[[#This Row],[Part Weight (gm)]]*Table1[[#This Row],[Finish Good]])/1000</f>
        <v>0</v>
      </c>
      <c r="S837">
        <v>0</v>
      </c>
      <c r="T837">
        <f>IF(Table1[[#This Row],[Qty Order]]="Sample","-",IF(Table1[[#This Row],[Qty Order]]="RTFN","-",Table1[[#This Row],[Qty Order]]-Table1[[#This Row],[Qty Accumulate]]))</f>
        <v>0</v>
      </c>
      <c r="U837">
        <f>((Table1[[#This Row],[Shift Output]]*Table1[[#This Row],[Part Weight (gm)]])/1000)+Table1[[#This Row],[Reject Startup (kg)]]+Table1[[#This Row],[Reject Purging (kg)]]+Table1[[#This Row],[Reject Preform (kg)]]</f>
        <v>0</v>
      </c>
      <c r="V837" s="37">
        <f>(Table1[[#This Row],[Gross Weight (gm)]]-Table1[[#This Row],[Part Weight (gm)]])*Table1[[#This Row],[Shift Output]]/1000</f>
        <v>0</v>
      </c>
      <c r="W837" s="3">
        <v>0</v>
      </c>
      <c r="X837" s="36" t="e">
        <f>Table1[[#This Row],[Reject Startup (kg)]]/Table1[[#This Row],[Material Used]]</f>
        <v>#DIV/0!</v>
      </c>
      <c r="Y837" s="3">
        <v>0</v>
      </c>
      <c r="Z837" s="36" t="e">
        <f>Table1[[#This Row],[Reject Prod (kg)]]/Table1[[#This Row],[Material Used]]</f>
        <v>#DIV/0!</v>
      </c>
      <c r="AA837" s="4">
        <v>0</v>
      </c>
      <c r="AB837" s="5">
        <v>0</v>
      </c>
      <c r="AC837" s="4" cm="1">
        <f t="array" ref="AC837">IFERROR(INDEX(ReferenceCard, MATCH(1, (INDEX(ReferenceCard,,1)=Table1[[#This Row],[SAP No]]) * (INDEX(ReferenceCard,,2)=Table1[[#This Row],[Mould No]]), 0), 9),)</f>
        <v>24</v>
      </c>
      <c r="AD837" s="5">
        <v>0</v>
      </c>
      <c r="AE837" s="5">
        <v>12.01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  <c r="AK837" t="s">
        <v>95</v>
      </c>
      <c r="AL837" s="2"/>
      <c r="AM837" s="2"/>
      <c r="AN837" s="3">
        <v>0</v>
      </c>
      <c r="AO837" s="3">
        <v>0</v>
      </c>
      <c r="AP83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38" spans="1:42" x14ac:dyDescent="0.35">
      <c r="A838" s="1">
        <v>45995</v>
      </c>
      <c r="B838">
        <v>2</v>
      </c>
      <c r="C838" t="s">
        <v>5</v>
      </c>
      <c r="D838" t="str" cm="1">
        <f t="array" ref="D838">IFERROR(INDEX(ReferenceCard, MATCH(1, (INDEX(ReferenceCard,,1)=Table1[[#This Row],[SAP No]]) * (INDEX(ReferenceCard,,2)=Table1[[#This Row],[Mould No]]), 0), 6),)</f>
        <v>PET</v>
      </c>
      <c r="E838">
        <v>543590</v>
      </c>
      <c r="F838">
        <v>0</v>
      </c>
      <c r="G838" t="str" cm="1">
        <f t="array" ref="G838">IFERROR(INDEX(ReferenceCard, MATCH(1, (INDEX(ReferenceCard,,1)=Table1[[#This Row],[SAP No]]) * (INDEX(ReferenceCard,,2)=Table1[[#This Row],[Mould No]]), 0), 3),)</f>
        <v>BC28-0130-R-R-AM</v>
      </c>
      <c r="H838">
        <v>0</v>
      </c>
      <c r="I838" cm="1">
        <f t="array" ref="I838">IFERROR(INDEX(ReferenceCard, MATCH(1, (INDEX(ReferenceCard,,1)=Table1[[#This Row],[SAP No]]) * (INDEX(ReferenceCard,,2)=Table1[[#This Row],[Mould No]]), 0), 4),)</f>
        <v>4</v>
      </c>
      <c r="J838" s="4" cm="1">
        <f t="array" ref="J838">IFERROR(INDEX(ReferenceCard, MATCH(1, (INDEX(ReferenceCard,,1)=Table1[[#This Row],[SAP No]]) * (INDEX(ReferenceCard,,2)=Table1[[#This Row],[Mould No]]), 0), 9),)</f>
        <v>19</v>
      </c>
      <c r="K838" s="4" cm="1">
        <f t="array" ref="K838">IFERROR(INDEX(ReferenceCard, MATCH(1, (INDEX(ReferenceCard,,1)=Table1[[#This Row],[SAP No]]) * (INDEX(ReferenceCard,,2)=Table1[[#This Row],[Mould No]]), 0), 7),)</f>
        <v>19</v>
      </c>
      <c r="L838">
        <v>0</v>
      </c>
      <c r="M838">
        <v>0</v>
      </c>
      <c r="N838">
        <v>0</v>
      </c>
      <c r="O838">
        <v>0</v>
      </c>
      <c r="P838">
        <f>Table1[[#This Row],[Shot]]*Table1[[#This Row],[Cav]]</f>
        <v>0</v>
      </c>
      <c r="Q838">
        <v>0</v>
      </c>
      <c r="R838">
        <f>(Table1[[#This Row],[Part Weight (gm)]]*Table1[[#This Row],[Finish Good]])/1000</f>
        <v>0</v>
      </c>
      <c r="S838">
        <v>0</v>
      </c>
      <c r="T838">
        <f>IF(Table1[[#This Row],[Qty Order]]="Sample","-",IF(Table1[[#This Row],[Qty Order]]="RTFN","-",Table1[[#This Row],[Qty Order]]-Table1[[#This Row],[Qty Accumulate]]))</f>
        <v>0</v>
      </c>
      <c r="U838">
        <f>((Table1[[#This Row],[Shift Output]]*Table1[[#This Row],[Part Weight (gm)]])/1000)+Table1[[#This Row],[Reject Startup (kg)]]+Table1[[#This Row],[Reject Purging (kg)]]+Table1[[#This Row],[Reject Preform (kg)]]</f>
        <v>0</v>
      </c>
      <c r="V838" s="37">
        <f>(Table1[[#This Row],[Gross Weight (gm)]]-Table1[[#This Row],[Part Weight (gm)]])*Table1[[#This Row],[Shift Output]]/1000</f>
        <v>0</v>
      </c>
      <c r="W838" s="3">
        <v>0</v>
      </c>
      <c r="X838" s="36" t="e">
        <f>Table1[[#This Row],[Reject Startup (kg)]]/Table1[[#This Row],[Material Used]]</f>
        <v>#DIV/0!</v>
      </c>
      <c r="Y838" s="3">
        <v>1</v>
      </c>
      <c r="Z838" s="36" t="e">
        <f>Table1[[#This Row],[Reject Prod (kg)]]/Table1[[#This Row],[Material Used]]</f>
        <v>#DIV/0!</v>
      </c>
      <c r="AA838" s="4">
        <v>0</v>
      </c>
      <c r="AB838" s="5">
        <v>12.01</v>
      </c>
      <c r="AC838" s="4" cm="1">
        <f t="array" ref="AC838">IFERROR(INDEX(ReferenceCard, MATCH(1, (INDEX(ReferenceCard,,1)=Table1[[#This Row],[SAP No]]) * (INDEX(ReferenceCard,,2)=Table1[[#This Row],[Mould No]]), 0), 9),)</f>
        <v>19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L838" s="2"/>
      <c r="AM838" s="2"/>
      <c r="AN838" s="3">
        <v>0</v>
      </c>
      <c r="AO838" s="3">
        <v>0</v>
      </c>
      <c r="AP838" s="6">
        <f>((Table1[[#This Row],[Reject Startup (kg)]]+Table1[[#This Row],[Reject Prod (kg)]]+Table1[[#This Row],[Reject Purging (kg)]]+Table1[[#This Row],[Reject Preform (kg)]])/Table1[[#This Row],[Part Weight (gm)]])*1000</f>
        <v>52.631578947368418</v>
      </c>
    </row>
    <row r="839" spans="1:42" x14ac:dyDescent="0.35">
      <c r="A839" s="1">
        <v>45995</v>
      </c>
      <c r="B839">
        <v>2</v>
      </c>
      <c r="C839" t="s">
        <v>7</v>
      </c>
      <c r="D839" t="str" cm="1">
        <f t="array" ref="D839">IFERROR(INDEX(ReferenceCard, MATCH(1, (INDEX(ReferenceCard,,1)=Table1[[#This Row],[SAP No]]) * (INDEX(ReferenceCard,,2)=Table1[[#This Row],[Mould No]]), 0), 6),)</f>
        <v>PET</v>
      </c>
      <c r="E839">
        <v>426555</v>
      </c>
      <c r="F839">
        <v>0</v>
      </c>
      <c r="G839" t="str" cm="1">
        <f t="array" ref="G839">IFERROR(INDEX(ReferenceCard, MATCH(1, (INDEX(ReferenceCard,,1)=Table1[[#This Row],[SAP No]]) * (INDEX(ReferenceCard,,2)=Table1[[#This Row],[Mould No]]), 0), 3),)</f>
        <v>BX38-0330-Z-S-CL-HW</v>
      </c>
      <c r="H839">
        <v>0</v>
      </c>
      <c r="I839" cm="1">
        <f t="array" ref="I839">IFERROR(INDEX(ReferenceCard, MATCH(1, (INDEX(ReferenceCard,,1)=Table1[[#This Row],[SAP No]]) * (INDEX(ReferenceCard,,2)=Table1[[#This Row],[Mould No]]), 0), 4),)</f>
        <v>4</v>
      </c>
      <c r="J839" s="4" cm="1">
        <f t="array" ref="J839">IFERROR(INDEX(ReferenceCard, MATCH(1, (INDEX(ReferenceCard,,1)=Table1[[#This Row],[SAP No]]) * (INDEX(ReferenceCard,,2)=Table1[[#This Row],[Mould No]]), 0), 9),)</f>
        <v>29</v>
      </c>
      <c r="K839" s="4" cm="1">
        <f t="array" ref="K839">IFERROR(INDEX(ReferenceCard, MATCH(1, (INDEX(ReferenceCard,,1)=Table1[[#This Row],[SAP No]]) * (INDEX(ReferenceCard,,2)=Table1[[#This Row],[Mould No]]), 0), 7),)</f>
        <v>29</v>
      </c>
      <c r="L839">
        <v>0</v>
      </c>
      <c r="M839">
        <v>0</v>
      </c>
      <c r="N839">
        <v>0</v>
      </c>
      <c r="O839">
        <v>0</v>
      </c>
      <c r="P839">
        <f>Table1[[#This Row],[Shot]]*Table1[[#This Row],[Cav]]</f>
        <v>0</v>
      </c>
      <c r="Q839">
        <v>0</v>
      </c>
      <c r="R839">
        <f>(Table1[[#This Row],[Part Weight (gm)]]*Table1[[#This Row],[Finish Good]])/1000</f>
        <v>0</v>
      </c>
      <c r="S839">
        <v>0</v>
      </c>
      <c r="T839">
        <f>IF(Table1[[#This Row],[Qty Order]]="Sample","-",IF(Table1[[#This Row],[Qty Order]]="RTFN","-",Table1[[#This Row],[Qty Order]]-Table1[[#This Row],[Qty Accumulate]]))</f>
        <v>0</v>
      </c>
      <c r="U839">
        <f>((Table1[[#This Row],[Shift Output]]*Table1[[#This Row],[Part Weight (gm)]])/1000)+Table1[[#This Row],[Reject Startup (kg)]]+Table1[[#This Row],[Reject Purging (kg)]]+Table1[[#This Row],[Reject Preform (kg)]]</f>
        <v>0</v>
      </c>
      <c r="V839" s="37">
        <f>(Table1[[#This Row],[Gross Weight (gm)]]-Table1[[#This Row],[Part Weight (gm)]])*Table1[[#This Row],[Shift Output]]/1000</f>
        <v>0</v>
      </c>
      <c r="W839" s="3">
        <v>0</v>
      </c>
      <c r="X839" s="36" t="e">
        <f>Table1[[#This Row],[Reject Startup (kg)]]/Table1[[#This Row],[Material Used]]</f>
        <v>#DIV/0!</v>
      </c>
      <c r="Y839" s="3">
        <v>1</v>
      </c>
      <c r="Z839" s="36" t="e">
        <f>Table1[[#This Row],[Reject Prod (kg)]]/Table1[[#This Row],[Material Used]]</f>
        <v>#DIV/0!</v>
      </c>
      <c r="AA839" s="4">
        <v>0</v>
      </c>
      <c r="AB839" s="5">
        <v>0</v>
      </c>
      <c r="AC839" s="4" cm="1">
        <f t="array" ref="AC839">IFERROR(INDEX(ReferenceCard, MATCH(1, (INDEX(ReferenceCard,,1)=Table1[[#This Row],[SAP No]]) * (INDEX(ReferenceCard,,2)=Table1[[#This Row],[Mould No]]), 0), 9),)</f>
        <v>29</v>
      </c>
      <c r="AD839" s="5">
        <v>0</v>
      </c>
      <c r="AE839" s="5">
        <v>0</v>
      </c>
      <c r="AF839" s="5">
        <v>0</v>
      </c>
      <c r="AG839" s="5">
        <v>0</v>
      </c>
      <c r="AH839" s="5">
        <v>12.01</v>
      </c>
      <c r="AI839" s="5">
        <v>0</v>
      </c>
      <c r="AJ839" s="5">
        <v>0</v>
      </c>
      <c r="AL839" s="2"/>
      <c r="AM839" s="2"/>
      <c r="AN839" s="3">
        <v>0</v>
      </c>
      <c r="AO839" s="3">
        <v>0</v>
      </c>
      <c r="AP839" s="6">
        <f>((Table1[[#This Row],[Reject Startup (kg)]]+Table1[[#This Row],[Reject Prod (kg)]]+Table1[[#This Row],[Reject Purging (kg)]]+Table1[[#This Row],[Reject Preform (kg)]])/Table1[[#This Row],[Part Weight (gm)]])*1000</f>
        <v>34.482758620689651</v>
      </c>
    </row>
    <row r="840" spans="1:42" x14ac:dyDescent="0.35">
      <c r="A840" s="1">
        <v>45995</v>
      </c>
      <c r="B840">
        <v>2</v>
      </c>
      <c r="C840" t="s">
        <v>9</v>
      </c>
      <c r="D840" t="str" cm="1">
        <f t="array" ref="D840">IFERROR(INDEX(ReferenceCard, MATCH(1, (INDEX(ReferenceCard,,1)=Table1[[#This Row],[SAP No]]) * (INDEX(ReferenceCard,,2)=Table1[[#This Row],[Mould No]]), 0), 6),)</f>
        <v>rPET</v>
      </c>
      <c r="E840">
        <v>593537</v>
      </c>
      <c r="F840">
        <v>0</v>
      </c>
      <c r="G840" t="str" cm="1">
        <f t="array" ref="G840">IFERROR(INDEX(ReferenceCard, MATCH(1, (INDEX(ReferenceCard,,1)=Table1[[#This Row],[SAP No]]) * (INDEX(ReferenceCard,,2)=Table1[[#This Row],[Mould No]]), 0), 3),)</f>
        <v>BX38-1000-RN-R-CL-rPET</v>
      </c>
      <c r="H840">
        <v>0</v>
      </c>
      <c r="I840" cm="1">
        <f t="array" ref="I840">IFERROR(INDEX(ReferenceCard, MATCH(1, (INDEX(ReferenceCard,,1)=Table1[[#This Row],[SAP No]]) * (INDEX(ReferenceCard,,2)=Table1[[#This Row],[Mould No]]), 0), 4),)</f>
        <v>4</v>
      </c>
      <c r="J840" s="4" cm="1">
        <f t="array" ref="J840">IFERROR(INDEX(ReferenceCard, MATCH(1, (INDEX(ReferenceCard,,1)=Table1[[#This Row],[SAP No]]) * (INDEX(ReferenceCard,,2)=Table1[[#This Row],[Mould No]]), 0), 9),)</f>
        <v>56.5</v>
      </c>
      <c r="K840" s="4" cm="1">
        <f t="array" ref="K840">IFERROR(INDEX(ReferenceCard, MATCH(1, (INDEX(ReferenceCard,,1)=Table1[[#This Row],[SAP No]]) * (INDEX(ReferenceCard,,2)=Table1[[#This Row],[Mould No]]), 0), 7),)</f>
        <v>56.8</v>
      </c>
      <c r="L840">
        <v>0</v>
      </c>
      <c r="M840">
        <v>0</v>
      </c>
      <c r="N840">
        <v>0</v>
      </c>
      <c r="O840">
        <v>0</v>
      </c>
      <c r="P840">
        <f>Table1[[#This Row],[Shot]]*Table1[[#This Row],[Cav]]</f>
        <v>0</v>
      </c>
      <c r="Q840">
        <v>0</v>
      </c>
      <c r="R840">
        <f>(Table1[[#This Row],[Part Weight (gm)]]*Table1[[#This Row],[Finish Good]])/1000</f>
        <v>0</v>
      </c>
      <c r="S840">
        <v>0</v>
      </c>
      <c r="T840">
        <f>IF(Table1[[#This Row],[Qty Order]]="Sample","-",IF(Table1[[#This Row],[Qty Order]]="RTFN","-",Table1[[#This Row],[Qty Order]]-Table1[[#This Row],[Qty Accumulate]]))</f>
        <v>0</v>
      </c>
      <c r="U840">
        <f>((Table1[[#This Row],[Shift Output]]*Table1[[#This Row],[Part Weight (gm)]])/1000)+Table1[[#This Row],[Reject Startup (kg)]]+Table1[[#This Row],[Reject Purging (kg)]]+Table1[[#This Row],[Reject Preform (kg)]]</f>
        <v>0</v>
      </c>
      <c r="V840" s="37">
        <f>(Table1[[#This Row],[Gross Weight (gm)]]-Table1[[#This Row],[Part Weight (gm)]])*Table1[[#This Row],[Shift Output]]/1000</f>
        <v>0</v>
      </c>
      <c r="W840" s="3">
        <v>0</v>
      </c>
      <c r="X840" s="36" t="e">
        <f>Table1[[#This Row],[Reject Startup (kg)]]/Table1[[#This Row],[Material Used]]</f>
        <v>#DIV/0!</v>
      </c>
      <c r="Y840" s="3">
        <v>1</v>
      </c>
      <c r="Z840" s="36" t="e">
        <f>Table1[[#This Row],[Reject Prod (kg)]]/Table1[[#This Row],[Material Used]]</f>
        <v>#DIV/0!</v>
      </c>
      <c r="AA840" s="4">
        <v>0</v>
      </c>
      <c r="AB840" s="5">
        <v>12.01</v>
      </c>
      <c r="AC840" s="4" cm="1">
        <f t="array" ref="AC840">IFERROR(INDEX(ReferenceCard, MATCH(1, (INDEX(ReferenceCard,,1)=Table1[[#This Row],[SAP No]]) * (INDEX(ReferenceCard,,2)=Table1[[#This Row],[Mould No]]), 0), 9),)</f>
        <v>56.5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  <c r="AL840" s="2"/>
      <c r="AM840" s="2"/>
      <c r="AN840" s="3">
        <v>0</v>
      </c>
      <c r="AO840" s="3">
        <v>0</v>
      </c>
      <c r="AP840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841" spans="1:42" x14ac:dyDescent="0.35">
      <c r="A841" s="1">
        <v>45995</v>
      </c>
      <c r="B841">
        <v>2</v>
      </c>
      <c r="C841" t="s">
        <v>16</v>
      </c>
      <c r="D841" t="str" cm="1">
        <f t="array" ref="D841">IFERROR(INDEX(ReferenceCard, MATCH(1, (INDEX(ReferenceCard,,1)=Table1[[#This Row],[SAP No]]) * (INDEX(ReferenceCard,,2)=Table1[[#This Row],[Mould No]]), 0), 6),)</f>
        <v>PET</v>
      </c>
      <c r="E841">
        <v>323092</v>
      </c>
      <c r="F841">
        <v>0</v>
      </c>
      <c r="G841" t="str" cm="1">
        <f t="array" ref="G841">IFERROR(INDEX(ReferenceCard, MATCH(1, (INDEX(ReferenceCard,,1)=Table1[[#This Row],[SAP No]]) * (INDEX(ReferenceCard,,2)=Table1[[#This Row],[Mould No]]), 0), 3),)</f>
        <v>BX38-1000-GH-R-CL(GREEN) (ASEM)</v>
      </c>
      <c r="H841">
        <v>0</v>
      </c>
      <c r="I841" cm="1">
        <f t="array" ref="I841">IFERROR(INDEX(ReferenceCard, MATCH(1, (INDEX(ReferenceCard,,1)=Table1[[#This Row],[SAP No]]) * (INDEX(ReferenceCard,,2)=Table1[[#This Row],[Mould No]]), 0), 4),)</f>
        <v>4</v>
      </c>
      <c r="J841" s="4" cm="1">
        <f t="array" ref="J841">IFERROR(INDEX(ReferenceCard, MATCH(1, (INDEX(ReferenceCard,,1)=Table1[[#This Row],[SAP No]]) * (INDEX(ReferenceCard,,2)=Table1[[#This Row],[Mould No]]), 0), 9),)</f>
        <v>48.9</v>
      </c>
      <c r="K841" s="4" cm="1">
        <f t="array" ref="K841">IFERROR(INDEX(ReferenceCard, MATCH(1, (INDEX(ReferenceCard,,1)=Table1[[#This Row],[SAP No]]) * (INDEX(ReferenceCard,,2)=Table1[[#This Row],[Mould No]]), 0), 7),)</f>
        <v>48.9</v>
      </c>
      <c r="L841">
        <v>0</v>
      </c>
      <c r="M841">
        <v>0</v>
      </c>
      <c r="N841">
        <v>0</v>
      </c>
      <c r="O841">
        <v>0</v>
      </c>
      <c r="P841">
        <f>Table1[[#This Row],[Shot]]*Table1[[#This Row],[Cav]]</f>
        <v>0</v>
      </c>
      <c r="Q841">
        <v>0</v>
      </c>
      <c r="R841">
        <f>(Table1[[#This Row],[Part Weight (gm)]]*Table1[[#This Row],[Finish Good]])/1000</f>
        <v>0</v>
      </c>
      <c r="S841">
        <v>0</v>
      </c>
      <c r="T841">
        <f>IF(Table1[[#This Row],[Qty Order]]="Sample","-",IF(Table1[[#This Row],[Qty Order]]="RTFN","-",Table1[[#This Row],[Qty Order]]-Table1[[#This Row],[Qty Accumulate]]))</f>
        <v>0</v>
      </c>
      <c r="U841">
        <f>((Table1[[#This Row],[Shift Output]]*Table1[[#This Row],[Part Weight (gm)]])/1000)+Table1[[#This Row],[Reject Startup (kg)]]+Table1[[#This Row],[Reject Purging (kg)]]+Table1[[#This Row],[Reject Preform (kg)]]</f>
        <v>11</v>
      </c>
      <c r="V841" s="37">
        <f>(Table1[[#This Row],[Gross Weight (gm)]]-Table1[[#This Row],[Part Weight (gm)]])*Table1[[#This Row],[Shift Output]]/1000</f>
        <v>0</v>
      </c>
      <c r="W841" s="3">
        <v>11</v>
      </c>
      <c r="X841" s="36">
        <f>Table1[[#This Row],[Reject Startup (kg)]]/Table1[[#This Row],[Material Used]]</f>
        <v>1</v>
      </c>
      <c r="Y841" s="3">
        <v>0</v>
      </c>
      <c r="Z841" s="36">
        <f>Table1[[#This Row],[Reject Prod (kg)]]/Table1[[#This Row],[Material Used]]</f>
        <v>0</v>
      </c>
      <c r="AA841" s="4">
        <v>0</v>
      </c>
      <c r="AB841" s="5">
        <v>0</v>
      </c>
      <c r="AC841" s="4" cm="1">
        <f t="array" ref="AC841">IFERROR(INDEX(ReferenceCard, MATCH(1, (INDEX(ReferenceCard,,1)=Table1[[#This Row],[SAP No]]) * (INDEX(ReferenceCard,,2)=Table1[[#This Row],[Mould No]]), 0), 9),)</f>
        <v>48.9</v>
      </c>
      <c r="AD841" s="5">
        <v>0</v>
      </c>
      <c r="AE841" s="5">
        <v>0</v>
      </c>
      <c r="AF841" s="5">
        <v>0</v>
      </c>
      <c r="AG841" s="5">
        <v>0</v>
      </c>
      <c r="AH841" s="5">
        <v>12.01</v>
      </c>
      <c r="AI841" s="5">
        <v>0</v>
      </c>
      <c r="AJ841" s="5">
        <v>0</v>
      </c>
      <c r="AL841" s="2"/>
      <c r="AM841" s="2"/>
      <c r="AN841" s="3">
        <v>0</v>
      </c>
      <c r="AO841" s="3">
        <v>0</v>
      </c>
      <c r="AP841" s="6">
        <f>((Table1[[#This Row],[Reject Startup (kg)]]+Table1[[#This Row],[Reject Prod (kg)]]+Table1[[#This Row],[Reject Purging (kg)]]+Table1[[#This Row],[Reject Preform (kg)]])/Table1[[#This Row],[Part Weight (gm)]])*1000</f>
        <v>224.94887525562373</v>
      </c>
    </row>
    <row r="842" spans="1:42" x14ac:dyDescent="0.35">
      <c r="A842" s="1">
        <v>45995</v>
      </c>
      <c r="B842">
        <v>2</v>
      </c>
      <c r="C842" t="s">
        <v>23</v>
      </c>
      <c r="D842" t="str" cm="1">
        <f t="array" ref="D842">IFERROR(INDEX(ReferenceCard, MATCH(1, (INDEX(ReferenceCard,,1)=Table1[[#This Row],[SAP No]]) * (INDEX(ReferenceCard,,2)=Table1[[#This Row],[Mould No]]), 0), 6),)</f>
        <v>PPSB520Y</v>
      </c>
      <c r="E842">
        <v>586276</v>
      </c>
      <c r="F842">
        <v>2</v>
      </c>
      <c r="G842" t="str" cm="1">
        <f t="array" ref="G842">IFERROR(INDEX(ReferenceCard, MATCH(1, (INDEX(ReferenceCard,,1)=Table1[[#This Row],[SAP No]]) * (INDEX(ReferenceCard,,2)=Table1[[#This Row],[Mould No]]), 0), 3),)</f>
        <v>BC28-0056-D-APH-LEB-604001-MOLD2</v>
      </c>
      <c r="H842">
        <v>0</v>
      </c>
      <c r="I842" cm="1">
        <f t="array" ref="I842">IFERROR(INDEX(ReferenceCard, MATCH(1, (INDEX(ReferenceCard,,1)=Table1[[#This Row],[SAP No]]) * (INDEX(ReferenceCard,,2)=Table1[[#This Row],[Mould No]]), 0), 4),)</f>
        <v>6</v>
      </c>
      <c r="J842" s="4" cm="1">
        <f t="array" ref="J842">IFERROR(INDEX(ReferenceCard, MATCH(1, (INDEX(ReferenceCard,,1)=Table1[[#This Row],[SAP No]]) * (INDEX(ReferenceCard,,2)=Table1[[#This Row],[Mould No]]), 0), 9),)</f>
        <v>12.3</v>
      </c>
      <c r="K842" s="4" cm="1">
        <f t="array" ref="K842">IFERROR(INDEX(ReferenceCard, MATCH(1, (INDEX(ReferenceCard,,1)=Table1[[#This Row],[SAP No]]) * (INDEX(ReferenceCard,,2)=Table1[[#This Row],[Mould No]]), 0), 7),)</f>
        <v>12.3</v>
      </c>
      <c r="L842">
        <v>0</v>
      </c>
      <c r="M842">
        <v>0</v>
      </c>
      <c r="N842">
        <v>0</v>
      </c>
      <c r="O842">
        <v>0</v>
      </c>
      <c r="P842">
        <f>Table1[[#This Row],[Shot]]*Table1[[#This Row],[Cav]]</f>
        <v>0</v>
      </c>
      <c r="Q842">
        <v>0</v>
      </c>
      <c r="R842">
        <f>(Table1[[#This Row],[Part Weight (gm)]]*Table1[[#This Row],[Finish Good]])/1000</f>
        <v>0</v>
      </c>
      <c r="S842">
        <v>0</v>
      </c>
      <c r="T842">
        <f>IF(Table1[[#This Row],[Qty Order]]="Sample","-",IF(Table1[[#This Row],[Qty Order]]="RTFN","-",Table1[[#This Row],[Qty Order]]-Table1[[#This Row],[Qty Accumulate]]))</f>
        <v>0</v>
      </c>
      <c r="U842">
        <f>((Table1[[#This Row],[Shift Output]]*Table1[[#This Row],[Part Weight (gm)]])/1000)+Table1[[#This Row],[Reject Startup (kg)]]+Table1[[#This Row],[Reject Purging (kg)]]+Table1[[#This Row],[Reject Preform (kg)]]</f>
        <v>0</v>
      </c>
      <c r="V842" s="37">
        <f>(Table1[[#This Row],[Gross Weight (gm)]]-Table1[[#This Row],[Part Weight (gm)]])*Table1[[#This Row],[Shift Output]]/1000</f>
        <v>0</v>
      </c>
      <c r="W842" s="3">
        <v>0</v>
      </c>
      <c r="X842" s="36" t="e">
        <f>Table1[[#This Row],[Reject Startup (kg)]]/Table1[[#This Row],[Material Used]]</f>
        <v>#DIV/0!</v>
      </c>
      <c r="Y842" s="3">
        <v>6</v>
      </c>
      <c r="Z842" s="36" t="e">
        <f>Table1[[#This Row],[Reject Prod (kg)]]/Table1[[#This Row],[Material Used]]</f>
        <v>#DIV/0!</v>
      </c>
      <c r="AA842" s="4">
        <v>0</v>
      </c>
      <c r="AB842" s="5">
        <v>12.01</v>
      </c>
      <c r="AC842" s="4" cm="1">
        <f t="array" ref="AC842">IFERROR(INDEX(ReferenceCard, MATCH(1, (INDEX(ReferenceCard,,1)=Table1[[#This Row],[SAP No]]) * (INDEX(ReferenceCard,,2)=Table1[[#This Row],[Mould No]]), 0), 9),)</f>
        <v>12.3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L842" s="2"/>
      <c r="AM842" s="2"/>
      <c r="AN842" s="3">
        <v>0</v>
      </c>
      <c r="AO842" s="3">
        <v>0</v>
      </c>
      <c r="AP842" s="6">
        <f>((Table1[[#This Row],[Reject Startup (kg)]]+Table1[[#This Row],[Reject Prod (kg)]]+Table1[[#This Row],[Reject Purging (kg)]]+Table1[[#This Row],[Reject Preform (kg)]])/Table1[[#This Row],[Part Weight (gm)]])*1000</f>
        <v>487.80487804878049</v>
      </c>
    </row>
    <row r="843" spans="1:42" x14ac:dyDescent="0.35">
      <c r="A843" s="1">
        <v>45995</v>
      </c>
      <c r="B843">
        <v>2</v>
      </c>
      <c r="C843" t="s">
        <v>25</v>
      </c>
      <c r="D843" t="str" cm="1">
        <f t="array" ref="D843">IFERROR(INDEX(ReferenceCard, MATCH(1, (INDEX(ReferenceCard,,1)=Table1[[#This Row],[SAP No]]) * (INDEX(ReferenceCard,,2)=Table1[[#This Row],[Mould No]]), 0), 6),)</f>
        <v>PET</v>
      </c>
      <c r="E843">
        <v>323133</v>
      </c>
      <c r="F843">
        <v>0</v>
      </c>
      <c r="G843" t="str" cm="1">
        <f t="array" ref="G843">IFERROR(INDEX(ReferenceCard, MATCH(1, (INDEX(ReferenceCard,,1)=Table1[[#This Row],[SAP No]]) * (INDEX(ReferenceCard,,2)=Table1[[#This Row],[Mould No]]), 0), 3),)</f>
        <v>BX38-2000-RH-R-CL(GREEN) (ASEM)</v>
      </c>
      <c r="H843">
        <v>0</v>
      </c>
      <c r="I843" cm="1">
        <f t="array" ref="I843">IFERROR(INDEX(ReferenceCard, MATCH(1, (INDEX(ReferenceCard,,1)=Table1[[#This Row],[SAP No]]) * (INDEX(ReferenceCard,,2)=Table1[[#This Row],[Mould No]]), 0), 4),)</f>
        <v>4</v>
      </c>
      <c r="J843" s="4" cm="1">
        <f t="array" ref="J843">IFERROR(INDEX(ReferenceCard, MATCH(1, (INDEX(ReferenceCard,,1)=Table1[[#This Row],[SAP No]]) * (INDEX(ReferenceCard,,2)=Table1[[#This Row],[Mould No]]), 0), 9),)</f>
        <v>77</v>
      </c>
      <c r="K843" s="4" cm="1">
        <f t="array" ref="K843">IFERROR(INDEX(ReferenceCard, MATCH(1, (INDEX(ReferenceCard,,1)=Table1[[#This Row],[SAP No]]) * (INDEX(ReferenceCard,,2)=Table1[[#This Row],[Mould No]]), 0), 7),)</f>
        <v>77</v>
      </c>
      <c r="L843">
        <v>0</v>
      </c>
      <c r="M843">
        <v>0</v>
      </c>
      <c r="N843">
        <v>0</v>
      </c>
      <c r="O843">
        <v>0</v>
      </c>
      <c r="P843">
        <f>Table1[[#This Row],[Shot]]*Table1[[#This Row],[Cav]]</f>
        <v>0</v>
      </c>
      <c r="Q843">
        <v>0</v>
      </c>
      <c r="R843">
        <f>(Table1[[#This Row],[Part Weight (gm)]]*Table1[[#This Row],[Finish Good]])/1000</f>
        <v>0</v>
      </c>
      <c r="S843">
        <v>0</v>
      </c>
      <c r="T843">
        <f>IF(Table1[[#This Row],[Qty Order]]="Sample","-",IF(Table1[[#This Row],[Qty Order]]="RTFN","-",Table1[[#This Row],[Qty Order]]-Table1[[#This Row],[Qty Accumulate]]))</f>
        <v>0</v>
      </c>
      <c r="U843">
        <f>((Table1[[#This Row],[Shift Output]]*Table1[[#This Row],[Part Weight (gm)]])/1000)+Table1[[#This Row],[Reject Startup (kg)]]+Table1[[#This Row],[Reject Purging (kg)]]+Table1[[#This Row],[Reject Preform (kg)]]</f>
        <v>6</v>
      </c>
      <c r="V843" s="37">
        <f>(Table1[[#This Row],[Gross Weight (gm)]]-Table1[[#This Row],[Part Weight (gm)]])*Table1[[#This Row],[Shift Output]]/1000</f>
        <v>0</v>
      </c>
      <c r="W843" s="3">
        <v>6</v>
      </c>
      <c r="X843" s="36">
        <f>Table1[[#This Row],[Reject Startup (kg)]]/Table1[[#This Row],[Material Used]]</f>
        <v>1</v>
      </c>
      <c r="Y843" s="3">
        <v>7</v>
      </c>
      <c r="Z843" s="36">
        <f>Table1[[#This Row],[Reject Prod (kg)]]/Table1[[#This Row],[Material Used]]</f>
        <v>1.1666666666666667</v>
      </c>
      <c r="AA843" s="4">
        <v>0</v>
      </c>
      <c r="AB843" s="5">
        <v>12.01</v>
      </c>
      <c r="AC843" s="4" cm="1">
        <f t="array" ref="AC843">IFERROR(INDEX(ReferenceCard, MATCH(1, (INDEX(ReferenceCard,,1)=Table1[[#This Row],[SAP No]]) * (INDEX(ReferenceCard,,2)=Table1[[#This Row],[Mould No]]), 0), 9),)</f>
        <v>77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L843" s="2"/>
      <c r="AM843" s="2"/>
      <c r="AN843" s="3">
        <v>0</v>
      </c>
      <c r="AO843" s="3">
        <v>0</v>
      </c>
      <c r="AP843" s="6">
        <f>((Table1[[#This Row],[Reject Startup (kg)]]+Table1[[#This Row],[Reject Prod (kg)]]+Table1[[#This Row],[Reject Purging (kg)]]+Table1[[#This Row],[Reject Preform (kg)]])/Table1[[#This Row],[Part Weight (gm)]])*1000</f>
        <v>168.83116883116884</v>
      </c>
    </row>
    <row r="844" spans="1:42" x14ac:dyDescent="0.35">
      <c r="A844" s="1">
        <v>45995</v>
      </c>
      <c r="B844">
        <v>2</v>
      </c>
      <c r="C844" t="s">
        <v>27</v>
      </c>
      <c r="D844" t="str" cm="1">
        <f t="array" ref="D844">IFERROR(INDEX(ReferenceCard, MATCH(1, (INDEX(ReferenceCard,,1)=Table1[[#This Row],[SAP No]]) * (INDEX(ReferenceCard,,2)=Table1[[#This Row],[Mould No]]), 0), 6),)</f>
        <v>PPSB520Y</v>
      </c>
      <c r="E844">
        <v>552181</v>
      </c>
      <c r="F844">
        <v>4</v>
      </c>
      <c r="G844" t="str" cm="1">
        <f t="array" ref="G844">IFERROR(INDEX(ReferenceCard, MATCH(1, (INDEX(ReferenceCard,,1)=Table1[[#This Row],[SAP No]]) * (INDEX(ReferenceCard,,2)=Table1[[#This Row],[Mould No]]), 0), 3),)</f>
        <v>BC28-0090-D-APH-5180-3538-PP-6 NOTCHES-MOLD4</v>
      </c>
      <c r="H844">
        <v>0</v>
      </c>
      <c r="I844" cm="1">
        <f t="array" ref="I844">IFERROR(INDEX(ReferenceCard, MATCH(1, (INDEX(ReferenceCard,,1)=Table1[[#This Row],[SAP No]]) * (INDEX(ReferenceCard,,2)=Table1[[#This Row],[Mould No]]), 0), 4),)</f>
        <v>6</v>
      </c>
      <c r="J844" s="4" cm="1">
        <f t="array" ref="J844">IFERROR(INDEX(ReferenceCard, MATCH(1, (INDEX(ReferenceCard,,1)=Table1[[#This Row],[SAP No]]) * (INDEX(ReferenceCard,,2)=Table1[[#This Row],[Mould No]]), 0), 9),)</f>
        <v>18.8</v>
      </c>
      <c r="K844" s="4" cm="1">
        <f t="array" ref="K844">IFERROR(INDEX(ReferenceCard, MATCH(1, (INDEX(ReferenceCard,,1)=Table1[[#This Row],[SAP No]]) * (INDEX(ReferenceCard,,2)=Table1[[#This Row],[Mould No]]), 0), 7),)</f>
        <v>18.8</v>
      </c>
      <c r="L844">
        <v>0</v>
      </c>
      <c r="M844">
        <v>0</v>
      </c>
      <c r="N844">
        <v>0</v>
      </c>
      <c r="O844">
        <v>0</v>
      </c>
      <c r="P844">
        <f>Table1[[#This Row],[Shot]]*Table1[[#This Row],[Cav]]</f>
        <v>0</v>
      </c>
      <c r="Q844">
        <v>0</v>
      </c>
      <c r="R844">
        <f>(Table1[[#This Row],[Part Weight (gm)]]*Table1[[#This Row],[Finish Good]])/1000</f>
        <v>0</v>
      </c>
      <c r="S844">
        <v>0</v>
      </c>
      <c r="T844">
        <f>IF(Table1[[#This Row],[Qty Order]]="Sample","-",IF(Table1[[#This Row],[Qty Order]]="RTFN","-",Table1[[#This Row],[Qty Order]]-Table1[[#This Row],[Qty Accumulate]]))</f>
        <v>0</v>
      </c>
      <c r="U844">
        <f>((Table1[[#This Row],[Shift Output]]*Table1[[#This Row],[Part Weight (gm)]])/1000)+Table1[[#This Row],[Reject Startup (kg)]]+Table1[[#This Row],[Reject Purging (kg)]]+Table1[[#This Row],[Reject Preform (kg)]]</f>
        <v>12</v>
      </c>
      <c r="V844" s="37">
        <f>(Table1[[#This Row],[Gross Weight (gm)]]-Table1[[#This Row],[Part Weight (gm)]])*Table1[[#This Row],[Shift Output]]/1000</f>
        <v>0</v>
      </c>
      <c r="W844" s="3">
        <v>12</v>
      </c>
      <c r="X844" s="36">
        <f>Table1[[#This Row],[Reject Startup (kg)]]/Table1[[#This Row],[Material Used]]</f>
        <v>1</v>
      </c>
      <c r="Y844" s="3">
        <v>0</v>
      </c>
      <c r="Z844" s="36">
        <f>Table1[[#This Row],[Reject Prod (kg)]]/Table1[[#This Row],[Material Used]]</f>
        <v>0</v>
      </c>
      <c r="AA844" s="4">
        <v>0</v>
      </c>
      <c r="AB844" s="5">
        <v>0</v>
      </c>
      <c r="AC844" s="4" cm="1">
        <f t="array" ref="AC844">IFERROR(INDEX(ReferenceCard, MATCH(1, (INDEX(ReferenceCard,,1)=Table1[[#This Row],[SAP No]]) * (INDEX(ReferenceCard,,2)=Table1[[#This Row],[Mould No]]), 0), 9),)</f>
        <v>18.8</v>
      </c>
      <c r="AD844" s="5">
        <v>0</v>
      </c>
      <c r="AE844" s="5">
        <v>0</v>
      </c>
      <c r="AF844" s="5">
        <v>0</v>
      </c>
      <c r="AG844" s="5">
        <v>0</v>
      </c>
      <c r="AH844" s="5">
        <v>12.01</v>
      </c>
      <c r="AI844" s="5">
        <v>0</v>
      </c>
      <c r="AJ844" s="5">
        <v>0</v>
      </c>
      <c r="AL844" s="2"/>
      <c r="AM844" s="2"/>
      <c r="AN844" s="3">
        <v>0</v>
      </c>
      <c r="AO844" s="3">
        <v>0</v>
      </c>
      <c r="AP844" s="6">
        <f>((Table1[[#This Row],[Reject Startup (kg)]]+Table1[[#This Row],[Reject Prod (kg)]]+Table1[[#This Row],[Reject Purging (kg)]]+Table1[[#This Row],[Reject Preform (kg)]])/Table1[[#This Row],[Part Weight (gm)]])*1000</f>
        <v>638.29787234042544</v>
      </c>
    </row>
    <row r="845" spans="1:42" x14ac:dyDescent="0.35">
      <c r="A845" s="1">
        <v>45995</v>
      </c>
      <c r="B845">
        <v>2</v>
      </c>
      <c r="C845" t="s">
        <v>29</v>
      </c>
      <c r="D845" t="str" cm="1">
        <f t="array" ref="D845">IFERROR(INDEX(ReferenceCard, MATCH(1, (INDEX(ReferenceCard,,1)=Table1[[#This Row],[SAP No]]) * (INDEX(ReferenceCard,,2)=Table1[[#This Row],[Mould No]]), 0), 6),)</f>
        <v>PET</v>
      </c>
      <c r="E845">
        <v>620599</v>
      </c>
      <c r="F845">
        <v>0</v>
      </c>
      <c r="G845" t="str" cm="1">
        <f t="array" ref="G845">IFERROR(INDEX(ReferenceCard, MATCH(1, (INDEX(ReferenceCard,,1)=Table1[[#This Row],[SAP No]]) * (INDEX(ReferenceCard,,2)=Table1[[#This Row],[Mould No]]), 0), 3),)</f>
        <v>BC28-0750-K4-R-CL (55g)</v>
      </c>
      <c r="H845">
        <v>0</v>
      </c>
      <c r="I845" cm="1">
        <f t="array" ref="I845">IFERROR(INDEX(ReferenceCard, MATCH(1, (INDEX(ReferenceCard,,1)=Table1[[#This Row],[SAP No]]) * (INDEX(ReferenceCard,,2)=Table1[[#This Row],[Mould No]]), 0), 4),)</f>
        <v>4</v>
      </c>
      <c r="J845" s="4" cm="1">
        <f t="array" ref="J845">IFERROR(INDEX(ReferenceCard, MATCH(1, (INDEX(ReferenceCard,,1)=Table1[[#This Row],[SAP No]]) * (INDEX(ReferenceCard,,2)=Table1[[#This Row],[Mould No]]), 0), 9),)</f>
        <v>55</v>
      </c>
      <c r="K845" s="4" cm="1">
        <f t="array" ref="K845">IFERROR(INDEX(ReferenceCard, MATCH(1, (INDEX(ReferenceCard,,1)=Table1[[#This Row],[SAP No]]) * (INDEX(ReferenceCard,,2)=Table1[[#This Row],[Mould No]]), 0), 7),)</f>
        <v>55</v>
      </c>
      <c r="L845">
        <v>0</v>
      </c>
      <c r="M845">
        <v>0</v>
      </c>
      <c r="N845">
        <v>0</v>
      </c>
      <c r="O845">
        <v>0</v>
      </c>
      <c r="P845">
        <f>Table1[[#This Row],[Shot]]*Table1[[#This Row],[Cav]]</f>
        <v>0</v>
      </c>
      <c r="Q845">
        <v>0</v>
      </c>
      <c r="R845">
        <f>(Table1[[#This Row],[Part Weight (gm)]]*Table1[[#This Row],[Finish Good]])/1000</f>
        <v>0</v>
      </c>
      <c r="S845">
        <v>0</v>
      </c>
      <c r="T845">
        <f>IF(Table1[[#This Row],[Qty Order]]="Sample","-",IF(Table1[[#This Row],[Qty Order]]="RTFN","-",Table1[[#This Row],[Qty Order]]-Table1[[#This Row],[Qty Accumulate]]))</f>
        <v>0</v>
      </c>
      <c r="U845">
        <f>((Table1[[#This Row],[Shift Output]]*Table1[[#This Row],[Part Weight (gm)]])/1000)+Table1[[#This Row],[Reject Startup (kg)]]+Table1[[#This Row],[Reject Purging (kg)]]+Table1[[#This Row],[Reject Preform (kg)]]</f>
        <v>0</v>
      </c>
      <c r="V845" s="37">
        <f>(Table1[[#This Row],[Gross Weight (gm)]]-Table1[[#This Row],[Part Weight (gm)]])*Table1[[#This Row],[Shift Output]]/1000</f>
        <v>0</v>
      </c>
      <c r="W845" s="3">
        <v>0</v>
      </c>
      <c r="X845" s="36" t="e">
        <f>Table1[[#This Row],[Reject Startup (kg)]]/Table1[[#This Row],[Material Used]]</f>
        <v>#DIV/0!</v>
      </c>
      <c r="Y845" s="3">
        <v>15</v>
      </c>
      <c r="Z845" s="36" t="e">
        <f>Table1[[#This Row],[Reject Prod (kg)]]/Table1[[#This Row],[Material Used]]</f>
        <v>#DIV/0!</v>
      </c>
      <c r="AA845" s="4">
        <v>0</v>
      </c>
      <c r="AB845" s="5">
        <v>12.01</v>
      </c>
      <c r="AC845" s="4" cm="1">
        <f t="array" ref="AC845">IFERROR(INDEX(ReferenceCard, MATCH(1, (INDEX(ReferenceCard,,1)=Table1[[#This Row],[SAP No]]) * (INDEX(ReferenceCard,,2)=Table1[[#This Row],[Mould No]]), 0), 9),)</f>
        <v>55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L845" s="2"/>
      <c r="AM845" s="2"/>
      <c r="AN845" s="3">
        <v>0</v>
      </c>
      <c r="AO845" s="3">
        <v>0</v>
      </c>
      <c r="AP845" s="6">
        <f>((Table1[[#This Row],[Reject Startup (kg)]]+Table1[[#This Row],[Reject Prod (kg)]]+Table1[[#This Row],[Reject Purging (kg)]]+Table1[[#This Row],[Reject Preform (kg)]])/Table1[[#This Row],[Part Weight (gm)]])*1000</f>
        <v>272.72727272727269</v>
      </c>
    </row>
    <row r="846" spans="1:42" x14ac:dyDescent="0.35">
      <c r="A846" s="1">
        <v>45995</v>
      </c>
      <c r="B846">
        <v>2</v>
      </c>
      <c r="C846" t="s">
        <v>31</v>
      </c>
      <c r="D846" t="str" cm="1">
        <f t="array" ref="D846">IFERROR(INDEX(ReferenceCard, MATCH(1, (INDEX(ReferenceCard,,1)=Table1[[#This Row],[SAP No]]) * (INDEX(ReferenceCard,,2)=Table1[[#This Row],[Mould No]]), 0), 6),)</f>
        <v>PPSB520Y</v>
      </c>
      <c r="E846">
        <v>586276</v>
      </c>
      <c r="F846">
        <v>4</v>
      </c>
      <c r="G846" t="str" cm="1">
        <f t="array" ref="G846">IFERROR(INDEX(ReferenceCard, MATCH(1, (INDEX(ReferenceCard,,1)=Table1[[#This Row],[SAP No]]) * (INDEX(ReferenceCard,,2)=Table1[[#This Row],[Mould No]]), 0), 3),)</f>
        <v>BC28-0056-D-APH-LEB-604001-MOLD4</v>
      </c>
      <c r="H846">
        <v>0</v>
      </c>
      <c r="I846" cm="1">
        <f t="array" ref="I846">IFERROR(INDEX(ReferenceCard, MATCH(1, (INDEX(ReferenceCard,,1)=Table1[[#This Row],[SAP No]]) * (INDEX(ReferenceCard,,2)=Table1[[#This Row],[Mould No]]), 0), 4),)</f>
        <v>6</v>
      </c>
      <c r="J846" s="4" cm="1">
        <f t="array" ref="J846">IFERROR(INDEX(ReferenceCard, MATCH(1, (INDEX(ReferenceCard,,1)=Table1[[#This Row],[SAP No]]) * (INDEX(ReferenceCard,,2)=Table1[[#This Row],[Mould No]]), 0), 9),)</f>
        <v>12.3</v>
      </c>
      <c r="K846" s="4" cm="1">
        <f t="array" ref="K846">IFERROR(INDEX(ReferenceCard, MATCH(1, (INDEX(ReferenceCard,,1)=Table1[[#This Row],[SAP No]]) * (INDEX(ReferenceCard,,2)=Table1[[#This Row],[Mould No]]), 0), 7),)</f>
        <v>12.3</v>
      </c>
      <c r="L846">
        <v>0</v>
      </c>
      <c r="M846">
        <v>0</v>
      </c>
      <c r="N846">
        <v>0</v>
      </c>
      <c r="O846">
        <v>0</v>
      </c>
      <c r="P846">
        <f>Table1[[#This Row],[Shot]]*Table1[[#This Row],[Cav]]</f>
        <v>0</v>
      </c>
      <c r="Q846">
        <v>0</v>
      </c>
      <c r="R846">
        <f>(Table1[[#This Row],[Part Weight (gm)]]*Table1[[#This Row],[Finish Good]])/1000</f>
        <v>0</v>
      </c>
      <c r="S846">
        <v>0</v>
      </c>
      <c r="T846">
        <f>IF(Table1[[#This Row],[Qty Order]]="Sample","-",IF(Table1[[#This Row],[Qty Order]]="RTFN","-",Table1[[#This Row],[Qty Order]]-Table1[[#This Row],[Qty Accumulate]]))</f>
        <v>0</v>
      </c>
      <c r="U846">
        <f>((Table1[[#This Row],[Shift Output]]*Table1[[#This Row],[Part Weight (gm)]])/1000)+Table1[[#This Row],[Reject Startup (kg)]]+Table1[[#This Row],[Reject Purging (kg)]]+Table1[[#This Row],[Reject Preform (kg)]]</f>
        <v>0</v>
      </c>
      <c r="V846" s="37">
        <f>(Table1[[#This Row],[Gross Weight (gm)]]-Table1[[#This Row],[Part Weight (gm)]])*Table1[[#This Row],[Shift Output]]/1000</f>
        <v>0</v>
      </c>
      <c r="W846" s="3">
        <v>0</v>
      </c>
      <c r="X846" s="36" t="e">
        <f>Table1[[#This Row],[Reject Startup (kg)]]/Table1[[#This Row],[Material Used]]</f>
        <v>#DIV/0!</v>
      </c>
      <c r="Y846" s="3">
        <v>1</v>
      </c>
      <c r="Z846" s="36" t="e">
        <f>Table1[[#This Row],[Reject Prod (kg)]]/Table1[[#This Row],[Material Used]]</f>
        <v>#DIV/0!</v>
      </c>
      <c r="AA846" s="4">
        <v>0</v>
      </c>
      <c r="AB846" s="5">
        <v>12.01</v>
      </c>
      <c r="AC846" s="4" cm="1">
        <f t="array" ref="AC846">IFERROR(INDEX(ReferenceCard, MATCH(1, (INDEX(ReferenceCard,,1)=Table1[[#This Row],[SAP No]]) * (INDEX(ReferenceCard,,2)=Table1[[#This Row],[Mould No]]), 0), 9),)</f>
        <v>12.3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L846" s="2"/>
      <c r="AM846" s="2"/>
      <c r="AN846" s="3">
        <v>0</v>
      </c>
      <c r="AO846" s="3">
        <v>0</v>
      </c>
      <c r="AP846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847" spans="1:42" x14ac:dyDescent="0.35">
      <c r="A847" s="1">
        <v>45995</v>
      </c>
      <c r="B847">
        <v>2</v>
      </c>
      <c r="C847" t="s">
        <v>33</v>
      </c>
      <c r="D847" t="str" cm="1">
        <f t="array" ref="D847">IFERROR(INDEX(ReferenceCard, MATCH(1, (INDEX(ReferenceCard,,1)=Table1[[#This Row],[SAP No]]) * (INDEX(ReferenceCard,,2)=Table1[[#This Row],[Mould No]]), 0), 6),)</f>
        <v>PET</v>
      </c>
      <c r="E847">
        <v>541381</v>
      </c>
      <c r="F847">
        <v>0</v>
      </c>
      <c r="G847" t="str" cm="1">
        <f t="array" ref="G847">IFERROR(INDEX(ReferenceCard, MATCH(1, (INDEX(ReferenceCard,,1)=Table1[[#This Row],[SAP No]]) * (INDEX(ReferenceCard,,2)=Table1[[#This Row],[Mould No]]), 0), 3),)</f>
        <v>BC28-1200-K-R-CL</v>
      </c>
      <c r="H847">
        <v>0</v>
      </c>
      <c r="I847" cm="1">
        <f t="array" ref="I847">IFERROR(INDEX(ReferenceCard, MATCH(1, (INDEX(ReferenceCard,,1)=Table1[[#This Row],[SAP No]]) * (INDEX(ReferenceCard,,2)=Table1[[#This Row],[Mould No]]), 0), 4),)</f>
        <v>4</v>
      </c>
      <c r="J847" s="4" cm="1">
        <f t="array" ref="J847">IFERROR(INDEX(ReferenceCard, MATCH(1, (INDEX(ReferenceCard,,1)=Table1[[#This Row],[SAP No]]) * (INDEX(ReferenceCard,,2)=Table1[[#This Row],[Mould No]]), 0), 9),)</f>
        <v>55</v>
      </c>
      <c r="K847" s="4" cm="1">
        <f t="array" ref="K847">IFERROR(INDEX(ReferenceCard, MATCH(1, (INDEX(ReferenceCard,,1)=Table1[[#This Row],[SAP No]]) * (INDEX(ReferenceCard,,2)=Table1[[#This Row],[Mould No]]), 0), 7),)</f>
        <v>55</v>
      </c>
      <c r="L847">
        <v>0</v>
      </c>
      <c r="M847">
        <v>0</v>
      </c>
      <c r="N847">
        <v>0</v>
      </c>
      <c r="O847">
        <v>0</v>
      </c>
      <c r="P847">
        <f>Table1[[#This Row],[Shot]]*Table1[[#This Row],[Cav]]</f>
        <v>0</v>
      </c>
      <c r="Q847">
        <v>0</v>
      </c>
      <c r="R847">
        <f>(Table1[[#This Row],[Part Weight (gm)]]*Table1[[#This Row],[Finish Good]])/1000</f>
        <v>0</v>
      </c>
      <c r="S847">
        <v>0</v>
      </c>
      <c r="T847">
        <f>IF(Table1[[#This Row],[Qty Order]]="Sample","-",IF(Table1[[#This Row],[Qty Order]]="RTFN","-",Table1[[#This Row],[Qty Order]]-Table1[[#This Row],[Qty Accumulate]]))</f>
        <v>0</v>
      </c>
      <c r="U847">
        <f>((Table1[[#This Row],[Shift Output]]*Table1[[#This Row],[Part Weight (gm)]])/1000)+Table1[[#This Row],[Reject Startup (kg)]]+Table1[[#This Row],[Reject Purging (kg)]]+Table1[[#This Row],[Reject Preform (kg)]]</f>
        <v>0</v>
      </c>
      <c r="V847" s="37">
        <f>(Table1[[#This Row],[Gross Weight (gm)]]-Table1[[#This Row],[Part Weight (gm)]])*Table1[[#This Row],[Shift Output]]/1000</f>
        <v>0</v>
      </c>
      <c r="W847" s="3">
        <v>0</v>
      </c>
      <c r="X847" s="36" t="e">
        <f>Table1[[#This Row],[Reject Startup (kg)]]/Table1[[#This Row],[Material Used]]</f>
        <v>#DIV/0!</v>
      </c>
      <c r="Y847" s="3">
        <v>0</v>
      </c>
      <c r="Z847" s="36" t="e">
        <f>Table1[[#This Row],[Reject Prod (kg)]]/Table1[[#This Row],[Material Used]]</f>
        <v>#DIV/0!</v>
      </c>
      <c r="AA847" s="4">
        <v>0</v>
      </c>
      <c r="AB847" s="5">
        <v>0</v>
      </c>
      <c r="AC847" s="4" cm="1">
        <f t="array" ref="AC847">IFERROR(INDEX(ReferenceCard, MATCH(1, (INDEX(ReferenceCard,,1)=Table1[[#This Row],[SAP No]]) * (INDEX(ReferenceCard,,2)=Table1[[#This Row],[Mould No]]), 0), 9),)</f>
        <v>55</v>
      </c>
      <c r="AD847" s="5">
        <v>0</v>
      </c>
      <c r="AE847" s="5">
        <v>0</v>
      </c>
      <c r="AF847" s="5">
        <v>0</v>
      </c>
      <c r="AG847" s="5">
        <v>12.01</v>
      </c>
      <c r="AH847" s="5">
        <v>0</v>
      </c>
      <c r="AI847" s="5">
        <v>0</v>
      </c>
      <c r="AJ847" s="5">
        <v>0</v>
      </c>
      <c r="AL847" s="2"/>
      <c r="AM847" s="2"/>
      <c r="AN847" s="3">
        <v>0</v>
      </c>
      <c r="AO847" s="3">
        <v>0</v>
      </c>
      <c r="AP84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48" spans="1:42" x14ac:dyDescent="0.35">
      <c r="A848" s="1">
        <v>45995</v>
      </c>
      <c r="B848">
        <v>1</v>
      </c>
      <c r="C848" t="s">
        <v>0</v>
      </c>
      <c r="D848" t="str" cm="1">
        <f t="array" ref="D848">IFERROR(INDEX(ReferenceCard, MATCH(1, (INDEX(ReferenceCard,,1)=Table1[[#This Row],[SAP No]]) * (INDEX(ReferenceCard,,2)=Table1[[#This Row],[Mould No]]), 0), 6),)</f>
        <v>PET</v>
      </c>
      <c r="E848">
        <v>369308</v>
      </c>
      <c r="F848">
        <v>0</v>
      </c>
      <c r="G848" t="str" cm="1">
        <f t="array" ref="G848">IFERROR(INDEX(ReferenceCard, MATCH(1, (INDEX(ReferenceCard,,1)=Table1[[#This Row],[SAP No]]) * (INDEX(ReferenceCard,,2)=Table1[[#This Row],[Mould No]]), 0), 3),)</f>
        <v>BW38-0280-LS-R-RED</v>
      </c>
      <c r="H848">
        <v>0</v>
      </c>
      <c r="I848" cm="1">
        <f t="array" ref="I848">IFERROR(INDEX(ReferenceCard, MATCH(1, (INDEX(ReferenceCard,,1)=Table1[[#This Row],[SAP No]]) * (INDEX(ReferenceCard,,2)=Table1[[#This Row],[Mould No]]), 0), 4),)</f>
        <v>4</v>
      </c>
      <c r="J848" s="4" cm="1">
        <f t="array" ref="J848">IFERROR(INDEX(ReferenceCard, MATCH(1, (INDEX(ReferenceCard,,1)=Table1[[#This Row],[SAP No]]) * (INDEX(ReferenceCard,,2)=Table1[[#This Row],[Mould No]]), 0), 9),)</f>
        <v>31</v>
      </c>
      <c r="K848" s="4" cm="1">
        <f t="array" ref="K848">IFERROR(INDEX(ReferenceCard, MATCH(1, (INDEX(ReferenceCard,,1)=Table1[[#This Row],[SAP No]]) * (INDEX(ReferenceCard,,2)=Table1[[#This Row],[Mould No]]), 0), 7),)</f>
        <v>31</v>
      </c>
      <c r="L848">
        <v>1282</v>
      </c>
      <c r="M848">
        <v>0</v>
      </c>
      <c r="N848">
        <v>0</v>
      </c>
      <c r="O848">
        <v>0</v>
      </c>
      <c r="P848">
        <f>Table1[[#This Row],[Shot]]*Table1[[#This Row],[Cav]]</f>
        <v>5128</v>
      </c>
      <c r="Q848">
        <v>0</v>
      </c>
      <c r="R848">
        <f>(Table1[[#This Row],[Part Weight (gm)]]*Table1[[#This Row],[Finish Good]])/1000</f>
        <v>0</v>
      </c>
      <c r="S848">
        <v>0</v>
      </c>
      <c r="T848">
        <f>IF(Table1[[#This Row],[Qty Order]]="Sample","-",IF(Table1[[#This Row],[Qty Order]]="RTFN","-",Table1[[#This Row],[Qty Order]]-Table1[[#This Row],[Qty Accumulate]]))</f>
        <v>0</v>
      </c>
      <c r="U848">
        <f>((Table1[[#This Row],[Shift Output]]*Table1[[#This Row],[Part Weight (gm)]])/1000)+Table1[[#This Row],[Reject Startup (kg)]]+Table1[[#This Row],[Reject Purging (kg)]]+Table1[[#This Row],[Reject Preform (kg)]]</f>
        <v>177.46799999999999</v>
      </c>
      <c r="V848" s="37">
        <f>(Table1[[#This Row],[Gross Weight (gm)]]-Table1[[#This Row],[Part Weight (gm)]])*Table1[[#This Row],[Shift Output]]/1000</f>
        <v>0</v>
      </c>
      <c r="W848" s="3">
        <v>6</v>
      </c>
      <c r="X848" s="36">
        <f>Table1[[#This Row],[Reject Startup (kg)]]/Table1[[#This Row],[Material Used]]</f>
        <v>3.3808912029210901E-2</v>
      </c>
      <c r="Y848" s="3">
        <v>1</v>
      </c>
      <c r="Z848" s="36">
        <f>Table1[[#This Row],[Reject Prod (kg)]]/Table1[[#This Row],[Material Used]]</f>
        <v>5.6348186715351502E-3</v>
      </c>
      <c r="AA848" s="4">
        <v>0</v>
      </c>
      <c r="AB848" s="5">
        <v>8.5399999999999903</v>
      </c>
      <c r="AC848" s="4" cm="1">
        <f t="array" ref="AC848">IFERROR(INDEX(ReferenceCard, MATCH(1, (INDEX(ReferenceCard,,1)=Table1[[#This Row],[SAP No]]) * (INDEX(ReferenceCard,,2)=Table1[[#This Row],[Mould No]]), 0), 9),)</f>
        <v>31</v>
      </c>
      <c r="AD848" s="5">
        <v>0</v>
      </c>
      <c r="AE848" s="5">
        <v>0</v>
      </c>
      <c r="AF848" s="5">
        <v>0</v>
      </c>
      <c r="AG848" s="5">
        <v>0</v>
      </c>
      <c r="AH848" s="5">
        <v>0.17</v>
      </c>
      <c r="AI848" s="5">
        <v>0</v>
      </c>
      <c r="AJ848" s="5">
        <v>3.29</v>
      </c>
      <c r="AK848" t="s">
        <v>213</v>
      </c>
      <c r="AL848" s="2"/>
      <c r="AM848" s="2"/>
      <c r="AN848" s="3">
        <v>8</v>
      </c>
      <c r="AO848" s="3">
        <v>4.5</v>
      </c>
      <c r="AP848" s="6">
        <f>((Table1[[#This Row],[Reject Startup (kg)]]+Table1[[#This Row],[Reject Prod (kg)]]+Table1[[#This Row],[Reject Purging (kg)]]+Table1[[#This Row],[Reject Preform (kg)]])/Table1[[#This Row],[Part Weight (gm)]])*1000</f>
        <v>629.0322580645161</v>
      </c>
    </row>
    <row r="849" spans="1:42" x14ac:dyDescent="0.35">
      <c r="A849" s="1">
        <v>45995</v>
      </c>
      <c r="B849">
        <v>1</v>
      </c>
      <c r="C849" t="s">
        <v>3</v>
      </c>
      <c r="D849" t="str" cm="1">
        <f t="array" ref="D849">IFERROR(INDEX(ReferenceCard, MATCH(1, (INDEX(ReferenceCard,,1)=Table1[[#This Row],[SAP No]]) * (INDEX(ReferenceCard,,2)=Table1[[#This Row],[Mould No]]), 0), 6),)</f>
        <v>PET</v>
      </c>
      <c r="E849">
        <v>324163</v>
      </c>
      <c r="F849">
        <v>0</v>
      </c>
      <c r="G849" t="str" cm="1">
        <f t="array" ref="G849">IFERROR(INDEX(ReferenceCard, MATCH(1, (INDEX(ReferenceCard,,1)=Table1[[#This Row],[SAP No]]) * (INDEX(ReferenceCard,,2)=Table1[[#This Row],[Mould No]]), 0), 3),)</f>
        <v>BC28-0265-A-Q-CL</v>
      </c>
      <c r="H849">
        <v>0</v>
      </c>
      <c r="I849" cm="1">
        <f t="array" ref="I849">IFERROR(INDEX(ReferenceCard, MATCH(1, (INDEX(ReferenceCard,,1)=Table1[[#This Row],[SAP No]]) * (INDEX(ReferenceCard,,2)=Table1[[#This Row],[Mould No]]), 0), 4),)</f>
        <v>4</v>
      </c>
      <c r="J849" s="4" cm="1">
        <f t="array" ref="J849">IFERROR(INDEX(ReferenceCard, MATCH(1, (INDEX(ReferenceCard,,1)=Table1[[#This Row],[SAP No]]) * (INDEX(ReferenceCard,,2)=Table1[[#This Row],[Mould No]]), 0), 9),)</f>
        <v>24</v>
      </c>
      <c r="K849" s="4" cm="1">
        <f t="array" ref="K849">IFERROR(INDEX(ReferenceCard, MATCH(1, (INDEX(ReferenceCard,,1)=Table1[[#This Row],[SAP No]]) * (INDEX(ReferenceCard,,2)=Table1[[#This Row],[Mould No]]), 0), 7),)</f>
        <v>23.5</v>
      </c>
      <c r="L849">
        <v>4988</v>
      </c>
      <c r="M849">
        <v>0</v>
      </c>
      <c r="N849">
        <v>0</v>
      </c>
      <c r="O849">
        <v>0</v>
      </c>
      <c r="P849">
        <f>Table1[[#This Row],[Shot]]*Table1[[#This Row],[Cav]]</f>
        <v>19952</v>
      </c>
      <c r="Q849">
        <v>0</v>
      </c>
      <c r="R849">
        <f>(Table1[[#This Row],[Part Weight (gm)]]*Table1[[#This Row],[Finish Good]])/1000</f>
        <v>0</v>
      </c>
      <c r="S849">
        <v>0</v>
      </c>
      <c r="T849">
        <f>IF(Table1[[#This Row],[Qty Order]]="Sample","-",IF(Table1[[#This Row],[Qty Order]]="RTFN","-",Table1[[#This Row],[Qty Order]]-Table1[[#This Row],[Qty Accumulate]]))</f>
        <v>0</v>
      </c>
      <c r="U849">
        <f>((Table1[[#This Row],[Shift Output]]*Table1[[#This Row],[Part Weight (gm)]])/1000)+Table1[[#This Row],[Reject Startup (kg)]]+Table1[[#This Row],[Reject Purging (kg)]]+Table1[[#This Row],[Reject Preform (kg)]]</f>
        <v>474.572</v>
      </c>
      <c r="V849" s="37">
        <f>(Table1[[#This Row],[Gross Weight (gm)]]-Table1[[#This Row],[Part Weight (gm)]])*Table1[[#This Row],[Shift Output]]/1000</f>
        <v>9.9760000000000009</v>
      </c>
      <c r="W849" s="3">
        <v>0</v>
      </c>
      <c r="X849" s="36">
        <f>Table1[[#This Row],[Reject Startup (kg)]]/Table1[[#This Row],[Material Used]]</f>
        <v>0</v>
      </c>
      <c r="Y849" s="3">
        <v>2</v>
      </c>
      <c r="Z849" s="36">
        <f>Table1[[#This Row],[Reject Prod (kg)]]/Table1[[#This Row],[Material Used]]</f>
        <v>4.214323643198503E-3</v>
      </c>
      <c r="AA849" s="4">
        <v>0</v>
      </c>
      <c r="AB849" s="5">
        <v>0.56999999999999895</v>
      </c>
      <c r="AC849" s="4" cm="1">
        <f t="array" ref="AC849">IFERROR(INDEX(ReferenceCard, MATCH(1, (INDEX(ReferenceCard,,1)=Table1[[#This Row],[SAP No]]) * (INDEX(ReferenceCard,,2)=Table1[[#This Row],[Mould No]]), 0), 9),)</f>
        <v>24</v>
      </c>
      <c r="AD849" s="5">
        <v>0</v>
      </c>
      <c r="AE849" s="5">
        <v>8.14</v>
      </c>
      <c r="AF849" s="5">
        <v>0</v>
      </c>
      <c r="AG849" s="5">
        <v>0</v>
      </c>
      <c r="AH849" s="5">
        <v>0</v>
      </c>
      <c r="AI849" s="5">
        <v>0</v>
      </c>
      <c r="AJ849" s="5">
        <v>3.29</v>
      </c>
      <c r="AK849" t="s">
        <v>214</v>
      </c>
      <c r="AL849" s="2" t="s">
        <v>215</v>
      </c>
      <c r="AM849" s="2" t="s">
        <v>216</v>
      </c>
      <c r="AN849" s="3">
        <v>4.7</v>
      </c>
      <c r="AO849" s="3">
        <v>1</v>
      </c>
      <c r="AP849" s="6">
        <f>((Table1[[#This Row],[Reject Startup (kg)]]+Table1[[#This Row],[Reject Prod (kg)]]+Table1[[#This Row],[Reject Purging (kg)]]+Table1[[#This Row],[Reject Preform (kg)]])/Table1[[#This Row],[Part Weight (gm)]])*1000</f>
        <v>327.65957446808511</v>
      </c>
    </row>
    <row r="850" spans="1:42" x14ac:dyDescent="0.35">
      <c r="A850" s="1">
        <v>45995</v>
      </c>
      <c r="B850">
        <v>1</v>
      </c>
      <c r="C850" t="s">
        <v>5</v>
      </c>
      <c r="D850" t="str" cm="1">
        <f t="array" ref="D850">IFERROR(INDEX(ReferenceCard, MATCH(1, (INDEX(ReferenceCard,,1)=Table1[[#This Row],[SAP No]]) * (INDEX(ReferenceCard,,2)=Table1[[#This Row],[Mould No]]), 0), 6),)</f>
        <v>PET</v>
      </c>
      <c r="E850">
        <v>543590</v>
      </c>
      <c r="F850">
        <v>0</v>
      </c>
      <c r="G850" t="str" cm="1">
        <f t="array" ref="G850">IFERROR(INDEX(ReferenceCard, MATCH(1, (INDEX(ReferenceCard,,1)=Table1[[#This Row],[SAP No]]) * (INDEX(ReferenceCard,,2)=Table1[[#This Row],[Mould No]]), 0), 3),)</f>
        <v>BC28-0130-R-R-AM</v>
      </c>
      <c r="H850">
        <v>0</v>
      </c>
      <c r="I850" cm="1">
        <f t="array" ref="I850">IFERROR(INDEX(ReferenceCard, MATCH(1, (INDEX(ReferenceCard,,1)=Table1[[#This Row],[SAP No]]) * (INDEX(ReferenceCard,,2)=Table1[[#This Row],[Mould No]]), 0), 4),)</f>
        <v>4</v>
      </c>
      <c r="J850" s="4" cm="1">
        <f t="array" ref="J850">IFERROR(INDEX(ReferenceCard, MATCH(1, (INDEX(ReferenceCard,,1)=Table1[[#This Row],[SAP No]]) * (INDEX(ReferenceCard,,2)=Table1[[#This Row],[Mould No]]), 0), 9),)</f>
        <v>19</v>
      </c>
      <c r="K850" s="4" cm="1">
        <f t="array" ref="K850">IFERROR(INDEX(ReferenceCard, MATCH(1, (INDEX(ReferenceCard,,1)=Table1[[#This Row],[SAP No]]) * (INDEX(ReferenceCard,,2)=Table1[[#This Row],[Mould No]]), 0), 7),)</f>
        <v>19</v>
      </c>
      <c r="L850">
        <v>6689</v>
      </c>
      <c r="M850">
        <v>0</v>
      </c>
      <c r="N850">
        <v>0</v>
      </c>
      <c r="O850">
        <v>0</v>
      </c>
      <c r="P850">
        <f>Table1[[#This Row],[Shot]]*Table1[[#This Row],[Cav]]</f>
        <v>26756</v>
      </c>
      <c r="Q850">
        <v>0</v>
      </c>
      <c r="R850">
        <f>(Table1[[#This Row],[Part Weight (gm)]]*Table1[[#This Row],[Finish Good]])/1000</f>
        <v>0</v>
      </c>
      <c r="S850">
        <v>0</v>
      </c>
      <c r="T850">
        <f>IF(Table1[[#This Row],[Qty Order]]="Sample","-",IF(Table1[[#This Row],[Qty Order]]="RTFN","-",Table1[[#This Row],[Qty Order]]-Table1[[#This Row],[Qty Accumulate]]))</f>
        <v>0</v>
      </c>
      <c r="U850">
        <f>((Table1[[#This Row],[Shift Output]]*Table1[[#This Row],[Part Weight (gm)]])/1000)+Table1[[#This Row],[Reject Startup (kg)]]+Table1[[#This Row],[Reject Purging (kg)]]+Table1[[#This Row],[Reject Preform (kg)]]</f>
        <v>508.36399999999998</v>
      </c>
      <c r="V850" s="37">
        <f>(Table1[[#This Row],[Gross Weight (gm)]]-Table1[[#This Row],[Part Weight (gm)]])*Table1[[#This Row],[Shift Output]]/1000</f>
        <v>0</v>
      </c>
      <c r="W850" s="3">
        <v>0</v>
      </c>
      <c r="X850" s="36">
        <f>Table1[[#This Row],[Reject Startup (kg)]]/Table1[[#This Row],[Material Used]]</f>
        <v>0</v>
      </c>
      <c r="Y850" s="3">
        <v>1</v>
      </c>
      <c r="Z850" s="36">
        <f>Table1[[#This Row],[Reject Prod (kg)]]/Table1[[#This Row],[Material Used]]</f>
        <v>1.9670944441384521E-3</v>
      </c>
      <c r="AA850" s="4">
        <v>0</v>
      </c>
      <c r="AB850" s="5">
        <v>8.7100000000000009</v>
      </c>
      <c r="AC850" s="4" cm="1">
        <f t="array" ref="AC850">IFERROR(INDEX(ReferenceCard, MATCH(1, (INDEX(ReferenceCard,,1)=Table1[[#This Row],[SAP No]]) * (INDEX(ReferenceCard,,2)=Table1[[#This Row],[Mould No]]), 0), 9),)</f>
        <v>19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3.29</v>
      </c>
      <c r="AL850" s="2"/>
      <c r="AM850" s="2"/>
      <c r="AN850" s="3">
        <v>0</v>
      </c>
      <c r="AO850" s="3">
        <v>0</v>
      </c>
      <c r="AP850" s="6">
        <f>((Table1[[#This Row],[Reject Startup (kg)]]+Table1[[#This Row],[Reject Prod (kg)]]+Table1[[#This Row],[Reject Purging (kg)]]+Table1[[#This Row],[Reject Preform (kg)]])/Table1[[#This Row],[Part Weight (gm)]])*1000</f>
        <v>52.631578947368418</v>
      </c>
    </row>
    <row r="851" spans="1:42" x14ac:dyDescent="0.35">
      <c r="A851" s="1">
        <v>45995</v>
      </c>
      <c r="B851">
        <v>1</v>
      </c>
      <c r="C851" t="s">
        <v>7</v>
      </c>
      <c r="D851" t="str" cm="1">
        <f t="array" ref="D851">IFERROR(INDEX(ReferenceCard, MATCH(1, (INDEX(ReferenceCard,,1)=Table1[[#This Row],[SAP No]]) * (INDEX(ReferenceCard,,2)=Table1[[#This Row],[Mould No]]), 0), 6),)</f>
        <v>PET</v>
      </c>
      <c r="E851">
        <v>426555</v>
      </c>
      <c r="F851">
        <v>0</v>
      </c>
      <c r="G851" t="str" cm="1">
        <f t="array" ref="G851">IFERROR(INDEX(ReferenceCard, MATCH(1, (INDEX(ReferenceCard,,1)=Table1[[#This Row],[SAP No]]) * (INDEX(ReferenceCard,,2)=Table1[[#This Row],[Mould No]]), 0), 3),)</f>
        <v>BX38-0330-Z-S-CL-HW</v>
      </c>
      <c r="H851">
        <v>0</v>
      </c>
      <c r="I851" cm="1">
        <f t="array" ref="I851">IFERROR(INDEX(ReferenceCard, MATCH(1, (INDEX(ReferenceCard,,1)=Table1[[#This Row],[SAP No]]) * (INDEX(ReferenceCard,,2)=Table1[[#This Row],[Mould No]]), 0), 4),)</f>
        <v>4</v>
      </c>
      <c r="J851" s="4" cm="1">
        <f t="array" ref="J851">IFERROR(INDEX(ReferenceCard, MATCH(1, (INDEX(ReferenceCard,,1)=Table1[[#This Row],[SAP No]]) * (INDEX(ReferenceCard,,2)=Table1[[#This Row],[Mould No]]), 0), 9),)</f>
        <v>29</v>
      </c>
      <c r="K851" s="4" cm="1">
        <f t="array" ref="K851">IFERROR(INDEX(ReferenceCard, MATCH(1, (INDEX(ReferenceCard,,1)=Table1[[#This Row],[SAP No]]) * (INDEX(ReferenceCard,,2)=Table1[[#This Row],[Mould No]]), 0), 7),)</f>
        <v>29</v>
      </c>
      <c r="L851">
        <v>8881</v>
      </c>
      <c r="M851">
        <v>0</v>
      </c>
      <c r="N851">
        <v>0</v>
      </c>
      <c r="O851">
        <v>0</v>
      </c>
      <c r="P851">
        <f>Table1[[#This Row],[Shot]]*Table1[[#This Row],[Cav]]</f>
        <v>35524</v>
      </c>
      <c r="Q851">
        <v>0</v>
      </c>
      <c r="R851">
        <f>(Table1[[#This Row],[Part Weight (gm)]]*Table1[[#This Row],[Finish Good]])/1000</f>
        <v>0</v>
      </c>
      <c r="S851">
        <v>0</v>
      </c>
      <c r="T851">
        <f>IF(Table1[[#This Row],[Qty Order]]="Sample","-",IF(Table1[[#This Row],[Qty Order]]="RTFN","-",Table1[[#This Row],[Qty Order]]-Table1[[#This Row],[Qty Accumulate]]))</f>
        <v>0</v>
      </c>
      <c r="U851">
        <f>((Table1[[#This Row],[Shift Output]]*Table1[[#This Row],[Part Weight (gm)]])/1000)+Table1[[#This Row],[Reject Startup (kg)]]+Table1[[#This Row],[Reject Purging (kg)]]+Table1[[#This Row],[Reject Preform (kg)]]</f>
        <v>1039.6959999999999</v>
      </c>
      <c r="V851" s="37">
        <f>(Table1[[#This Row],[Gross Weight (gm)]]-Table1[[#This Row],[Part Weight (gm)]])*Table1[[#This Row],[Shift Output]]/1000</f>
        <v>0</v>
      </c>
      <c r="W851" s="3">
        <v>8</v>
      </c>
      <c r="X851" s="36">
        <f>Table1[[#This Row],[Reject Startup (kg)]]/Table1[[#This Row],[Material Used]]</f>
        <v>7.6945568704698299E-3</v>
      </c>
      <c r="Y851" s="3">
        <v>1</v>
      </c>
      <c r="Z851" s="36">
        <f>Table1[[#This Row],[Reject Prod (kg)]]/Table1[[#This Row],[Material Used]]</f>
        <v>9.6181960880872873E-4</v>
      </c>
      <c r="AA851" s="4">
        <v>0</v>
      </c>
      <c r="AB851" s="5">
        <v>8.0199999999999907</v>
      </c>
      <c r="AC851" s="4" cm="1">
        <f t="array" ref="AC851">IFERROR(INDEX(ReferenceCard, MATCH(1, (INDEX(ReferenceCard,,1)=Table1[[#This Row],[SAP No]]) * (INDEX(ReferenceCard,,2)=Table1[[#This Row],[Mould No]]), 0), 9),)</f>
        <v>29</v>
      </c>
      <c r="AD851" s="5">
        <v>0</v>
      </c>
      <c r="AE851" s="5">
        <v>0</v>
      </c>
      <c r="AF851" s="5">
        <v>0</v>
      </c>
      <c r="AG851" s="5">
        <v>0</v>
      </c>
      <c r="AH851" s="5">
        <v>0.68999999999999895</v>
      </c>
      <c r="AI851" s="5">
        <v>0</v>
      </c>
      <c r="AJ851" s="5">
        <v>3.29</v>
      </c>
      <c r="AL851" s="2"/>
      <c r="AM851" s="2"/>
      <c r="AN851" s="3">
        <v>0</v>
      </c>
      <c r="AO851" s="3">
        <v>1.5</v>
      </c>
      <c r="AP851" s="6">
        <f>((Table1[[#This Row],[Reject Startup (kg)]]+Table1[[#This Row],[Reject Prod (kg)]]+Table1[[#This Row],[Reject Purging (kg)]]+Table1[[#This Row],[Reject Preform (kg)]])/Table1[[#This Row],[Part Weight (gm)]])*1000</f>
        <v>362.06896551724139</v>
      </c>
    </row>
    <row r="852" spans="1:42" x14ac:dyDescent="0.35">
      <c r="A852" s="1">
        <v>45995</v>
      </c>
      <c r="B852">
        <v>1</v>
      </c>
      <c r="C852" t="s">
        <v>9</v>
      </c>
      <c r="D852" t="str" cm="1">
        <f t="array" ref="D852">IFERROR(INDEX(ReferenceCard, MATCH(1, (INDEX(ReferenceCard,,1)=Table1[[#This Row],[SAP No]]) * (INDEX(ReferenceCard,,2)=Table1[[#This Row],[Mould No]]), 0), 6),)</f>
        <v>rPET</v>
      </c>
      <c r="E852">
        <v>593537</v>
      </c>
      <c r="F852">
        <v>0</v>
      </c>
      <c r="G852" t="str" cm="1">
        <f t="array" ref="G852">IFERROR(INDEX(ReferenceCard, MATCH(1, (INDEX(ReferenceCard,,1)=Table1[[#This Row],[SAP No]]) * (INDEX(ReferenceCard,,2)=Table1[[#This Row],[Mould No]]), 0), 3),)</f>
        <v>BX38-1000-RN-R-CL-rPET</v>
      </c>
      <c r="H852">
        <v>0</v>
      </c>
      <c r="I852" cm="1">
        <f t="array" ref="I852">IFERROR(INDEX(ReferenceCard, MATCH(1, (INDEX(ReferenceCard,,1)=Table1[[#This Row],[SAP No]]) * (INDEX(ReferenceCard,,2)=Table1[[#This Row],[Mould No]]), 0), 4),)</f>
        <v>4</v>
      </c>
      <c r="J852" s="4" cm="1">
        <f t="array" ref="J852">IFERROR(INDEX(ReferenceCard, MATCH(1, (INDEX(ReferenceCard,,1)=Table1[[#This Row],[SAP No]]) * (INDEX(ReferenceCard,,2)=Table1[[#This Row],[Mould No]]), 0), 9),)</f>
        <v>56.5</v>
      </c>
      <c r="K852" s="4" cm="1">
        <f t="array" ref="K852">IFERROR(INDEX(ReferenceCard, MATCH(1, (INDEX(ReferenceCard,,1)=Table1[[#This Row],[SAP No]]) * (INDEX(ReferenceCard,,2)=Table1[[#This Row],[Mould No]]), 0), 7),)</f>
        <v>56.8</v>
      </c>
      <c r="L852">
        <v>5208</v>
      </c>
      <c r="M852">
        <v>0</v>
      </c>
      <c r="N852">
        <v>0</v>
      </c>
      <c r="O852">
        <v>0</v>
      </c>
      <c r="P852">
        <f>Table1[[#This Row],[Shot]]*Table1[[#This Row],[Cav]]</f>
        <v>20832</v>
      </c>
      <c r="Q852">
        <v>0</v>
      </c>
      <c r="R852">
        <f>(Table1[[#This Row],[Part Weight (gm)]]*Table1[[#This Row],[Finish Good]])/1000</f>
        <v>0</v>
      </c>
      <c r="S852">
        <v>0</v>
      </c>
      <c r="T852">
        <f>IF(Table1[[#This Row],[Qty Order]]="Sample","-",IF(Table1[[#This Row],[Qty Order]]="RTFN","-",Table1[[#This Row],[Qty Order]]-Table1[[#This Row],[Qty Accumulate]]))</f>
        <v>0</v>
      </c>
      <c r="U852">
        <f>((Table1[[#This Row],[Shift Output]]*Table1[[#This Row],[Part Weight (gm)]])/1000)+Table1[[#This Row],[Reject Startup (kg)]]+Table1[[#This Row],[Reject Purging (kg)]]+Table1[[#This Row],[Reject Preform (kg)]]</f>
        <v>1186.7575999999999</v>
      </c>
      <c r="V852" s="37">
        <f>(Table1[[#This Row],[Gross Weight (gm)]]-Table1[[#This Row],[Part Weight (gm)]])*Table1[[#This Row],[Shift Output]]/1000</f>
        <v>-6.2495999999999405</v>
      </c>
      <c r="W852" s="3">
        <v>0</v>
      </c>
      <c r="X852" s="36">
        <f>Table1[[#This Row],[Reject Startup (kg)]]/Table1[[#This Row],[Material Used]]</f>
        <v>0</v>
      </c>
      <c r="Y852" s="3">
        <v>3</v>
      </c>
      <c r="Z852" s="36">
        <f>Table1[[#This Row],[Reject Prod (kg)]]/Table1[[#This Row],[Material Used]]</f>
        <v>2.5278961769446434E-3</v>
      </c>
      <c r="AA852" s="4">
        <v>0</v>
      </c>
      <c r="AB852" s="5">
        <v>8.7100000000000009</v>
      </c>
      <c r="AC852" s="4" cm="1">
        <f t="array" ref="AC852">IFERROR(INDEX(ReferenceCard, MATCH(1, (INDEX(ReferenceCard,,1)=Table1[[#This Row],[SAP No]]) * (INDEX(ReferenceCard,,2)=Table1[[#This Row],[Mould No]]), 0), 9),)</f>
        <v>56.5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3.29</v>
      </c>
      <c r="AL852" s="2"/>
      <c r="AM852" s="2"/>
      <c r="AN852" s="3">
        <v>1.5</v>
      </c>
      <c r="AO852" s="3">
        <v>2</v>
      </c>
      <c r="AP852" s="6">
        <f>((Table1[[#This Row],[Reject Startup (kg)]]+Table1[[#This Row],[Reject Prod (kg)]]+Table1[[#This Row],[Reject Purging (kg)]]+Table1[[#This Row],[Reject Preform (kg)]])/Table1[[#This Row],[Part Weight (gm)]])*1000</f>
        <v>114.43661971830986</v>
      </c>
    </row>
    <row r="853" spans="1:42" x14ac:dyDescent="0.35">
      <c r="A853" s="1">
        <v>45995</v>
      </c>
      <c r="B853">
        <v>1</v>
      </c>
      <c r="C853" t="s">
        <v>11</v>
      </c>
      <c r="D853" t="str" cm="1">
        <f t="array" ref="D853">IFERROR(INDEX(ReferenceCard, MATCH(1, (INDEX(ReferenceCard,,1)=Table1[[#This Row],[SAP No]]) * (INDEX(ReferenceCard,,2)=Table1[[#This Row],[Mould No]]), 0), 6),)</f>
        <v>rPET</v>
      </c>
      <c r="E853">
        <v>620994</v>
      </c>
      <c r="F853">
        <v>0</v>
      </c>
      <c r="G853" t="str" cm="1">
        <f t="array" ref="G853">IFERROR(INDEX(ReferenceCard, MATCH(1, (INDEX(ReferenceCard,,1)=Table1[[#This Row],[SAP No]]) * (INDEX(ReferenceCard,,2)=Table1[[#This Row],[Mould No]]), 0), 3),)</f>
        <v>JJ63-0400-SH-S-CL-rPET</v>
      </c>
      <c r="H853">
        <v>0</v>
      </c>
      <c r="I853" cm="1">
        <f t="array" ref="I853">IFERROR(INDEX(ReferenceCard, MATCH(1, (INDEX(ReferenceCard,,1)=Table1[[#This Row],[SAP No]]) * (INDEX(ReferenceCard,,2)=Table1[[#This Row],[Mould No]]), 0), 4),)</f>
        <v>4</v>
      </c>
      <c r="J853" s="4" cm="1">
        <f t="array" ref="J853">IFERROR(INDEX(ReferenceCard, MATCH(1, (INDEX(ReferenceCard,,1)=Table1[[#This Row],[SAP No]]) * (INDEX(ReferenceCard,,2)=Table1[[#This Row],[Mould No]]), 0), 9),)</f>
        <v>32.74</v>
      </c>
      <c r="K853" s="4" cm="1">
        <f t="array" ref="K853">IFERROR(INDEX(ReferenceCard, MATCH(1, (INDEX(ReferenceCard,,1)=Table1[[#This Row],[SAP No]]) * (INDEX(ReferenceCard,,2)=Table1[[#This Row],[Mould No]]), 0), 7),)</f>
        <v>33</v>
      </c>
      <c r="L853">
        <v>6117</v>
      </c>
      <c r="M853">
        <v>0</v>
      </c>
      <c r="N853">
        <v>0</v>
      </c>
      <c r="O853">
        <v>0</v>
      </c>
      <c r="P853">
        <f>Table1[[#This Row],[Shot]]*Table1[[#This Row],[Cav]]</f>
        <v>24468</v>
      </c>
      <c r="Q853">
        <v>0</v>
      </c>
      <c r="R853">
        <f>(Table1[[#This Row],[Part Weight (gm)]]*Table1[[#This Row],[Finish Good]])/1000</f>
        <v>0</v>
      </c>
      <c r="S853">
        <v>0</v>
      </c>
      <c r="T853">
        <f>IF(Table1[[#This Row],[Qty Order]]="Sample","-",IF(Table1[[#This Row],[Qty Order]]="RTFN","-",Table1[[#This Row],[Qty Order]]-Table1[[#This Row],[Qty Accumulate]]))</f>
        <v>0</v>
      </c>
      <c r="U853">
        <f>((Table1[[#This Row],[Shift Output]]*Table1[[#This Row],[Part Weight (gm)]])/1000)+Table1[[#This Row],[Reject Startup (kg)]]+Table1[[#This Row],[Reject Purging (kg)]]+Table1[[#This Row],[Reject Preform (kg)]]</f>
        <v>807.44399999999996</v>
      </c>
      <c r="V853" s="37">
        <f>(Table1[[#This Row],[Gross Weight (gm)]]-Table1[[#This Row],[Part Weight (gm)]])*Table1[[#This Row],[Shift Output]]/1000</f>
        <v>-6.3616799999999509</v>
      </c>
      <c r="W853" s="3">
        <v>0</v>
      </c>
      <c r="X853" s="36">
        <f>Table1[[#This Row],[Reject Startup (kg)]]/Table1[[#This Row],[Material Used]]</f>
        <v>0</v>
      </c>
      <c r="Y853" s="3">
        <v>1</v>
      </c>
      <c r="Z853" s="36">
        <f>Table1[[#This Row],[Reject Prod (kg)]]/Table1[[#This Row],[Material Used]]</f>
        <v>1.2384759809968245E-3</v>
      </c>
      <c r="AA853" s="4">
        <v>0</v>
      </c>
      <c r="AB853" s="5">
        <v>8.7100000000000009</v>
      </c>
      <c r="AC853" s="4" cm="1">
        <f t="array" ref="AC853">IFERROR(INDEX(ReferenceCard, MATCH(1, (INDEX(ReferenceCard,,1)=Table1[[#This Row],[SAP No]]) * (INDEX(ReferenceCard,,2)=Table1[[#This Row],[Mould No]]), 0), 9),)</f>
        <v>32.74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3.29</v>
      </c>
      <c r="AL853" s="2"/>
      <c r="AM853" s="2"/>
      <c r="AN853" s="3">
        <v>0</v>
      </c>
      <c r="AO853" s="3">
        <v>0</v>
      </c>
      <c r="AP853" s="6">
        <f>((Table1[[#This Row],[Reject Startup (kg)]]+Table1[[#This Row],[Reject Prod (kg)]]+Table1[[#This Row],[Reject Purging (kg)]]+Table1[[#This Row],[Reject Preform (kg)]])/Table1[[#This Row],[Part Weight (gm)]])*1000</f>
        <v>30.303030303030305</v>
      </c>
    </row>
    <row r="854" spans="1:42" x14ac:dyDescent="0.35">
      <c r="A854" s="1">
        <v>45995</v>
      </c>
      <c r="B854">
        <v>1</v>
      </c>
      <c r="C854" t="s">
        <v>14</v>
      </c>
      <c r="D854" t="str" cm="1">
        <f t="array" ref="D854">IFERROR(INDEX(ReferenceCard, MATCH(1, (INDEX(ReferenceCard,,1)=Table1[[#This Row],[SAP No]]) * (INDEX(ReferenceCard,,2)=Table1[[#This Row],[Mould No]]), 0), 6),)</f>
        <v>PET</v>
      </c>
      <c r="E854">
        <v>324165</v>
      </c>
      <c r="F854">
        <v>0</v>
      </c>
      <c r="G854" t="str" cm="1">
        <f t="array" ref="G854">IFERROR(INDEX(ReferenceCard, MATCH(1, (INDEX(ReferenceCard,,1)=Table1[[#This Row],[SAP No]]) * (INDEX(ReferenceCard,,2)=Table1[[#This Row],[Mould No]]), 0), 3),)</f>
        <v>JJ63-0400-SH-S-WH</v>
      </c>
      <c r="H854">
        <v>0</v>
      </c>
      <c r="I854" cm="1">
        <f t="array" ref="I854">IFERROR(INDEX(ReferenceCard, MATCH(1, (INDEX(ReferenceCard,,1)=Table1[[#This Row],[SAP No]]) * (INDEX(ReferenceCard,,2)=Table1[[#This Row],[Mould No]]), 0), 4),)</f>
        <v>4</v>
      </c>
      <c r="J854" s="4" cm="1">
        <f t="array" ref="J854">IFERROR(INDEX(ReferenceCard, MATCH(1, (INDEX(ReferenceCard,,1)=Table1[[#This Row],[SAP No]]) * (INDEX(ReferenceCard,,2)=Table1[[#This Row],[Mould No]]), 0), 9),)</f>
        <v>32.56</v>
      </c>
      <c r="K854" s="4" cm="1">
        <f t="array" ref="K854">IFERROR(INDEX(ReferenceCard, MATCH(1, (INDEX(ReferenceCard,,1)=Table1[[#This Row],[SAP No]]) * (INDEX(ReferenceCard,,2)=Table1[[#This Row],[Mould No]]), 0), 7),)</f>
        <v>33</v>
      </c>
      <c r="L854">
        <v>9437</v>
      </c>
      <c r="M854">
        <v>0</v>
      </c>
      <c r="N854">
        <v>0</v>
      </c>
      <c r="O854">
        <v>0</v>
      </c>
      <c r="P854">
        <f>Table1[[#This Row],[Shot]]*Table1[[#This Row],[Cav]]</f>
        <v>37748</v>
      </c>
      <c r="Q854">
        <v>0</v>
      </c>
      <c r="R854">
        <f>(Table1[[#This Row],[Part Weight (gm)]]*Table1[[#This Row],[Finish Good]])/1000</f>
        <v>0</v>
      </c>
      <c r="S854">
        <v>0</v>
      </c>
      <c r="T854">
        <f>IF(Table1[[#This Row],[Qty Order]]="Sample","-",IF(Table1[[#This Row],[Qty Order]]="RTFN","-",Table1[[#This Row],[Qty Order]]-Table1[[#This Row],[Qty Accumulate]]))</f>
        <v>0</v>
      </c>
      <c r="U854">
        <f>((Table1[[#This Row],[Shift Output]]*Table1[[#This Row],[Part Weight (gm)]])/1000)+Table1[[#This Row],[Reject Startup (kg)]]+Table1[[#This Row],[Reject Purging (kg)]]+Table1[[#This Row],[Reject Preform (kg)]]</f>
        <v>1261.684</v>
      </c>
      <c r="V854" s="37">
        <f>(Table1[[#This Row],[Gross Weight (gm)]]-Table1[[#This Row],[Part Weight (gm)]])*Table1[[#This Row],[Shift Output]]/1000</f>
        <v>-16.609119999999916</v>
      </c>
      <c r="W854" s="3">
        <v>11</v>
      </c>
      <c r="X854" s="36">
        <f>Table1[[#This Row],[Reject Startup (kg)]]/Table1[[#This Row],[Material Used]]</f>
        <v>8.7185063771911195E-3</v>
      </c>
      <c r="Y854" s="3">
        <v>3</v>
      </c>
      <c r="Z854" s="36">
        <f>Table1[[#This Row],[Reject Prod (kg)]]/Table1[[#This Row],[Material Used]]</f>
        <v>2.3777744665066688E-3</v>
      </c>
      <c r="AA854" s="4">
        <v>0</v>
      </c>
      <c r="AB854" s="5">
        <v>7.7699999999999898</v>
      </c>
      <c r="AC854" s="4" cm="1">
        <f t="array" ref="AC854">IFERROR(INDEX(ReferenceCard, MATCH(1, (INDEX(ReferenceCard,,1)=Table1[[#This Row],[SAP No]]) * (INDEX(ReferenceCard,,2)=Table1[[#This Row],[Mould No]]), 0), 9),)</f>
        <v>32.56</v>
      </c>
      <c r="AD854" s="5">
        <v>0</v>
      </c>
      <c r="AE854" s="5">
        <v>0</v>
      </c>
      <c r="AF854" s="5">
        <v>0</v>
      </c>
      <c r="AG854" s="5">
        <v>0</v>
      </c>
      <c r="AH854" s="5">
        <v>0.93</v>
      </c>
      <c r="AI854" s="5">
        <v>0</v>
      </c>
      <c r="AJ854" s="5">
        <v>3.29</v>
      </c>
      <c r="AL854" s="2"/>
      <c r="AM854" s="2"/>
      <c r="AN854" s="3">
        <v>2</v>
      </c>
      <c r="AO854" s="3">
        <v>3</v>
      </c>
      <c r="AP854" s="6">
        <f>((Table1[[#This Row],[Reject Startup (kg)]]+Table1[[#This Row],[Reject Prod (kg)]]+Table1[[#This Row],[Reject Purging (kg)]]+Table1[[#This Row],[Reject Preform (kg)]])/Table1[[#This Row],[Part Weight (gm)]])*1000</f>
        <v>575.75757575757575</v>
      </c>
    </row>
    <row r="855" spans="1:42" x14ac:dyDescent="0.35">
      <c r="A855" s="1">
        <v>45995</v>
      </c>
      <c r="B855">
        <v>1</v>
      </c>
      <c r="C855" t="s">
        <v>16</v>
      </c>
      <c r="D855" t="str" cm="1">
        <f t="array" ref="D855">IFERROR(INDEX(ReferenceCard, MATCH(1, (INDEX(ReferenceCard,,1)=Table1[[#This Row],[SAP No]]) * (INDEX(ReferenceCard,,2)=Table1[[#This Row],[Mould No]]), 0), 6),)</f>
        <v>PET</v>
      </c>
      <c r="E855">
        <v>323092</v>
      </c>
      <c r="F855">
        <v>0</v>
      </c>
      <c r="G855" t="str" cm="1">
        <f t="array" ref="G855">IFERROR(INDEX(ReferenceCard, MATCH(1, (INDEX(ReferenceCard,,1)=Table1[[#This Row],[SAP No]]) * (INDEX(ReferenceCard,,2)=Table1[[#This Row],[Mould No]]), 0), 3),)</f>
        <v>BX38-1000-GH-R-CL(GREEN) (ASEM)</v>
      </c>
      <c r="H855">
        <v>0</v>
      </c>
      <c r="I855" cm="1">
        <f t="array" ref="I855">IFERROR(INDEX(ReferenceCard, MATCH(1, (INDEX(ReferenceCard,,1)=Table1[[#This Row],[SAP No]]) * (INDEX(ReferenceCard,,2)=Table1[[#This Row],[Mould No]]), 0), 4),)</f>
        <v>4</v>
      </c>
      <c r="J855" s="4" cm="1">
        <f t="array" ref="J855">IFERROR(INDEX(ReferenceCard, MATCH(1, (INDEX(ReferenceCard,,1)=Table1[[#This Row],[SAP No]]) * (INDEX(ReferenceCard,,2)=Table1[[#This Row],[Mould No]]), 0), 9),)</f>
        <v>48.9</v>
      </c>
      <c r="K855" s="4" cm="1">
        <f t="array" ref="K855">IFERROR(INDEX(ReferenceCard, MATCH(1, (INDEX(ReferenceCard,,1)=Table1[[#This Row],[SAP No]]) * (INDEX(ReferenceCard,,2)=Table1[[#This Row],[Mould No]]), 0), 7),)</f>
        <v>48.9</v>
      </c>
      <c r="L855">
        <v>3249</v>
      </c>
      <c r="M855">
        <v>0</v>
      </c>
      <c r="N855">
        <v>0</v>
      </c>
      <c r="O855">
        <v>0</v>
      </c>
      <c r="P855">
        <f>Table1[[#This Row],[Shot]]*Table1[[#This Row],[Cav]]</f>
        <v>12996</v>
      </c>
      <c r="Q855">
        <v>0</v>
      </c>
      <c r="R855">
        <f>(Table1[[#This Row],[Part Weight (gm)]]*Table1[[#This Row],[Finish Good]])/1000</f>
        <v>0</v>
      </c>
      <c r="S855">
        <v>0</v>
      </c>
      <c r="T855">
        <f>IF(Table1[[#This Row],[Qty Order]]="Sample","-",IF(Table1[[#This Row],[Qty Order]]="RTFN","-",Table1[[#This Row],[Qty Order]]-Table1[[#This Row],[Qty Accumulate]]))</f>
        <v>0</v>
      </c>
      <c r="U855">
        <f>((Table1[[#This Row],[Shift Output]]*Table1[[#This Row],[Part Weight (gm)]])/1000)+Table1[[#This Row],[Reject Startup (kg)]]+Table1[[#This Row],[Reject Purging (kg)]]+Table1[[#This Row],[Reject Preform (kg)]]</f>
        <v>638.50440000000003</v>
      </c>
      <c r="V855" s="37">
        <f>(Table1[[#This Row],[Gross Weight (gm)]]-Table1[[#This Row],[Part Weight (gm)]])*Table1[[#This Row],[Shift Output]]/1000</f>
        <v>0</v>
      </c>
      <c r="W855" s="3">
        <v>0</v>
      </c>
      <c r="X855" s="36">
        <f>Table1[[#This Row],[Reject Startup (kg)]]/Table1[[#This Row],[Material Used]]</f>
        <v>0</v>
      </c>
      <c r="Y855" s="3">
        <v>2</v>
      </c>
      <c r="Z855" s="36">
        <f>Table1[[#This Row],[Reject Prod (kg)]]/Table1[[#This Row],[Material Used]]</f>
        <v>3.1323198399259267E-3</v>
      </c>
      <c r="AA855" s="4">
        <v>0</v>
      </c>
      <c r="AB855" s="5">
        <v>6.41</v>
      </c>
      <c r="AC855" s="4" cm="1">
        <f t="array" ref="AC855">IFERROR(INDEX(ReferenceCard, MATCH(1, (INDEX(ReferenceCard,,1)=Table1[[#This Row],[SAP No]]) * (INDEX(ReferenceCard,,2)=Table1[[#This Row],[Mould No]]), 0), 9),)</f>
        <v>48.9</v>
      </c>
      <c r="AD855" s="5">
        <v>2.2999999999999901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3.29</v>
      </c>
      <c r="AK855" t="s">
        <v>217</v>
      </c>
      <c r="AL855" s="2"/>
      <c r="AM855" s="2"/>
      <c r="AN855" s="3">
        <v>1</v>
      </c>
      <c r="AO855" s="3">
        <v>2</v>
      </c>
      <c r="AP855" s="6">
        <f>((Table1[[#This Row],[Reject Startup (kg)]]+Table1[[#This Row],[Reject Prod (kg)]]+Table1[[#This Row],[Reject Purging (kg)]]+Table1[[#This Row],[Reject Preform (kg)]])/Table1[[#This Row],[Part Weight (gm)]])*1000</f>
        <v>102.24948875255623</v>
      </c>
    </row>
    <row r="856" spans="1:42" x14ac:dyDescent="0.35">
      <c r="A856" s="1">
        <v>45995</v>
      </c>
      <c r="B856">
        <v>1</v>
      </c>
      <c r="C856" t="s">
        <v>23</v>
      </c>
      <c r="D856" t="str" cm="1">
        <f t="array" ref="D856">IFERROR(INDEX(ReferenceCard, MATCH(1, (INDEX(ReferenceCard,,1)=Table1[[#This Row],[SAP No]]) * (INDEX(ReferenceCard,,2)=Table1[[#This Row],[Mould No]]), 0), 6),)</f>
        <v>PPSB520Y</v>
      </c>
      <c r="E856">
        <v>586276</v>
      </c>
      <c r="F856">
        <v>2</v>
      </c>
      <c r="G856" t="str" cm="1">
        <f t="array" ref="G856">IFERROR(INDEX(ReferenceCard, MATCH(1, (INDEX(ReferenceCard,,1)=Table1[[#This Row],[SAP No]]) * (INDEX(ReferenceCard,,2)=Table1[[#This Row],[Mould No]]), 0), 3),)</f>
        <v>BC28-0056-D-APH-LEB-604001-MOLD2</v>
      </c>
      <c r="H856">
        <v>0</v>
      </c>
      <c r="I856" cm="1">
        <f t="array" ref="I856">IFERROR(INDEX(ReferenceCard, MATCH(1, (INDEX(ReferenceCard,,1)=Table1[[#This Row],[SAP No]]) * (INDEX(ReferenceCard,,2)=Table1[[#This Row],[Mould No]]), 0), 4),)</f>
        <v>6</v>
      </c>
      <c r="J856" s="4" cm="1">
        <f t="array" ref="J856">IFERROR(INDEX(ReferenceCard, MATCH(1, (INDEX(ReferenceCard,,1)=Table1[[#This Row],[SAP No]]) * (INDEX(ReferenceCard,,2)=Table1[[#This Row],[Mould No]]), 0), 9),)</f>
        <v>12.3</v>
      </c>
      <c r="K856" s="4" cm="1">
        <f t="array" ref="K856">IFERROR(INDEX(ReferenceCard, MATCH(1, (INDEX(ReferenceCard,,1)=Table1[[#This Row],[SAP No]]) * (INDEX(ReferenceCard,,2)=Table1[[#This Row],[Mould No]]), 0), 7),)</f>
        <v>12.3</v>
      </c>
      <c r="L856">
        <v>1709</v>
      </c>
      <c r="M856">
        <v>0</v>
      </c>
      <c r="N856">
        <v>0</v>
      </c>
      <c r="O856">
        <v>0</v>
      </c>
      <c r="P856">
        <f>Table1[[#This Row],[Shot]]*Table1[[#This Row],[Cav]]</f>
        <v>10254</v>
      </c>
      <c r="Q856">
        <v>0</v>
      </c>
      <c r="R856">
        <f>(Table1[[#This Row],[Part Weight (gm)]]*Table1[[#This Row],[Finish Good]])/1000</f>
        <v>0</v>
      </c>
      <c r="S856">
        <v>0</v>
      </c>
      <c r="T856">
        <f>IF(Table1[[#This Row],[Qty Order]]="Sample","-",IF(Table1[[#This Row],[Qty Order]]="RTFN","-",Table1[[#This Row],[Qty Order]]-Table1[[#This Row],[Qty Accumulate]]))</f>
        <v>0</v>
      </c>
      <c r="U856">
        <f>((Table1[[#This Row],[Shift Output]]*Table1[[#This Row],[Part Weight (gm)]])/1000)+Table1[[#This Row],[Reject Startup (kg)]]+Table1[[#This Row],[Reject Purging (kg)]]+Table1[[#This Row],[Reject Preform (kg)]]</f>
        <v>143.92420000000001</v>
      </c>
      <c r="V856" s="37">
        <f>(Table1[[#This Row],[Gross Weight (gm)]]-Table1[[#This Row],[Part Weight (gm)]])*Table1[[#This Row],[Shift Output]]/1000</f>
        <v>0</v>
      </c>
      <c r="W856" s="3">
        <v>10</v>
      </c>
      <c r="X856" s="36">
        <f>Table1[[#This Row],[Reject Startup (kg)]]/Table1[[#This Row],[Material Used]]</f>
        <v>6.9481018480561291E-2</v>
      </c>
      <c r="Y856" s="3">
        <v>1</v>
      </c>
      <c r="Z856" s="36">
        <f>Table1[[#This Row],[Reject Prod (kg)]]/Table1[[#This Row],[Material Used]]</f>
        <v>6.9481018480561287E-3</v>
      </c>
      <c r="AA856" s="4">
        <v>0</v>
      </c>
      <c r="AB856" s="5">
        <v>5.8499999999999899</v>
      </c>
      <c r="AC856" s="4" cm="1">
        <f t="array" ref="AC856">IFERROR(INDEX(ReferenceCard, MATCH(1, (INDEX(ReferenceCard,,1)=Table1[[#This Row],[SAP No]]) * (INDEX(ReferenceCard,,2)=Table1[[#This Row],[Mould No]]), 0), 9),)</f>
        <v>12.3</v>
      </c>
      <c r="AD856" s="5">
        <v>0</v>
      </c>
      <c r="AE856" s="5">
        <v>0</v>
      </c>
      <c r="AF856" s="5">
        <v>0</v>
      </c>
      <c r="AG856" s="5">
        <v>2.8599999999999901</v>
      </c>
      <c r="AH856" s="5">
        <v>0</v>
      </c>
      <c r="AI856" s="5">
        <v>0</v>
      </c>
      <c r="AJ856" s="5">
        <v>3.29</v>
      </c>
      <c r="AL856" s="2"/>
      <c r="AM856" s="2"/>
      <c r="AN856" s="3">
        <v>3.5</v>
      </c>
      <c r="AO856" s="3">
        <v>4.2999999999999901</v>
      </c>
      <c r="AP856" s="6">
        <f>((Table1[[#This Row],[Reject Startup (kg)]]+Table1[[#This Row],[Reject Prod (kg)]]+Table1[[#This Row],[Reject Purging (kg)]]+Table1[[#This Row],[Reject Preform (kg)]])/Table1[[#This Row],[Part Weight (gm)]])*1000</f>
        <v>1528.4552845528447</v>
      </c>
    </row>
    <row r="857" spans="1:42" x14ac:dyDescent="0.35">
      <c r="A857" s="1">
        <v>45995</v>
      </c>
      <c r="B857">
        <v>1</v>
      </c>
      <c r="C857" t="s">
        <v>25</v>
      </c>
      <c r="D857" t="str" cm="1">
        <f t="array" ref="D857">IFERROR(INDEX(ReferenceCard, MATCH(1, (INDEX(ReferenceCard,,1)=Table1[[#This Row],[SAP No]]) * (INDEX(ReferenceCard,,2)=Table1[[#This Row],[Mould No]]), 0), 6),)</f>
        <v>PET</v>
      </c>
      <c r="E857">
        <v>323133</v>
      </c>
      <c r="F857">
        <v>0</v>
      </c>
      <c r="G857" t="str" cm="1">
        <f t="array" ref="G857">IFERROR(INDEX(ReferenceCard, MATCH(1, (INDEX(ReferenceCard,,1)=Table1[[#This Row],[SAP No]]) * (INDEX(ReferenceCard,,2)=Table1[[#This Row],[Mould No]]), 0), 3),)</f>
        <v>BX38-2000-RH-R-CL(GREEN) (ASEM)</v>
      </c>
      <c r="H857">
        <v>0</v>
      </c>
      <c r="I857" cm="1">
        <f t="array" ref="I857">IFERROR(INDEX(ReferenceCard, MATCH(1, (INDEX(ReferenceCard,,1)=Table1[[#This Row],[SAP No]]) * (INDEX(ReferenceCard,,2)=Table1[[#This Row],[Mould No]]), 0), 4),)</f>
        <v>4</v>
      </c>
      <c r="J857" s="4" cm="1">
        <f t="array" ref="J857">IFERROR(INDEX(ReferenceCard, MATCH(1, (INDEX(ReferenceCard,,1)=Table1[[#This Row],[SAP No]]) * (INDEX(ReferenceCard,,2)=Table1[[#This Row],[Mould No]]), 0), 9),)</f>
        <v>77</v>
      </c>
      <c r="K857" s="4" cm="1">
        <f t="array" ref="K857">IFERROR(INDEX(ReferenceCard, MATCH(1, (INDEX(ReferenceCard,,1)=Table1[[#This Row],[SAP No]]) * (INDEX(ReferenceCard,,2)=Table1[[#This Row],[Mould No]]), 0), 7),)</f>
        <v>77</v>
      </c>
      <c r="L857">
        <v>4835</v>
      </c>
      <c r="M857">
        <v>0</v>
      </c>
      <c r="N857">
        <v>0</v>
      </c>
      <c r="O857">
        <v>0</v>
      </c>
      <c r="P857">
        <f>Table1[[#This Row],[Shot]]*Table1[[#This Row],[Cav]]</f>
        <v>19340</v>
      </c>
      <c r="Q857">
        <v>0</v>
      </c>
      <c r="R857">
        <f>(Table1[[#This Row],[Part Weight (gm)]]*Table1[[#This Row],[Finish Good]])/1000</f>
        <v>0</v>
      </c>
      <c r="S857">
        <v>0</v>
      </c>
      <c r="T857">
        <f>IF(Table1[[#This Row],[Qty Order]]="Sample","-",IF(Table1[[#This Row],[Qty Order]]="RTFN","-",Table1[[#This Row],[Qty Order]]-Table1[[#This Row],[Qty Accumulate]]))</f>
        <v>0</v>
      </c>
      <c r="U857">
        <f>((Table1[[#This Row],[Shift Output]]*Table1[[#This Row],[Part Weight (gm)]])/1000)+Table1[[#This Row],[Reject Startup (kg)]]+Table1[[#This Row],[Reject Purging (kg)]]+Table1[[#This Row],[Reject Preform (kg)]]</f>
        <v>1489.18</v>
      </c>
      <c r="V857" s="37">
        <f>(Table1[[#This Row],[Gross Weight (gm)]]-Table1[[#This Row],[Part Weight (gm)]])*Table1[[#This Row],[Shift Output]]/1000</f>
        <v>0</v>
      </c>
      <c r="W857" s="3">
        <v>0</v>
      </c>
      <c r="X857" s="36">
        <f>Table1[[#This Row],[Reject Startup (kg)]]/Table1[[#This Row],[Material Used]]</f>
        <v>0</v>
      </c>
      <c r="Y857" s="3">
        <v>12</v>
      </c>
      <c r="Z857" s="36">
        <f>Table1[[#This Row],[Reject Prod (kg)]]/Table1[[#This Row],[Material Used]]</f>
        <v>8.0581259485085748E-3</v>
      </c>
      <c r="AA857" s="4">
        <v>0</v>
      </c>
      <c r="AB857" s="5">
        <v>8.7100000000000009</v>
      </c>
      <c r="AC857" s="4" cm="1">
        <f t="array" ref="AC857">IFERROR(INDEX(ReferenceCard, MATCH(1, (INDEX(ReferenceCard,,1)=Table1[[#This Row],[SAP No]]) * (INDEX(ReferenceCard,,2)=Table1[[#This Row],[Mould No]]), 0), 9),)</f>
        <v>77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3.29</v>
      </c>
      <c r="AL857" s="2"/>
      <c r="AM857" s="2"/>
      <c r="AN857" s="3">
        <v>0</v>
      </c>
      <c r="AO857" s="3">
        <v>0</v>
      </c>
      <c r="AP857" s="6">
        <f>((Table1[[#This Row],[Reject Startup (kg)]]+Table1[[#This Row],[Reject Prod (kg)]]+Table1[[#This Row],[Reject Purging (kg)]]+Table1[[#This Row],[Reject Preform (kg)]])/Table1[[#This Row],[Part Weight (gm)]])*1000</f>
        <v>155.84415584415584</v>
      </c>
    </row>
    <row r="858" spans="1:42" x14ac:dyDescent="0.35">
      <c r="A858" s="1">
        <v>45995</v>
      </c>
      <c r="B858">
        <v>1</v>
      </c>
      <c r="C858" t="s">
        <v>27</v>
      </c>
      <c r="D858" t="str" cm="1">
        <f t="array" ref="D858">IFERROR(INDEX(ReferenceCard, MATCH(1, (INDEX(ReferenceCard,,1)=Table1[[#This Row],[SAP No]]) * (INDEX(ReferenceCard,,2)=Table1[[#This Row],[Mould No]]), 0), 6),)</f>
        <v>PPSB520Y</v>
      </c>
      <c r="E858">
        <v>552181</v>
      </c>
      <c r="F858">
        <v>4</v>
      </c>
      <c r="G858" t="str" cm="1">
        <f t="array" ref="G858">IFERROR(INDEX(ReferenceCard, MATCH(1, (INDEX(ReferenceCard,,1)=Table1[[#This Row],[SAP No]]) * (INDEX(ReferenceCard,,2)=Table1[[#This Row],[Mould No]]), 0), 3),)</f>
        <v>BC28-0090-D-APH-5180-3538-PP-6 NOTCHES-MOLD4</v>
      </c>
      <c r="H858">
        <v>0</v>
      </c>
      <c r="I858" cm="1">
        <f t="array" ref="I858">IFERROR(INDEX(ReferenceCard, MATCH(1, (INDEX(ReferenceCard,,1)=Table1[[#This Row],[SAP No]]) * (INDEX(ReferenceCard,,2)=Table1[[#This Row],[Mould No]]), 0), 4),)</f>
        <v>6</v>
      </c>
      <c r="J858" s="4" cm="1">
        <f t="array" ref="J858">IFERROR(INDEX(ReferenceCard, MATCH(1, (INDEX(ReferenceCard,,1)=Table1[[#This Row],[SAP No]]) * (INDEX(ReferenceCard,,2)=Table1[[#This Row],[Mould No]]), 0), 9),)</f>
        <v>18.8</v>
      </c>
      <c r="K858" s="4" cm="1">
        <f t="array" ref="K858">IFERROR(INDEX(ReferenceCard, MATCH(1, (INDEX(ReferenceCard,,1)=Table1[[#This Row],[SAP No]]) * (INDEX(ReferenceCard,,2)=Table1[[#This Row],[Mould No]]), 0), 7),)</f>
        <v>18.8</v>
      </c>
      <c r="L858">
        <v>275</v>
      </c>
      <c r="M858">
        <v>0</v>
      </c>
      <c r="N858">
        <v>0</v>
      </c>
      <c r="O858">
        <v>0</v>
      </c>
      <c r="P858">
        <f>Table1[[#This Row],[Shot]]*Table1[[#This Row],[Cav]]</f>
        <v>1650</v>
      </c>
      <c r="Q858">
        <v>0</v>
      </c>
      <c r="R858">
        <f>(Table1[[#This Row],[Part Weight (gm)]]*Table1[[#This Row],[Finish Good]])/1000</f>
        <v>0</v>
      </c>
      <c r="S858">
        <v>0</v>
      </c>
      <c r="T858">
        <f>IF(Table1[[#This Row],[Qty Order]]="Sample","-",IF(Table1[[#This Row],[Qty Order]]="RTFN","-",Table1[[#This Row],[Qty Order]]-Table1[[#This Row],[Qty Accumulate]]))</f>
        <v>0</v>
      </c>
      <c r="U858">
        <f>((Table1[[#This Row],[Shift Output]]*Table1[[#This Row],[Part Weight (gm)]])/1000)+Table1[[#This Row],[Reject Startup (kg)]]+Table1[[#This Row],[Reject Purging (kg)]]+Table1[[#This Row],[Reject Preform (kg)]]</f>
        <v>39.019999999999996</v>
      </c>
      <c r="V858" s="37">
        <f>(Table1[[#This Row],[Gross Weight (gm)]]-Table1[[#This Row],[Part Weight (gm)]])*Table1[[#This Row],[Shift Output]]/1000</f>
        <v>0</v>
      </c>
      <c r="W858" s="3">
        <v>8</v>
      </c>
      <c r="X858" s="36">
        <f>Table1[[#This Row],[Reject Startup (kg)]]/Table1[[#This Row],[Material Used]]</f>
        <v>0.20502306509482318</v>
      </c>
      <c r="Y858" s="3">
        <v>0</v>
      </c>
      <c r="Z858" s="36">
        <f>Table1[[#This Row],[Reject Prod (kg)]]/Table1[[#This Row],[Material Used]]</f>
        <v>0</v>
      </c>
      <c r="AA858" s="4">
        <v>0</v>
      </c>
      <c r="AB858" s="5">
        <v>0</v>
      </c>
      <c r="AC858" s="4" cm="1">
        <f t="array" ref="AC858">IFERROR(INDEX(ReferenceCard, MATCH(1, (INDEX(ReferenceCard,,1)=Table1[[#This Row],[SAP No]]) * (INDEX(ReferenceCard,,2)=Table1[[#This Row],[Mould No]]), 0), 9),)</f>
        <v>18.8</v>
      </c>
      <c r="AD858" s="5">
        <v>0</v>
      </c>
      <c r="AE858" s="5">
        <v>0</v>
      </c>
      <c r="AF858" s="5">
        <v>0</v>
      </c>
      <c r="AG858" s="5">
        <v>0</v>
      </c>
      <c r="AH858" s="5">
        <v>8.7100000000000009</v>
      </c>
      <c r="AI858" s="5">
        <v>0</v>
      </c>
      <c r="AJ858" s="5">
        <v>3.29</v>
      </c>
      <c r="AL858" s="2"/>
      <c r="AM858" s="2"/>
      <c r="AN858" s="3">
        <v>0</v>
      </c>
      <c r="AO858" s="3">
        <v>0</v>
      </c>
      <c r="AP858" s="6">
        <f>((Table1[[#This Row],[Reject Startup (kg)]]+Table1[[#This Row],[Reject Prod (kg)]]+Table1[[#This Row],[Reject Purging (kg)]]+Table1[[#This Row],[Reject Preform (kg)]])/Table1[[#This Row],[Part Weight (gm)]])*1000</f>
        <v>425.531914893617</v>
      </c>
    </row>
    <row r="859" spans="1:42" x14ac:dyDescent="0.35">
      <c r="A859" s="1">
        <v>45995</v>
      </c>
      <c r="B859">
        <v>1</v>
      </c>
      <c r="C859" t="s">
        <v>29</v>
      </c>
      <c r="D859" t="str" cm="1">
        <f t="array" ref="D859">IFERROR(INDEX(ReferenceCard, MATCH(1, (INDEX(ReferenceCard,,1)=Table1[[#This Row],[SAP No]]) * (INDEX(ReferenceCard,,2)=Table1[[#This Row],[Mould No]]), 0), 6),)</f>
        <v>PET</v>
      </c>
      <c r="E859">
        <v>620599</v>
      </c>
      <c r="F859">
        <v>0</v>
      </c>
      <c r="G859" t="str" cm="1">
        <f t="array" ref="G859">IFERROR(INDEX(ReferenceCard, MATCH(1, (INDEX(ReferenceCard,,1)=Table1[[#This Row],[SAP No]]) * (INDEX(ReferenceCard,,2)=Table1[[#This Row],[Mould No]]), 0), 3),)</f>
        <v>BC28-0750-K4-R-CL (55g)</v>
      </c>
      <c r="H859">
        <v>0</v>
      </c>
      <c r="I859" cm="1">
        <f t="array" ref="I859">IFERROR(INDEX(ReferenceCard, MATCH(1, (INDEX(ReferenceCard,,1)=Table1[[#This Row],[SAP No]]) * (INDEX(ReferenceCard,,2)=Table1[[#This Row],[Mould No]]), 0), 4),)</f>
        <v>4</v>
      </c>
      <c r="J859" s="4" cm="1">
        <f t="array" ref="J859">IFERROR(INDEX(ReferenceCard, MATCH(1, (INDEX(ReferenceCard,,1)=Table1[[#This Row],[SAP No]]) * (INDEX(ReferenceCard,,2)=Table1[[#This Row],[Mould No]]), 0), 9),)</f>
        <v>55</v>
      </c>
      <c r="K859" s="4" cm="1">
        <f t="array" ref="K859">IFERROR(INDEX(ReferenceCard, MATCH(1, (INDEX(ReferenceCard,,1)=Table1[[#This Row],[SAP No]]) * (INDEX(ReferenceCard,,2)=Table1[[#This Row],[Mould No]]), 0), 7),)</f>
        <v>55</v>
      </c>
      <c r="L859">
        <v>6657</v>
      </c>
      <c r="M859">
        <v>0</v>
      </c>
      <c r="N859">
        <v>0</v>
      </c>
      <c r="O859">
        <v>0</v>
      </c>
      <c r="P859">
        <f>Table1[[#This Row],[Shot]]*Table1[[#This Row],[Cav]]</f>
        <v>26628</v>
      </c>
      <c r="Q859">
        <v>0</v>
      </c>
      <c r="R859">
        <f>(Table1[[#This Row],[Part Weight (gm)]]*Table1[[#This Row],[Finish Good]])/1000</f>
        <v>0</v>
      </c>
      <c r="S859">
        <v>0</v>
      </c>
      <c r="T859">
        <f>IF(Table1[[#This Row],[Qty Order]]="Sample","-",IF(Table1[[#This Row],[Qty Order]]="RTFN","-",Table1[[#This Row],[Qty Order]]-Table1[[#This Row],[Qty Accumulate]]))</f>
        <v>0</v>
      </c>
      <c r="U859">
        <f>((Table1[[#This Row],[Shift Output]]*Table1[[#This Row],[Part Weight (gm)]])/1000)+Table1[[#This Row],[Reject Startup (kg)]]+Table1[[#This Row],[Reject Purging (kg)]]+Table1[[#This Row],[Reject Preform (kg)]]</f>
        <v>1464.54</v>
      </c>
      <c r="V859" s="37">
        <f>(Table1[[#This Row],[Gross Weight (gm)]]-Table1[[#This Row],[Part Weight (gm)]])*Table1[[#This Row],[Shift Output]]/1000</f>
        <v>0</v>
      </c>
      <c r="W859" s="3">
        <v>0</v>
      </c>
      <c r="X859" s="36">
        <f>Table1[[#This Row],[Reject Startup (kg)]]/Table1[[#This Row],[Material Used]]</f>
        <v>0</v>
      </c>
      <c r="Y859" s="3">
        <v>0</v>
      </c>
      <c r="Z859" s="36">
        <f>Table1[[#This Row],[Reject Prod (kg)]]/Table1[[#This Row],[Material Used]]</f>
        <v>0</v>
      </c>
      <c r="AA859" s="4">
        <v>0</v>
      </c>
      <c r="AB859" s="5">
        <v>8.7100000000000009</v>
      </c>
      <c r="AC859" s="4" cm="1">
        <f t="array" ref="AC859">IFERROR(INDEX(ReferenceCard, MATCH(1, (INDEX(ReferenceCard,,1)=Table1[[#This Row],[SAP No]]) * (INDEX(ReferenceCard,,2)=Table1[[#This Row],[Mould No]]), 0), 9),)</f>
        <v>55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3.29</v>
      </c>
      <c r="AL859" s="2"/>
      <c r="AM859" s="2"/>
      <c r="AN859" s="3">
        <v>0</v>
      </c>
      <c r="AO859" s="3">
        <v>0</v>
      </c>
      <c r="AP85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60" spans="1:42" x14ac:dyDescent="0.35">
      <c r="A860" s="1">
        <v>45995</v>
      </c>
      <c r="B860">
        <v>1</v>
      </c>
      <c r="C860" t="s">
        <v>31</v>
      </c>
      <c r="D860" t="str" cm="1">
        <f t="array" ref="D860">IFERROR(INDEX(ReferenceCard, MATCH(1, (INDEX(ReferenceCard,,1)=Table1[[#This Row],[SAP No]]) * (INDEX(ReferenceCard,,2)=Table1[[#This Row],[Mould No]]), 0), 6),)</f>
        <v>PPSB520Y</v>
      </c>
      <c r="E860">
        <v>586276</v>
      </c>
      <c r="F860">
        <v>4</v>
      </c>
      <c r="G860" t="str" cm="1">
        <f t="array" ref="G860">IFERROR(INDEX(ReferenceCard, MATCH(1, (INDEX(ReferenceCard,,1)=Table1[[#This Row],[SAP No]]) * (INDEX(ReferenceCard,,2)=Table1[[#This Row],[Mould No]]), 0), 3),)</f>
        <v>BC28-0056-D-APH-LEB-604001-MOLD4</v>
      </c>
      <c r="H860">
        <v>0</v>
      </c>
      <c r="I860" cm="1">
        <f t="array" ref="I860">IFERROR(INDEX(ReferenceCard, MATCH(1, (INDEX(ReferenceCard,,1)=Table1[[#This Row],[SAP No]]) * (INDEX(ReferenceCard,,2)=Table1[[#This Row],[Mould No]]), 0), 4),)</f>
        <v>6</v>
      </c>
      <c r="J860" s="4" cm="1">
        <f t="array" ref="J860">IFERROR(INDEX(ReferenceCard, MATCH(1, (INDEX(ReferenceCard,,1)=Table1[[#This Row],[SAP No]]) * (INDEX(ReferenceCard,,2)=Table1[[#This Row],[Mould No]]), 0), 9),)</f>
        <v>12.3</v>
      </c>
      <c r="K860" s="4" cm="1">
        <f t="array" ref="K860">IFERROR(INDEX(ReferenceCard, MATCH(1, (INDEX(ReferenceCard,,1)=Table1[[#This Row],[SAP No]]) * (INDEX(ReferenceCard,,2)=Table1[[#This Row],[Mould No]]), 0), 7),)</f>
        <v>12.3</v>
      </c>
      <c r="L860">
        <v>6454</v>
      </c>
      <c r="M860">
        <v>0</v>
      </c>
      <c r="N860">
        <v>0</v>
      </c>
      <c r="O860">
        <v>0</v>
      </c>
      <c r="P860">
        <f>Table1[[#This Row],[Shot]]*Table1[[#This Row],[Cav]]</f>
        <v>38724</v>
      </c>
      <c r="Q860">
        <v>0</v>
      </c>
      <c r="R860">
        <f>(Table1[[#This Row],[Part Weight (gm)]]*Table1[[#This Row],[Finish Good]])/1000</f>
        <v>0</v>
      </c>
      <c r="S860">
        <v>0</v>
      </c>
      <c r="T860">
        <f>IF(Table1[[#This Row],[Qty Order]]="Sample","-",IF(Table1[[#This Row],[Qty Order]]="RTFN","-",Table1[[#This Row],[Qty Order]]-Table1[[#This Row],[Qty Accumulate]]))</f>
        <v>0</v>
      </c>
      <c r="U860">
        <f>((Table1[[#This Row],[Shift Output]]*Table1[[#This Row],[Part Weight (gm)]])/1000)+Table1[[#This Row],[Reject Startup (kg)]]+Table1[[#This Row],[Reject Purging (kg)]]+Table1[[#This Row],[Reject Preform (kg)]]</f>
        <v>476.30520000000001</v>
      </c>
      <c r="V860" s="37">
        <f>(Table1[[#This Row],[Gross Weight (gm)]]-Table1[[#This Row],[Part Weight (gm)]])*Table1[[#This Row],[Shift Output]]/1000</f>
        <v>0</v>
      </c>
      <c r="W860" s="3">
        <v>0</v>
      </c>
      <c r="X860" s="36">
        <f>Table1[[#This Row],[Reject Startup (kg)]]/Table1[[#This Row],[Material Used]]</f>
        <v>0</v>
      </c>
      <c r="Y860" s="3">
        <v>1</v>
      </c>
      <c r="Z860" s="36">
        <f>Table1[[#This Row],[Reject Prod (kg)]]/Table1[[#This Row],[Material Used]]</f>
        <v>2.0994941898597789E-3</v>
      </c>
      <c r="AA860" s="4">
        <v>0</v>
      </c>
      <c r="AB860" s="5">
        <v>8.7100000000000009</v>
      </c>
      <c r="AC860" s="4" cm="1">
        <f t="array" ref="AC860">IFERROR(INDEX(ReferenceCard, MATCH(1, (INDEX(ReferenceCard,,1)=Table1[[#This Row],[SAP No]]) * (INDEX(ReferenceCard,,2)=Table1[[#This Row],[Mould No]]), 0), 9),)</f>
        <v>12.3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3.29</v>
      </c>
      <c r="AL860" s="2"/>
      <c r="AM860" s="2"/>
      <c r="AN860" s="3">
        <v>0</v>
      </c>
      <c r="AO860" s="3">
        <v>0</v>
      </c>
      <c r="AP860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861" spans="1:42" x14ac:dyDescent="0.35">
      <c r="A861" s="1">
        <v>45995</v>
      </c>
      <c r="B861">
        <v>1</v>
      </c>
      <c r="C861" t="s">
        <v>33</v>
      </c>
      <c r="D861" t="str" cm="1">
        <f t="array" ref="D861">IFERROR(INDEX(ReferenceCard, MATCH(1, (INDEX(ReferenceCard,,1)=Table1[[#This Row],[SAP No]]) * (INDEX(ReferenceCard,,2)=Table1[[#This Row],[Mould No]]), 0), 6),)</f>
        <v>PET</v>
      </c>
      <c r="E861">
        <v>541381</v>
      </c>
      <c r="F861">
        <v>0</v>
      </c>
      <c r="G861" t="str" cm="1">
        <f t="array" ref="G861">IFERROR(INDEX(ReferenceCard, MATCH(1, (INDEX(ReferenceCard,,1)=Table1[[#This Row],[SAP No]]) * (INDEX(ReferenceCard,,2)=Table1[[#This Row],[Mould No]]), 0), 3),)</f>
        <v>BC28-1200-K-R-CL</v>
      </c>
      <c r="H861">
        <v>0</v>
      </c>
      <c r="I861" cm="1">
        <f t="array" ref="I861">IFERROR(INDEX(ReferenceCard, MATCH(1, (INDEX(ReferenceCard,,1)=Table1[[#This Row],[SAP No]]) * (INDEX(ReferenceCard,,2)=Table1[[#This Row],[Mould No]]), 0), 4),)</f>
        <v>4</v>
      </c>
      <c r="J861" s="4" cm="1">
        <f t="array" ref="J861">IFERROR(INDEX(ReferenceCard, MATCH(1, (INDEX(ReferenceCard,,1)=Table1[[#This Row],[SAP No]]) * (INDEX(ReferenceCard,,2)=Table1[[#This Row],[Mould No]]), 0), 9),)</f>
        <v>55</v>
      </c>
      <c r="K861" s="4" cm="1">
        <f t="array" ref="K861">IFERROR(INDEX(ReferenceCard, MATCH(1, (INDEX(ReferenceCard,,1)=Table1[[#This Row],[SAP No]]) * (INDEX(ReferenceCard,,2)=Table1[[#This Row],[Mould No]]), 0), 7),)</f>
        <v>55</v>
      </c>
      <c r="L861">
        <v>806</v>
      </c>
      <c r="M861">
        <v>0</v>
      </c>
      <c r="N861">
        <v>0</v>
      </c>
      <c r="O861">
        <v>0</v>
      </c>
      <c r="P861">
        <f>Table1[[#This Row],[Shot]]*Table1[[#This Row],[Cav]]</f>
        <v>3224</v>
      </c>
      <c r="Q861">
        <v>0</v>
      </c>
      <c r="R861">
        <f>(Table1[[#This Row],[Part Weight (gm)]]*Table1[[#This Row],[Finish Good]])/1000</f>
        <v>0</v>
      </c>
      <c r="S861">
        <v>0</v>
      </c>
      <c r="T861">
        <f>IF(Table1[[#This Row],[Qty Order]]="Sample","-",IF(Table1[[#This Row],[Qty Order]]="RTFN","-",Table1[[#This Row],[Qty Order]]-Table1[[#This Row],[Qty Accumulate]]))</f>
        <v>0</v>
      </c>
      <c r="U861">
        <f>((Table1[[#This Row],[Shift Output]]*Table1[[#This Row],[Part Weight (gm)]])/1000)+Table1[[#This Row],[Reject Startup (kg)]]+Table1[[#This Row],[Reject Purging (kg)]]+Table1[[#This Row],[Reject Preform (kg)]]</f>
        <v>193.32</v>
      </c>
      <c r="V861" s="37">
        <f>(Table1[[#This Row],[Gross Weight (gm)]]-Table1[[#This Row],[Part Weight (gm)]])*Table1[[#This Row],[Shift Output]]/1000</f>
        <v>0</v>
      </c>
      <c r="W861" s="3">
        <v>16</v>
      </c>
      <c r="X861" s="36">
        <f>Table1[[#This Row],[Reject Startup (kg)]]/Table1[[#This Row],[Material Used]]</f>
        <v>8.2764328574384441E-2</v>
      </c>
      <c r="Y861" s="3">
        <v>0</v>
      </c>
      <c r="Z861" s="36">
        <f>Table1[[#This Row],[Reject Prod (kg)]]/Table1[[#This Row],[Material Used]]</f>
        <v>0</v>
      </c>
      <c r="AA861" s="4">
        <v>0</v>
      </c>
      <c r="AB861" s="5">
        <v>0</v>
      </c>
      <c r="AC861" s="4" cm="1">
        <f t="array" ref="AC861">IFERROR(INDEX(ReferenceCard, MATCH(1, (INDEX(ReferenceCard,,1)=Table1[[#This Row],[SAP No]]) * (INDEX(ReferenceCard,,2)=Table1[[#This Row],[Mould No]]), 0), 9),)</f>
        <v>55</v>
      </c>
      <c r="AD861" s="5">
        <v>0</v>
      </c>
      <c r="AE861" s="5">
        <v>0</v>
      </c>
      <c r="AF861" s="5">
        <v>0</v>
      </c>
      <c r="AG861" s="5">
        <v>0</v>
      </c>
      <c r="AH861" s="5">
        <v>8.7100000000000009</v>
      </c>
      <c r="AI861" s="5">
        <v>0</v>
      </c>
      <c r="AJ861" s="5">
        <v>3.29</v>
      </c>
      <c r="AL861" s="2"/>
      <c r="AM861" s="2"/>
      <c r="AN861" s="3">
        <v>0</v>
      </c>
      <c r="AO861" s="3">
        <v>0</v>
      </c>
      <c r="AP861" s="6">
        <f>((Table1[[#This Row],[Reject Startup (kg)]]+Table1[[#This Row],[Reject Prod (kg)]]+Table1[[#This Row],[Reject Purging (kg)]]+Table1[[#This Row],[Reject Preform (kg)]])/Table1[[#This Row],[Part Weight (gm)]])*1000</f>
        <v>290.90909090909088</v>
      </c>
    </row>
    <row r="862" spans="1:42" x14ac:dyDescent="0.35">
      <c r="A862" s="1">
        <v>45995</v>
      </c>
      <c r="B862">
        <v>1</v>
      </c>
      <c r="C862" t="s">
        <v>35</v>
      </c>
      <c r="D862" t="str" cm="1">
        <f t="array" ref="D862">IFERROR(INDEX(ReferenceCard, MATCH(1, (INDEX(ReferenceCard,,1)=Table1[[#This Row],[SAP No]]) * (INDEX(ReferenceCard,,2)=Table1[[#This Row],[Mould No]]), 0), 6),)</f>
        <v>PPSB520Y</v>
      </c>
      <c r="E862">
        <v>552181</v>
      </c>
      <c r="F862">
        <v>1</v>
      </c>
      <c r="G862" t="str" cm="1">
        <f t="array" ref="G862">IFERROR(INDEX(ReferenceCard, MATCH(1, (INDEX(ReferenceCard,,1)=Table1[[#This Row],[SAP No]]) * (INDEX(ReferenceCard,,2)=Table1[[#This Row],[Mould No]]), 0), 3),)</f>
        <v>BC28-0090-D-APH-5180-3538-PP-6 NOTCHES-MOLD1</v>
      </c>
      <c r="H862">
        <v>0</v>
      </c>
      <c r="I862" cm="1">
        <f t="array" ref="I862">IFERROR(INDEX(ReferenceCard, MATCH(1, (INDEX(ReferenceCard,,1)=Table1[[#This Row],[SAP No]]) * (INDEX(ReferenceCard,,2)=Table1[[#This Row],[Mould No]]), 0), 4),)</f>
        <v>6</v>
      </c>
      <c r="J862" s="4" cm="1">
        <f t="array" ref="J862">IFERROR(INDEX(ReferenceCard, MATCH(1, (INDEX(ReferenceCard,,1)=Table1[[#This Row],[SAP No]]) * (INDEX(ReferenceCard,,2)=Table1[[#This Row],[Mould No]]), 0), 9),)</f>
        <v>18.8</v>
      </c>
      <c r="K862" s="4" cm="1">
        <f t="array" ref="K862">IFERROR(INDEX(ReferenceCard, MATCH(1, (INDEX(ReferenceCard,,1)=Table1[[#This Row],[SAP No]]) * (INDEX(ReferenceCard,,2)=Table1[[#This Row],[Mould No]]), 0), 7),)</f>
        <v>18.8</v>
      </c>
      <c r="L862">
        <v>1590</v>
      </c>
      <c r="M862">
        <v>0</v>
      </c>
      <c r="N862">
        <v>0</v>
      </c>
      <c r="O862">
        <v>0</v>
      </c>
      <c r="P862">
        <f>Table1[[#This Row],[Shot]]*Table1[[#This Row],[Cav]]</f>
        <v>9540</v>
      </c>
      <c r="Q862">
        <v>0</v>
      </c>
      <c r="R862">
        <f>(Table1[[#This Row],[Part Weight (gm)]]*Table1[[#This Row],[Finish Good]])/1000</f>
        <v>0</v>
      </c>
      <c r="S862">
        <v>0</v>
      </c>
      <c r="T862">
        <f>IF(Table1[[#This Row],[Qty Order]]="Sample","-",IF(Table1[[#This Row],[Qty Order]]="RTFN","-",Table1[[#This Row],[Qty Order]]-Table1[[#This Row],[Qty Accumulate]]))</f>
        <v>0</v>
      </c>
      <c r="U862">
        <f>((Table1[[#This Row],[Shift Output]]*Table1[[#This Row],[Part Weight (gm)]])/1000)+Table1[[#This Row],[Reject Startup (kg)]]+Table1[[#This Row],[Reject Purging (kg)]]+Table1[[#This Row],[Reject Preform (kg)]]</f>
        <v>179.352</v>
      </c>
      <c r="V862" s="37">
        <f>(Table1[[#This Row],[Gross Weight (gm)]]-Table1[[#This Row],[Part Weight (gm)]])*Table1[[#This Row],[Shift Output]]/1000</f>
        <v>0</v>
      </c>
      <c r="W862" s="3">
        <v>0</v>
      </c>
      <c r="X862" s="36">
        <f>Table1[[#This Row],[Reject Startup (kg)]]/Table1[[#This Row],[Material Used]]</f>
        <v>0</v>
      </c>
      <c r="Y862" s="3">
        <v>4</v>
      </c>
      <c r="Z862" s="36">
        <f>Table1[[#This Row],[Reject Prod (kg)]]/Table1[[#This Row],[Material Used]]</f>
        <v>2.2302511262768186E-2</v>
      </c>
      <c r="AA862" s="4">
        <v>0</v>
      </c>
      <c r="AB862" s="5">
        <v>8.7100000000000009</v>
      </c>
      <c r="AC862" s="4" cm="1">
        <f t="array" ref="AC862">IFERROR(INDEX(ReferenceCard, MATCH(1, (INDEX(ReferenceCard,,1)=Table1[[#This Row],[SAP No]]) * (INDEX(ReferenceCard,,2)=Table1[[#This Row],[Mould No]]), 0), 9),)</f>
        <v>18.8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3.29</v>
      </c>
      <c r="AL862" s="2"/>
      <c r="AM862" s="2"/>
      <c r="AN862" s="3">
        <v>0</v>
      </c>
      <c r="AO862" s="3">
        <v>0</v>
      </c>
      <c r="AP862" s="6">
        <f>((Table1[[#This Row],[Reject Startup (kg)]]+Table1[[#This Row],[Reject Prod (kg)]]+Table1[[#This Row],[Reject Purging (kg)]]+Table1[[#This Row],[Reject Preform (kg)]])/Table1[[#This Row],[Part Weight (gm)]])*1000</f>
        <v>212.7659574468085</v>
      </c>
    </row>
    <row r="863" spans="1:42" x14ac:dyDescent="0.35">
      <c r="A863" s="1">
        <v>45995</v>
      </c>
      <c r="B863">
        <v>1</v>
      </c>
      <c r="C863" t="s">
        <v>18</v>
      </c>
      <c r="D863" t="str" cm="1">
        <f t="array" ref="D863">IFERROR(INDEX(ReferenceCard, MATCH(1, (INDEX(ReferenceCard,,1)=Table1[[#This Row],[SAP No]]) * (INDEX(ReferenceCard,,2)=Table1[[#This Row],[Mould No]]), 0), 6),)</f>
        <v>PPSB520Y</v>
      </c>
      <c r="E863">
        <v>555979</v>
      </c>
      <c r="F863">
        <v>4</v>
      </c>
      <c r="G863" t="str" cm="1">
        <f t="array" ref="G863">IFERROR(INDEX(ReferenceCard, MATCH(1, (INDEX(ReferenceCard,,1)=Table1[[#This Row],[SAP No]]) * (INDEX(ReferenceCard,,2)=Table1[[#This Row],[Mould No]]), 0), 3),)</f>
        <v>BC28-0170-D-APH-5180-3539-PP-6 NOTCHES-MOLD4</v>
      </c>
      <c r="H863">
        <v>0</v>
      </c>
      <c r="I863" cm="1">
        <f t="array" ref="I863">IFERROR(INDEX(ReferenceCard, MATCH(1, (INDEX(ReferenceCard,,1)=Table1[[#This Row],[SAP No]]) * (INDEX(ReferenceCard,,2)=Table1[[#This Row],[Mould No]]), 0), 4),)</f>
        <v>6</v>
      </c>
      <c r="J863" s="4" cm="1">
        <f t="array" ref="J863">IFERROR(INDEX(ReferenceCard, MATCH(1, (INDEX(ReferenceCard,,1)=Table1[[#This Row],[SAP No]]) * (INDEX(ReferenceCard,,2)=Table1[[#This Row],[Mould No]]), 0), 9),)</f>
        <v>28</v>
      </c>
      <c r="K863" s="4" cm="1">
        <f t="array" ref="K863">IFERROR(INDEX(ReferenceCard, MATCH(1, (INDEX(ReferenceCard,,1)=Table1[[#This Row],[SAP No]]) * (INDEX(ReferenceCard,,2)=Table1[[#This Row],[Mould No]]), 0), 7),)</f>
        <v>28</v>
      </c>
      <c r="L863">
        <v>0</v>
      </c>
      <c r="M863">
        <v>0</v>
      </c>
      <c r="N863">
        <v>0</v>
      </c>
      <c r="O863">
        <v>0</v>
      </c>
      <c r="P863">
        <f>Table1[[#This Row],[Shot]]*Table1[[#This Row],[Cav]]</f>
        <v>0</v>
      </c>
      <c r="Q863">
        <v>0</v>
      </c>
      <c r="R863">
        <f>(Table1[[#This Row],[Part Weight (gm)]]*Table1[[#This Row],[Finish Good]])/1000</f>
        <v>0</v>
      </c>
      <c r="S863">
        <v>0</v>
      </c>
      <c r="T863">
        <f>IF(Table1[[#This Row],[Qty Order]]="Sample","-",IF(Table1[[#This Row],[Qty Order]]="RTFN","-",Table1[[#This Row],[Qty Order]]-Table1[[#This Row],[Qty Accumulate]]))</f>
        <v>0</v>
      </c>
      <c r="U863">
        <f>((Table1[[#This Row],[Shift Output]]*Table1[[#This Row],[Part Weight (gm)]])/1000)+Table1[[#This Row],[Reject Startup (kg)]]+Table1[[#This Row],[Reject Purging (kg)]]+Table1[[#This Row],[Reject Preform (kg)]]</f>
        <v>11.2</v>
      </c>
      <c r="V863" s="37">
        <f>(Table1[[#This Row],[Gross Weight (gm)]]-Table1[[#This Row],[Part Weight (gm)]])*Table1[[#This Row],[Shift Output]]/1000</f>
        <v>0</v>
      </c>
      <c r="W863" s="3">
        <v>6</v>
      </c>
      <c r="X863" s="36">
        <f>Table1[[#This Row],[Reject Startup (kg)]]/Table1[[#This Row],[Material Used]]</f>
        <v>0.5357142857142857</v>
      </c>
      <c r="Y863" s="3">
        <v>0</v>
      </c>
      <c r="Z863" s="36">
        <f>Table1[[#This Row],[Reject Prod (kg)]]/Table1[[#This Row],[Material Used]]</f>
        <v>0</v>
      </c>
      <c r="AA863" s="4">
        <v>0</v>
      </c>
      <c r="AB863" s="5">
        <v>0</v>
      </c>
      <c r="AC863" s="4" cm="1">
        <f t="array" ref="AC863">IFERROR(INDEX(ReferenceCard, MATCH(1, (INDEX(ReferenceCard,,1)=Table1[[#This Row],[SAP No]]) * (INDEX(ReferenceCard,,2)=Table1[[#This Row],[Mould No]]), 0), 9),)</f>
        <v>28</v>
      </c>
      <c r="AD863" s="5">
        <v>0</v>
      </c>
      <c r="AE863" s="5">
        <v>0</v>
      </c>
      <c r="AF863" s="5">
        <v>0</v>
      </c>
      <c r="AG863" s="5">
        <v>0</v>
      </c>
      <c r="AH863" s="5">
        <v>12</v>
      </c>
      <c r="AI863" s="5">
        <v>0</v>
      </c>
      <c r="AJ863" s="5">
        <v>0</v>
      </c>
      <c r="AK863" t="s">
        <v>218</v>
      </c>
      <c r="AL863" s="2"/>
      <c r="AM863" s="2"/>
      <c r="AN863" s="3">
        <v>2</v>
      </c>
      <c r="AO863" s="3">
        <v>3.2</v>
      </c>
      <c r="AP863" s="6">
        <f>((Table1[[#This Row],[Reject Startup (kg)]]+Table1[[#This Row],[Reject Prod (kg)]]+Table1[[#This Row],[Reject Purging (kg)]]+Table1[[#This Row],[Reject Preform (kg)]])/Table1[[#This Row],[Part Weight (gm)]])*1000</f>
        <v>399.99999999999994</v>
      </c>
    </row>
    <row r="864" spans="1:42" x14ac:dyDescent="0.35">
      <c r="A864" s="1">
        <v>45994</v>
      </c>
      <c r="B864">
        <v>2</v>
      </c>
      <c r="C864" t="s">
        <v>0</v>
      </c>
      <c r="D864" t="str" cm="1">
        <f t="array" ref="D864">IFERROR(INDEX(ReferenceCard, MATCH(1, (INDEX(ReferenceCard,,1)=Table1[[#This Row],[SAP No]]) * (INDEX(ReferenceCard,,2)=Table1[[#This Row],[Mould No]]), 0), 6),)</f>
        <v>PET</v>
      </c>
      <c r="E864">
        <v>369308</v>
      </c>
      <c r="F864">
        <v>0</v>
      </c>
      <c r="G864" t="str" cm="1">
        <f t="array" ref="G864">IFERROR(INDEX(ReferenceCard, MATCH(1, (INDEX(ReferenceCard,,1)=Table1[[#This Row],[SAP No]]) * (INDEX(ReferenceCard,,2)=Table1[[#This Row],[Mould No]]), 0), 3),)</f>
        <v>BW38-0280-LS-R-RED</v>
      </c>
      <c r="H864">
        <v>0</v>
      </c>
      <c r="I864" cm="1">
        <f t="array" ref="I864">IFERROR(INDEX(ReferenceCard, MATCH(1, (INDEX(ReferenceCard,,1)=Table1[[#This Row],[SAP No]]) * (INDEX(ReferenceCard,,2)=Table1[[#This Row],[Mould No]]), 0), 4),)</f>
        <v>4</v>
      </c>
      <c r="J864" s="4" cm="1">
        <f t="array" ref="J864">IFERROR(INDEX(ReferenceCard, MATCH(1, (INDEX(ReferenceCard,,1)=Table1[[#This Row],[SAP No]]) * (INDEX(ReferenceCard,,2)=Table1[[#This Row],[Mould No]]), 0), 9),)</f>
        <v>31</v>
      </c>
      <c r="K864" s="4" cm="1">
        <f t="array" ref="K864">IFERROR(INDEX(ReferenceCard, MATCH(1, (INDEX(ReferenceCard,,1)=Table1[[#This Row],[SAP No]]) * (INDEX(ReferenceCard,,2)=Table1[[#This Row],[Mould No]]), 0), 7),)</f>
        <v>31</v>
      </c>
      <c r="L864">
        <v>0</v>
      </c>
      <c r="M864">
        <v>0</v>
      </c>
      <c r="N864">
        <v>0</v>
      </c>
      <c r="O864">
        <v>0</v>
      </c>
      <c r="P864">
        <f>Table1[[#This Row],[Shot]]*Table1[[#This Row],[Cav]]</f>
        <v>0</v>
      </c>
      <c r="Q864">
        <v>0</v>
      </c>
      <c r="R864">
        <f>(Table1[[#This Row],[Part Weight (gm)]]*Table1[[#This Row],[Finish Good]])/1000</f>
        <v>0</v>
      </c>
      <c r="S864">
        <v>0</v>
      </c>
      <c r="T864">
        <f>IF(Table1[[#This Row],[Qty Order]]="Sample","-",IF(Table1[[#This Row],[Qty Order]]="RTFN","-",Table1[[#This Row],[Qty Order]]-Table1[[#This Row],[Qty Accumulate]]))</f>
        <v>0</v>
      </c>
      <c r="U864">
        <f>((Table1[[#This Row],[Shift Output]]*Table1[[#This Row],[Part Weight (gm)]])/1000)+Table1[[#This Row],[Reject Startup (kg)]]+Table1[[#This Row],[Reject Purging (kg)]]+Table1[[#This Row],[Reject Preform (kg)]]</f>
        <v>2</v>
      </c>
      <c r="V864" s="37">
        <f>(Table1[[#This Row],[Gross Weight (gm)]]-Table1[[#This Row],[Part Weight (gm)]])*Table1[[#This Row],[Shift Output]]/1000</f>
        <v>0</v>
      </c>
      <c r="W864" s="3">
        <v>2</v>
      </c>
      <c r="X864" s="36">
        <f>Table1[[#This Row],[Reject Startup (kg)]]/Table1[[#This Row],[Material Used]]</f>
        <v>1</v>
      </c>
      <c r="Y864" s="3">
        <v>1</v>
      </c>
      <c r="Z864" s="36">
        <f>Table1[[#This Row],[Reject Prod (kg)]]/Table1[[#This Row],[Material Used]]</f>
        <v>0.5</v>
      </c>
      <c r="AA864" s="4">
        <v>0</v>
      </c>
      <c r="AB864" s="5">
        <v>0</v>
      </c>
      <c r="AC864" s="4" cm="1">
        <f t="array" ref="AC864">IFERROR(INDEX(ReferenceCard, MATCH(1, (INDEX(ReferenceCard,,1)=Table1[[#This Row],[SAP No]]) * (INDEX(ReferenceCard,,2)=Table1[[#This Row],[Mould No]]), 0), 9),)</f>
        <v>31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12</v>
      </c>
      <c r="AL864" s="2"/>
      <c r="AM864" s="2"/>
      <c r="AN864" s="3">
        <v>0</v>
      </c>
      <c r="AO864" s="3">
        <v>0</v>
      </c>
      <c r="AP864" s="6">
        <f>((Table1[[#This Row],[Reject Startup (kg)]]+Table1[[#This Row],[Reject Prod (kg)]]+Table1[[#This Row],[Reject Purging (kg)]]+Table1[[#This Row],[Reject Preform (kg)]])/Table1[[#This Row],[Part Weight (gm)]])*1000</f>
        <v>96.774193548387089</v>
      </c>
    </row>
    <row r="865" spans="1:42" x14ac:dyDescent="0.35">
      <c r="A865" s="1">
        <v>45994</v>
      </c>
      <c r="B865">
        <v>2</v>
      </c>
      <c r="C865" t="s">
        <v>3</v>
      </c>
      <c r="D865" t="str" cm="1">
        <f t="array" ref="D865">IFERROR(INDEX(ReferenceCard, MATCH(1, (INDEX(ReferenceCard,,1)=Table1[[#This Row],[SAP No]]) * (INDEX(ReferenceCard,,2)=Table1[[#This Row],[Mould No]]), 0), 6),)</f>
        <v>PET</v>
      </c>
      <c r="E865">
        <v>324163</v>
      </c>
      <c r="F865">
        <v>0</v>
      </c>
      <c r="G865" t="str" cm="1">
        <f t="array" ref="G865">IFERROR(INDEX(ReferenceCard, MATCH(1, (INDEX(ReferenceCard,,1)=Table1[[#This Row],[SAP No]]) * (INDEX(ReferenceCard,,2)=Table1[[#This Row],[Mould No]]), 0), 3),)</f>
        <v>BC28-0265-A-Q-CL</v>
      </c>
      <c r="H865">
        <v>0</v>
      </c>
      <c r="I865" cm="1">
        <f t="array" ref="I865">IFERROR(INDEX(ReferenceCard, MATCH(1, (INDEX(ReferenceCard,,1)=Table1[[#This Row],[SAP No]]) * (INDEX(ReferenceCard,,2)=Table1[[#This Row],[Mould No]]), 0), 4),)</f>
        <v>4</v>
      </c>
      <c r="J865" s="4" cm="1">
        <f t="array" ref="J865">IFERROR(INDEX(ReferenceCard, MATCH(1, (INDEX(ReferenceCard,,1)=Table1[[#This Row],[SAP No]]) * (INDEX(ReferenceCard,,2)=Table1[[#This Row],[Mould No]]), 0), 9),)</f>
        <v>24</v>
      </c>
      <c r="K865" s="4" cm="1">
        <f t="array" ref="K865">IFERROR(INDEX(ReferenceCard, MATCH(1, (INDEX(ReferenceCard,,1)=Table1[[#This Row],[SAP No]]) * (INDEX(ReferenceCard,,2)=Table1[[#This Row],[Mould No]]), 0), 7),)</f>
        <v>23.5</v>
      </c>
      <c r="L865">
        <v>0</v>
      </c>
      <c r="M865">
        <v>0</v>
      </c>
      <c r="N865">
        <v>0</v>
      </c>
      <c r="O865">
        <v>0</v>
      </c>
      <c r="P865">
        <f>Table1[[#This Row],[Shot]]*Table1[[#This Row],[Cav]]</f>
        <v>0</v>
      </c>
      <c r="Q865">
        <v>0</v>
      </c>
      <c r="R865">
        <f>(Table1[[#This Row],[Part Weight (gm)]]*Table1[[#This Row],[Finish Good]])/1000</f>
        <v>0</v>
      </c>
      <c r="S865">
        <v>0</v>
      </c>
      <c r="T865">
        <f>IF(Table1[[#This Row],[Qty Order]]="Sample","-",IF(Table1[[#This Row],[Qty Order]]="RTFN","-",Table1[[#This Row],[Qty Order]]-Table1[[#This Row],[Qty Accumulate]]))</f>
        <v>0</v>
      </c>
      <c r="U865">
        <f>((Table1[[#This Row],[Shift Output]]*Table1[[#This Row],[Part Weight (gm)]])/1000)+Table1[[#This Row],[Reject Startup (kg)]]+Table1[[#This Row],[Reject Purging (kg)]]+Table1[[#This Row],[Reject Preform (kg)]]</f>
        <v>0</v>
      </c>
      <c r="V865" s="37">
        <f>(Table1[[#This Row],[Gross Weight (gm)]]-Table1[[#This Row],[Part Weight (gm)]])*Table1[[#This Row],[Shift Output]]/1000</f>
        <v>0</v>
      </c>
      <c r="W865" s="3">
        <v>0</v>
      </c>
      <c r="X865" s="36" t="e">
        <f>Table1[[#This Row],[Reject Startup (kg)]]/Table1[[#This Row],[Material Used]]</f>
        <v>#DIV/0!</v>
      </c>
      <c r="Y865" s="3">
        <v>2</v>
      </c>
      <c r="Z865" s="36" t="e">
        <f>Table1[[#This Row],[Reject Prod (kg)]]/Table1[[#This Row],[Material Used]]</f>
        <v>#DIV/0!</v>
      </c>
      <c r="AA865" s="4">
        <v>0</v>
      </c>
      <c r="AB865" s="5">
        <v>0</v>
      </c>
      <c r="AC865" s="4" cm="1">
        <f t="array" ref="AC865">IFERROR(INDEX(ReferenceCard, MATCH(1, (INDEX(ReferenceCard,,1)=Table1[[#This Row],[SAP No]]) * (INDEX(ReferenceCard,,2)=Table1[[#This Row],[Mould No]]), 0), 9),)</f>
        <v>24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12</v>
      </c>
      <c r="AL865" s="2"/>
      <c r="AM865" s="2"/>
      <c r="AN865" s="3">
        <v>0</v>
      </c>
      <c r="AO865" s="3">
        <v>0</v>
      </c>
      <c r="AP865" s="6">
        <f>((Table1[[#This Row],[Reject Startup (kg)]]+Table1[[#This Row],[Reject Prod (kg)]]+Table1[[#This Row],[Reject Purging (kg)]]+Table1[[#This Row],[Reject Preform (kg)]])/Table1[[#This Row],[Part Weight (gm)]])*1000</f>
        <v>85.106382978723403</v>
      </c>
    </row>
    <row r="866" spans="1:42" x14ac:dyDescent="0.35">
      <c r="A866" s="1">
        <v>45994</v>
      </c>
      <c r="B866">
        <v>2</v>
      </c>
      <c r="C866" t="s">
        <v>5</v>
      </c>
      <c r="D866" t="str" cm="1">
        <f t="array" ref="D866">IFERROR(INDEX(ReferenceCard, MATCH(1, (INDEX(ReferenceCard,,1)=Table1[[#This Row],[SAP No]]) * (INDEX(ReferenceCard,,2)=Table1[[#This Row],[Mould No]]), 0), 6),)</f>
        <v>PET</v>
      </c>
      <c r="E866">
        <v>543590</v>
      </c>
      <c r="F866">
        <v>0</v>
      </c>
      <c r="G866" t="str" cm="1">
        <f t="array" ref="G866">IFERROR(INDEX(ReferenceCard, MATCH(1, (INDEX(ReferenceCard,,1)=Table1[[#This Row],[SAP No]]) * (INDEX(ReferenceCard,,2)=Table1[[#This Row],[Mould No]]), 0), 3),)</f>
        <v>BC28-0130-R-R-AM</v>
      </c>
      <c r="H866">
        <v>0</v>
      </c>
      <c r="I866" cm="1">
        <f t="array" ref="I866">IFERROR(INDEX(ReferenceCard, MATCH(1, (INDEX(ReferenceCard,,1)=Table1[[#This Row],[SAP No]]) * (INDEX(ReferenceCard,,2)=Table1[[#This Row],[Mould No]]), 0), 4),)</f>
        <v>4</v>
      </c>
      <c r="J866" s="4" cm="1">
        <f t="array" ref="J866">IFERROR(INDEX(ReferenceCard, MATCH(1, (INDEX(ReferenceCard,,1)=Table1[[#This Row],[SAP No]]) * (INDEX(ReferenceCard,,2)=Table1[[#This Row],[Mould No]]), 0), 9),)</f>
        <v>19</v>
      </c>
      <c r="K866" s="4" cm="1">
        <f t="array" ref="K866">IFERROR(INDEX(ReferenceCard, MATCH(1, (INDEX(ReferenceCard,,1)=Table1[[#This Row],[SAP No]]) * (INDEX(ReferenceCard,,2)=Table1[[#This Row],[Mould No]]), 0), 7),)</f>
        <v>19</v>
      </c>
      <c r="L866">
        <v>0</v>
      </c>
      <c r="M866">
        <v>0</v>
      </c>
      <c r="N866">
        <v>0</v>
      </c>
      <c r="O866">
        <v>0</v>
      </c>
      <c r="P866">
        <f>Table1[[#This Row],[Shot]]*Table1[[#This Row],[Cav]]</f>
        <v>0</v>
      </c>
      <c r="Q866">
        <v>0</v>
      </c>
      <c r="R866">
        <f>(Table1[[#This Row],[Part Weight (gm)]]*Table1[[#This Row],[Finish Good]])/1000</f>
        <v>0</v>
      </c>
      <c r="S866">
        <v>0</v>
      </c>
      <c r="T866">
        <f>IF(Table1[[#This Row],[Qty Order]]="Sample","-",IF(Table1[[#This Row],[Qty Order]]="RTFN","-",Table1[[#This Row],[Qty Order]]-Table1[[#This Row],[Qty Accumulate]]))</f>
        <v>0</v>
      </c>
      <c r="U866">
        <f>((Table1[[#This Row],[Shift Output]]*Table1[[#This Row],[Part Weight (gm)]])/1000)+Table1[[#This Row],[Reject Startup (kg)]]+Table1[[#This Row],[Reject Purging (kg)]]+Table1[[#This Row],[Reject Preform (kg)]]</f>
        <v>0</v>
      </c>
      <c r="V866" s="37">
        <f>(Table1[[#This Row],[Gross Weight (gm)]]-Table1[[#This Row],[Part Weight (gm)]])*Table1[[#This Row],[Shift Output]]/1000</f>
        <v>0</v>
      </c>
      <c r="W866" s="3">
        <v>0</v>
      </c>
      <c r="X866" s="36" t="e">
        <f>Table1[[#This Row],[Reject Startup (kg)]]/Table1[[#This Row],[Material Used]]</f>
        <v>#DIV/0!</v>
      </c>
      <c r="Y866" s="3">
        <v>0</v>
      </c>
      <c r="Z866" s="36" t="e">
        <f>Table1[[#This Row],[Reject Prod (kg)]]/Table1[[#This Row],[Material Used]]</f>
        <v>#DIV/0!</v>
      </c>
      <c r="AA866" s="4">
        <v>0</v>
      </c>
      <c r="AB866" s="5">
        <v>0</v>
      </c>
      <c r="AC866" s="4" cm="1">
        <f t="array" ref="AC866">IFERROR(INDEX(ReferenceCard, MATCH(1, (INDEX(ReferenceCard,,1)=Table1[[#This Row],[SAP No]]) * (INDEX(ReferenceCard,,2)=Table1[[#This Row],[Mould No]]), 0), 9),)</f>
        <v>19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12</v>
      </c>
      <c r="AL866" s="2"/>
      <c r="AM866" s="2"/>
      <c r="AN866" s="3">
        <v>0</v>
      </c>
      <c r="AO866" s="3">
        <v>0</v>
      </c>
      <c r="AP866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67" spans="1:42" x14ac:dyDescent="0.35">
      <c r="A867" s="1">
        <v>45994</v>
      </c>
      <c r="B867">
        <v>2</v>
      </c>
      <c r="C867" t="s">
        <v>7</v>
      </c>
      <c r="D867" t="str" cm="1">
        <f t="array" ref="D867">IFERROR(INDEX(ReferenceCard, MATCH(1, (INDEX(ReferenceCard,,1)=Table1[[#This Row],[SAP No]]) * (INDEX(ReferenceCard,,2)=Table1[[#This Row],[Mould No]]), 0), 6),)</f>
        <v>PET</v>
      </c>
      <c r="E867">
        <v>426555</v>
      </c>
      <c r="F867">
        <v>0</v>
      </c>
      <c r="G867" t="str" cm="1">
        <f t="array" ref="G867">IFERROR(INDEX(ReferenceCard, MATCH(1, (INDEX(ReferenceCard,,1)=Table1[[#This Row],[SAP No]]) * (INDEX(ReferenceCard,,2)=Table1[[#This Row],[Mould No]]), 0), 3),)</f>
        <v>BX38-0330-Z-S-CL-HW</v>
      </c>
      <c r="H867">
        <v>0</v>
      </c>
      <c r="I867" cm="1">
        <f t="array" ref="I867">IFERROR(INDEX(ReferenceCard, MATCH(1, (INDEX(ReferenceCard,,1)=Table1[[#This Row],[SAP No]]) * (INDEX(ReferenceCard,,2)=Table1[[#This Row],[Mould No]]), 0), 4),)</f>
        <v>4</v>
      </c>
      <c r="J867" s="4" cm="1">
        <f t="array" ref="J867">IFERROR(INDEX(ReferenceCard, MATCH(1, (INDEX(ReferenceCard,,1)=Table1[[#This Row],[SAP No]]) * (INDEX(ReferenceCard,,2)=Table1[[#This Row],[Mould No]]), 0), 9),)</f>
        <v>29</v>
      </c>
      <c r="K867" s="4" cm="1">
        <f t="array" ref="K867">IFERROR(INDEX(ReferenceCard, MATCH(1, (INDEX(ReferenceCard,,1)=Table1[[#This Row],[SAP No]]) * (INDEX(ReferenceCard,,2)=Table1[[#This Row],[Mould No]]), 0), 7),)</f>
        <v>29</v>
      </c>
      <c r="L867">
        <v>0</v>
      </c>
      <c r="M867">
        <v>0</v>
      </c>
      <c r="N867">
        <v>0</v>
      </c>
      <c r="O867">
        <v>0</v>
      </c>
      <c r="P867">
        <f>Table1[[#This Row],[Shot]]*Table1[[#This Row],[Cav]]</f>
        <v>0</v>
      </c>
      <c r="Q867">
        <v>0</v>
      </c>
      <c r="R867">
        <f>(Table1[[#This Row],[Part Weight (gm)]]*Table1[[#This Row],[Finish Good]])/1000</f>
        <v>0</v>
      </c>
      <c r="S867">
        <v>0</v>
      </c>
      <c r="T867">
        <f>IF(Table1[[#This Row],[Qty Order]]="Sample","-",IF(Table1[[#This Row],[Qty Order]]="RTFN","-",Table1[[#This Row],[Qty Order]]-Table1[[#This Row],[Qty Accumulate]]))</f>
        <v>0</v>
      </c>
      <c r="U867">
        <f>((Table1[[#This Row],[Shift Output]]*Table1[[#This Row],[Part Weight (gm)]])/1000)+Table1[[#This Row],[Reject Startup (kg)]]+Table1[[#This Row],[Reject Purging (kg)]]+Table1[[#This Row],[Reject Preform (kg)]]</f>
        <v>0</v>
      </c>
      <c r="V867" s="37">
        <f>(Table1[[#This Row],[Gross Weight (gm)]]-Table1[[#This Row],[Part Weight (gm)]])*Table1[[#This Row],[Shift Output]]/1000</f>
        <v>0</v>
      </c>
      <c r="W867" s="3">
        <v>0</v>
      </c>
      <c r="X867" s="36" t="e">
        <f>Table1[[#This Row],[Reject Startup (kg)]]/Table1[[#This Row],[Material Used]]</f>
        <v>#DIV/0!</v>
      </c>
      <c r="Y867" s="3">
        <v>1</v>
      </c>
      <c r="Z867" s="36" t="e">
        <f>Table1[[#This Row],[Reject Prod (kg)]]/Table1[[#This Row],[Material Used]]</f>
        <v>#DIV/0!</v>
      </c>
      <c r="AA867" s="4">
        <v>0</v>
      </c>
      <c r="AB867" s="5">
        <v>0</v>
      </c>
      <c r="AC867" s="4" cm="1">
        <f t="array" ref="AC867">IFERROR(INDEX(ReferenceCard, MATCH(1, (INDEX(ReferenceCard,,1)=Table1[[#This Row],[SAP No]]) * (INDEX(ReferenceCard,,2)=Table1[[#This Row],[Mould No]]), 0), 9),)</f>
        <v>29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12</v>
      </c>
      <c r="AL867" s="2"/>
      <c r="AM867" s="2"/>
      <c r="AN867" s="3">
        <v>0</v>
      </c>
      <c r="AO867" s="3">
        <v>0</v>
      </c>
      <c r="AP867" s="6">
        <f>((Table1[[#This Row],[Reject Startup (kg)]]+Table1[[#This Row],[Reject Prod (kg)]]+Table1[[#This Row],[Reject Purging (kg)]]+Table1[[#This Row],[Reject Preform (kg)]])/Table1[[#This Row],[Part Weight (gm)]])*1000</f>
        <v>34.482758620689651</v>
      </c>
    </row>
    <row r="868" spans="1:42" x14ac:dyDescent="0.35">
      <c r="A868" s="1">
        <v>45994</v>
      </c>
      <c r="B868">
        <v>2</v>
      </c>
      <c r="C868" t="s">
        <v>9</v>
      </c>
      <c r="D868" t="str" cm="1">
        <f t="array" ref="D868">IFERROR(INDEX(ReferenceCard, MATCH(1, (INDEX(ReferenceCard,,1)=Table1[[#This Row],[SAP No]]) * (INDEX(ReferenceCard,,2)=Table1[[#This Row],[Mould No]]), 0), 6),)</f>
        <v>rPET</v>
      </c>
      <c r="E868">
        <v>593537</v>
      </c>
      <c r="F868">
        <v>0</v>
      </c>
      <c r="G868" t="str" cm="1">
        <f t="array" ref="G868">IFERROR(INDEX(ReferenceCard, MATCH(1, (INDEX(ReferenceCard,,1)=Table1[[#This Row],[SAP No]]) * (INDEX(ReferenceCard,,2)=Table1[[#This Row],[Mould No]]), 0), 3),)</f>
        <v>BX38-1000-RN-R-CL-rPET</v>
      </c>
      <c r="H868">
        <v>0</v>
      </c>
      <c r="I868" cm="1">
        <f t="array" ref="I868">IFERROR(INDEX(ReferenceCard, MATCH(1, (INDEX(ReferenceCard,,1)=Table1[[#This Row],[SAP No]]) * (INDEX(ReferenceCard,,2)=Table1[[#This Row],[Mould No]]), 0), 4),)</f>
        <v>4</v>
      </c>
      <c r="J868" s="4" cm="1">
        <f t="array" ref="J868">IFERROR(INDEX(ReferenceCard, MATCH(1, (INDEX(ReferenceCard,,1)=Table1[[#This Row],[SAP No]]) * (INDEX(ReferenceCard,,2)=Table1[[#This Row],[Mould No]]), 0), 9),)</f>
        <v>56.5</v>
      </c>
      <c r="K868" s="4" cm="1">
        <f t="array" ref="K868">IFERROR(INDEX(ReferenceCard, MATCH(1, (INDEX(ReferenceCard,,1)=Table1[[#This Row],[SAP No]]) * (INDEX(ReferenceCard,,2)=Table1[[#This Row],[Mould No]]), 0), 7),)</f>
        <v>56.8</v>
      </c>
      <c r="L868">
        <v>0</v>
      </c>
      <c r="M868">
        <v>0</v>
      </c>
      <c r="N868">
        <v>0</v>
      </c>
      <c r="O868">
        <v>0</v>
      </c>
      <c r="P868">
        <f>Table1[[#This Row],[Shot]]*Table1[[#This Row],[Cav]]</f>
        <v>0</v>
      </c>
      <c r="Q868">
        <v>0</v>
      </c>
      <c r="R868">
        <f>(Table1[[#This Row],[Part Weight (gm)]]*Table1[[#This Row],[Finish Good]])/1000</f>
        <v>0</v>
      </c>
      <c r="S868">
        <v>0</v>
      </c>
      <c r="T868">
        <f>IF(Table1[[#This Row],[Qty Order]]="Sample","-",IF(Table1[[#This Row],[Qty Order]]="RTFN","-",Table1[[#This Row],[Qty Order]]-Table1[[#This Row],[Qty Accumulate]]))</f>
        <v>0</v>
      </c>
      <c r="U868">
        <f>((Table1[[#This Row],[Shift Output]]*Table1[[#This Row],[Part Weight (gm)]])/1000)+Table1[[#This Row],[Reject Startup (kg)]]+Table1[[#This Row],[Reject Purging (kg)]]+Table1[[#This Row],[Reject Preform (kg)]]</f>
        <v>0</v>
      </c>
      <c r="V868" s="37">
        <f>(Table1[[#This Row],[Gross Weight (gm)]]-Table1[[#This Row],[Part Weight (gm)]])*Table1[[#This Row],[Shift Output]]/1000</f>
        <v>0</v>
      </c>
      <c r="W868" s="3">
        <v>0</v>
      </c>
      <c r="X868" s="36" t="e">
        <f>Table1[[#This Row],[Reject Startup (kg)]]/Table1[[#This Row],[Material Used]]</f>
        <v>#DIV/0!</v>
      </c>
      <c r="Y868" s="3">
        <v>1</v>
      </c>
      <c r="Z868" s="36" t="e">
        <f>Table1[[#This Row],[Reject Prod (kg)]]/Table1[[#This Row],[Material Used]]</f>
        <v>#DIV/0!</v>
      </c>
      <c r="AA868" s="4">
        <v>0</v>
      </c>
      <c r="AB868" s="5">
        <v>0</v>
      </c>
      <c r="AC868" s="4" cm="1">
        <f t="array" ref="AC868">IFERROR(INDEX(ReferenceCard, MATCH(1, (INDEX(ReferenceCard,,1)=Table1[[#This Row],[SAP No]]) * (INDEX(ReferenceCard,,2)=Table1[[#This Row],[Mould No]]), 0), 9),)</f>
        <v>56.5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12</v>
      </c>
      <c r="AL868" s="2"/>
      <c r="AM868" s="2"/>
      <c r="AN868" s="3">
        <v>0</v>
      </c>
      <c r="AO868" s="3">
        <v>0</v>
      </c>
      <c r="AP868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869" spans="1:42" x14ac:dyDescent="0.35">
      <c r="A869" s="1">
        <v>45994</v>
      </c>
      <c r="B869">
        <v>2</v>
      </c>
      <c r="C869" t="s">
        <v>11</v>
      </c>
      <c r="D869" t="str" cm="1">
        <f t="array" ref="D869">IFERROR(INDEX(ReferenceCard, MATCH(1, (INDEX(ReferenceCard,,1)=Table1[[#This Row],[SAP No]]) * (INDEX(ReferenceCard,,2)=Table1[[#This Row],[Mould No]]), 0), 6),)</f>
        <v>rPET</v>
      </c>
      <c r="E869">
        <v>620994</v>
      </c>
      <c r="F869">
        <v>0</v>
      </c>
      <c r="G869" t="str" cm="1">
        <f t="array" ref="G869">IFERROR(INDEX(ReferenceCard, MATCH(1, (INDEX(ReferenceCard,,1)=Table1[[#This Row],[SAP No]]) * (INDEX(ReferenceCard,,2)=Table1[[#This Row],[Mould No]]), 0), 3),)</f>
        <v>JJ63-0400-SH-S-CL-rPET</v>
      </c>
      <c r="H869">
        <v>0</v>
      </c>
      <c r="I869" cm="1">
        <f t="array" ref="I869">IFERROR(INDEX(ReferenceCard, MATCH(1, (INDEX(ReferenceCard,,1)=Table1[[#This Row],[SAP No]]) * (INDEX(ReferenceCard,,2)=Table1[[#This Row],[Mould No]]), 0), 4),)</f>
        <v>4</v>
      </c>
      <c r="J869" s="4" cm="1">
        <f t="array" ref="J869">IFERROR(INDEX(ReferenceCard, MATCH(1, (INDEX(ReferenceCard,,1)=Table1[[#This Row],[SAP No]]) * (INDEX(ReferenceCard,,2)=Table1[[#This Row],[Mould No]]), 0), 9),)</f>
        <v>32.74</v>
      </c>
      <c r="K869" s="4" cm="1">
        <f t="array" ref="K869">IFERROR(INDEX(ReferenceCard, MATCH(1, (INDEX(ReferenceCard,,1)=Table1[[#This Row],[SAP No]]) * (INDEX(ReferenceCard,,2)=Table1[[#This Row],[Mould No]]), 0), 7),)</f>
        <v>33</v>
      </c>
      <c r="L869">
        <v>0</v>
      </c>
      <c r="M869">
        <v>0</v>
      </c>
      <c r="N869">
        <v>0</v>
      </c>
      <c r="O869">
        <v>0</v>
      </c>
      <c r="P869">
        <f>Table1[[#This Row],[Shot]]*Table1[[#This Row],[Cav]]</f>
        <v>0</v>
      </c>
      <c r="Q869">
        <v>0</v>
      </c>
      <c r="R869">
        <f>(Table1[[#This Row],[Part Weight (gm)]]*Table1[[#This Row],[Finish Good]])/1000</f>
        <v>0</v>
      </c>
      <c r="S869">
        <v>0</v>
      </c>
      <c r="T869">
        <f>IF(Table1[[#This Row],[Qty Order]]="Sample","-",IF(Table1[[#This Row],[Qty Order]]="RTFN","-",Table1[[#This Row],[Qty Order]]-Table1[[#This Row],[Qty Accumulate]]))</f>
        <v>0</v>
      </c>
      <c r="U869">
        <f>((Table1[[#This Row],[Shift Output]]*Table1[[#This Row],[Part Weight (gm)]])/1000)+Table1[[#This Row],[Reject Startup (kg)]]+Table1[[#This Row],[Reject Purging (kg)]]+Table1[[#This Row],[Reject Preform (kg)]]</f>
        <v>0</v>
      </c>
      <c r="V869" s="37">
        <f>(Table1[[#This Row],[Gross Weight (gm)]]-Table1[[#This Row],[Part Weight (gm)]])*Table1[[#This Row],[Shift Output]]/1000</f>
        <v>0</v>
      </c>
      <c r="W869" s="3">
        <v>0</v>
      </c>
      <c r="X869" s="36" t="e">
        <f>Table1[[#This Row],[Reject Startup (kg)]]/Table1[[#This Row],[Material Used]]</f>
        <v>#DIV/0!</v>
      </c>
      <c r="Y869" s="3">
        <v>2</v>
      </c>
      <c r="Z869" s="36" t="e">
        <f>Table1[[#This Row],[Reject Prod (kg)]]/Table1[[#This Row],[Material Used]]</f>
        <v>#DIV/0!</v>
      </c>
      <c r="AA869" s="4">
        <v>0</v>
      </c>
      <c r="AB869" s="5">
        <v>0</v>
      </c>
      <c r="AC869" s="4" cm="1">
        <f t="array" ref="AC869">IFERROR(INDEX(ReferenceCard, MATCH(1, (INDEX(ReferenceCard,,1)=Table1[[#This Row],[SAP No]]) * (INDEX(ReferenceCard,,2)=Table1[[#This Row],[Mould No]]), 0), 9),)</f>
        <v>32.74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12</v>
      </c>
      <c r="AL869" s="2"/>
      <c r="AM869" s="2"/>
      <c r="AN869" s="3">
        <v>0</v>
      </c>
      <c r="AO869" s="3">
        <v>0</v>
      </c>
      <c r="AP869" s="6">
        <f>((Table1[[#This Row],[Reject Startup (kg)]]+Table1[[#This Row],[Reject Prod (kg)]]+Table1[[#This Row],[Reject Purging (kg)]]+Table1[[#This Row],[Reject Preform (kg)]])/Table1[[#This Row],[Part Weight (gm)]])*1000</f>
        <v>60.606060606060609</v>
      </c>
    </row>
    <row r="870" spans="1:42" x14ac:dyDescent="0.35">
      <c r="A870" s="1">
        <v>45994</v>
      </c>
      <c r="B870">
        <v>2</v>
      </c>
      <c r="C870" t="s">
        <v>14</v>
      </c>
      <c r="D870" t="str" cm="1">
        <f t="array" ref="D870">IFERROR(INDEX(ReferenceCard, MATCH(1, (INDEX(ReferenceCard,,1)=Table1[[#This Row],[SAP No]]) * (INDEX(ReferenceCard,,2)=Table1[[#This Row],[Mould No]]), 0), 6),)</f>
        <v>PET</v>
      </c>
      <c r="E870">
        <v>324165</v>
      </c>
      <c r="F870">
        <v>0</v>
      </c>
      <c r="G870" t="str" cm="1">
        <f t="array" ref="G870">IFERROR(INDEX(ReferenceCard, MATCH(1, (INDEX(ReferenceCard,,1)=Table1[[#This Row],[SAP No]]) * (INDEX(ReferenceCard,,2)=Table1[[#This Row],[Mould No]]), 0), 3),)</f>
        <v>JJ63-0400-SH-S-WH</v>
      </c>
      <c r="H870">
        <v>0</v>
      </c>
      <c r="I870" cm="1">
        <f t="array" ref="I870">IFERROR(INDEX(ReferenceCard, MATCH(1, (INDEX(ReferenceCard,,1)=Table1[[#This Row],[SAP No]]) * (INDEX(ReferenceCard,,2)=Table1[[#This Row],[Mould No]]), 0), 4),)</f>
        <v>4</v>
      </c>
      <c r="J870" s="4" cm="1">
        <f t="array" ref="J870">IFERROR(INDEX(ReferenceCard, MATCH(1, (INDEX(ReferenceCard,,1)=Table1[[#This Row],[SAP No]]) * (INDEX(ReferenceCard,,2)=Table1[[#This Row],[Mould No]]), 0), 9),)</f>
        <v>32.56</v>
      </c>
      <c r="K870" s="4" cm="1">
        <f t="array" ref="K870">IFERROR(INDEX(ReferenceCard, MATCH(1, (INDEX(ReferenceCard,,1)=Table1[[#This Row],[SAP No]]) * (INDEX(ReferenceCard,,2)=Table1[[#This Row],[Mould No]]), 0), 7),)</f>
        <v>33</v>
      </c>
      <c r="L870">
        <v>0</v>
      </c>
      <c r="M870">
        <v>0</v>
      </c>
      <c r="N870">
        <v>0</v>
      </c>
      <c r="O870">
        <v>0</v>
      </c>
      <c r="P870">
        <f>Table1[[#This Row],[Shot]]*Table1[[#This Row],[Cav]]</f>
        <v>0</v>
      </c>
      <c r="Q870">
        <v>0</v>
      </c>
      <c r="R870">
        <f>(Table1[[#This Row],[Part Weight (gm)]]*Table1[[#This Row],[Finish Good]])/1000</f>
        <v>0</v>
      </c>
      <c r="S870">
        <v>0</v>
      </c>
      <c r="T870">
        <f>IF(Table1[[#This Row],[Qty Order]]="Sample","-",IF(Table1[[#This Row],[Qty Order]]="RTFN","-",Table1[[#This Row],[Qty Order]]-Table1[[#This Row],[Qty Accumulate]]))</f>
        <v>0</v>
      </c>
      <c r="U870">
        <f>((Table1[[#This Row],[Shift Output]]*Table1[[#This Row],[Part Weight (gm)]])/1000)+Table1[[#This Row],[Reject Startup (kg)]]+Table1[[#This Row],[Reject Purging (kg)]]+Table1[[#This Row],[Reject Preform (kg)]]</f>
        <v>0</v>
      </c>
      <c r="V870" s="37">
        <f>(Table1[[#This Row],[Gross Weight (gm)]]-Table1[[#This Row],[Part Weight (gm)]])*Table1[[#This Row],[Shift Output]]/1000</f>
        <v>0</v>
      </c>
      <c r="W870" s="3">
        <v>0</v>
      </c>
      <c r="X870" s="36" t="e">
        <f>Table1[[#This Row],[Reject Startup (kg)]]/Table1[[#This Row],[Material Used]]</f>
        <v>#DIV/0!</v>
      </c>
      <c r="Y870" s="3">
        <v>7</v>
      </c>
      <c r="Z870" s="36" t="e">
        <f>Table1[[#This Row],[Reject Prod (kg)]]/Table1[[#This Row],[Material Used]]</f>
        <v>#DIV/0!</v>
      </c>
      <c r="AA870" s="4">
        <v>0</v>
      </c>
      <c r="AB870" s="5">
        <v>0</v>
      </c>
      <c r="AC870" s="4" cm="1">
        <f t="array" ref="AC870">IFERROR(INDEX(ReferenceCard, MATCH(1, (INDEX(ReferenceCard,,1)=Table1[[#This Row],[SAP No]]) * (INDEX(ReferenceCard,,2)=Table1[[#This Row],[Mould No]]), 0), 9),)</f>
        <v>32.56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12</v>
      </c>
      <c r="AL870" s="2"/>
      <c r="AM870" s="2"/>
      <c r="AN870" s="3">
        <v>0</v>
      </c>
      <c r="AO870" s="3">
        <v>0</v>
      </c>
      <c r="AP870" s="6">
        <f>((Table1[[#This Row],[Reject Startup (kg)]]+Table1[[#This Row],[Reject Prod (kg)]]+Table1[[#This Row],[Reject Purging (kg)]]+Table1[[#This Row],[Reject Preform (kg)]])/Table1[[#This Row],[Part Weight (gm)]])*1000</f>
        <v>212.12121212121212</v>
      </c>
    </row>
    <row r="871" spans="1:42" x14ac:dyDescent="0.35">
      <c r="A871" s="1">
        <v>45994</v>
      </c>
      <c r="B871">
        <v>2</v>
      </c>
      <c r="C871" t="s">
        <v>16</v>
      </c>
      <c r="D871" t="str" cm="1">
        <f t="array" ref="D871">IFERROR(INDEX(ReferenceCard, MATCH(1, (INDEX(ReferenceCard,,1)=Table1[[#This Row],[SAP No]]) * (INDEX(ReferenceCard,,2)=Table1[[#This Row],[Mould No]]), 0), 6),)</f>
        <v>PET</v>
      </c>
      <c r="E871">
        <v>323092</v>
      </c>
      <c r="F871">
        <v>0</v>
      </c>
      <c r="G871" t="str" cm="1">
        <f t="array" ref="G871">IFERROR(INDEX(ReferenceCard, MATCH(1, (INDEX(ReferenceCard,,1)=Table1[[#This Row],[SAP No]]) * (INDEX(ReferenceCard,,2)=Table1[[#This Row],[Mould No]]), 0), 3),)</f>
        <v>BX38-1000-GH-R-CL(GREEN) (ASEM)</v>
      </c>
      <c r="H871">
        <v>0</v>
      </c>
      <c r="I871" cm="1">
        <f t="array" ref="I871">IFERROR(INDEX(ReferenceCard, MATCH(1, (INDEX(ReferenceCard,,1)=Table1[[#This Row],[SAP No]]) * (INDEX(ReferenceCard,,2)=Table1[[#This Row],[Mould No]]), 0), 4),)</f>
        <v>4</v>
      </c>
      <c r="J871" s="4" cm="1">
        <f t="array" ref="J871">IFERROR(INDEX(ReferenceCard, MATCH(1, (INDEX(ReferenceCard,,1)=Table1[[#This Row],[SAP No]]) * (INDEX(ReferenceCard,,2)=Table1[[#This Row],[Mould No]]), 0), 9),)</f>
        <v>48.9</v>
      </c>
      <c r="K871" s="4" cm="1">
        <f t="array" ref="K871">IFERROR(INDEX(ReferenceCard, MATCH(1, (INDEX(ReferenceCard,,1)=Table1[[#This Row],[SAP No]]) * (INDEX(ReferenceCard,,2)=Table1[[#This Row],[Mould No]]), 0), 7),)</f>
        <v>48.9</v>
      </c>
      <c r="L871">
        <v>0</v>
      </c>
      <c r="M871">
        <v>0</v>
      </c>
      <c r="N871">
        <v>0</v>
      </c>
      <c r="O871">
        <v>0</v>
      </c>
      <c r="P871">
        <f>Table1[[#This Row],[Shot]]*Table1[[#This Row],[Cav]]</f>
        <v>0</v>
      </c>
      <c r="Q871">
        <v>0</v>
      </c>
      <c r="R871">
        <f>(Table1[[#This Row],[Part Weight (gm)]]*Table1[[#This Row],[Finish Good]])/1000</f>
        <v>0</v>
      </c>
      <c r="S871">
        <v>0</v>
      </c>
      <c r="T871">
        <f>IF(Table1[[#This Row],[Qty Order]]="Sample","-",IF(Table1[[#This Row],[Qty Order]]="RTFN","-",Table1[[#This Row],[Qty Order]]-Table1[[#This Row],[Qty Accumulate]]))</f>
        <v>0</v>
      </c>
      <c r="U871">
        <f>((Table1[[#This Row],[Shift Output]]*Table1[[#This Row],[Part Weight (gm)]])/1000)+Table1[[#This Row],[Reject Startup (kg)]]+Table1[[#This Row],[Reject Purging (kg)]]+Table1[[#This Row],[Reject Preform (kg)]]</f>
        <v>0</v>
      </c>
      <c r="V871" s="37">
        <f>(Table1[[#This Row],[Gross Weight (gm)]]-Table1[[#This Row],[Part Weight (gm)]])*Table1[[#This Row],[Shift Output]]/1000</f>
        <v>0</v>
      </c>
      <c r="W871" s="3">
        <v>0</v>
      </c>
      <c r="X871" s="36" t="e">
        <f>Table1[[#This Row],[Reject Startup (kg)]]/Table1[[#This Row],[Material Used]]</f>
        <v>#DIV/0!</v>
      </c>
      <c r="Y871" s="3">
        <v>5</v>
      </c>
      <c r="Z871" s="36" t="e">
        <f>Table1[[#This Row],[Reject Prod (kg)]]/Table1[[#This Row],[Material Used]]</f>
        <v>#DIV/0!</v>
      </c>
      <c r="AA871" s="4">
        <v>0</v>
      </c>
      <c r="AB871" s="5">
        <v>0</v>
      </c>
      <c r="AC871" s="4" cm="1">
        <f t="array" ref="AC871">IFERROR(INDEX(ReferenceCard, MATCH(1, (INDEX(ReferenceCard,,1)=Table1[[#This Row],[SAP No]]) * (INDEX(ReferenceCard,,2)=Table1[[#This Row],[Mould No]]), 0), 9),)</f>
        <v>48.9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12</v>
      </c>
      <c r="AL871" s="2"/>
      <c r="AM871" s="2"/>
      <c r="AN871" s="3">
        <v>0</v>
      </c>
      <c r="AO871" s="3">
        <v>0</v>
      </c>
      <c r="AP871" s="6">
        <f>((Table1[[#This Row],[Reject Startup (kg)]]+Table1[[#This Row],[Reject Prod (kg)]]+Table1[[#This Row],[Reject Purging (kg)]]+Table1[[#This Row],[Reject Preform (kg)]])/Table1[[#This Row],[Part Weight (gm)]])*1000</f>
        <v>102.24948875255623</v>
      </c>
    </row>
    <row r="872" spans="1:42" x14ac:dyDescent="0.35">
      <c r="A872" s="1">
        <v>45994</v>
      </c>
      <c r="B872">
        <v>2</v>
      </c>
      <c r="C872" t="s">
        <v>23</v>
      </c>
      <c r="D872" t="str" cm="1">
        <f t="array" ref="D872">IFERROR(INDEX(ReferenceCard, MATCH(1, (INDEX(ReferenceCard,,1)=Table1[[#This Row],[SAP No]]) * (INDEX(ReferenceCard,,2)=Table1[[#This Row],[Mould No]]), 0), 6),)</f>
        <v>PPSB520Y</v>
      </c>
      <c r="E872">
        <v>586276</v>
      </c>
      <c r="F872">
        <v>2</v>
      </c>
      <c r="G872" t="str" cm="1">
        <f t="array" ref="G872">IFERROR(INDEX(ReferenceCard, MATCH(1, (INDEX(ReferenceCard,,1)=Table1[[#This Row],[SAP No]]) * (INDEX(ReferenceCard,,2)=Table1[[#This Row],[Mould No]]), 0), 3),)</f>
        <v>BC28-0056-D-APH-LEB-604001-MOLD2</v>
      </c>
      <c r="H872">
        <v>0</v>
      </c>
      <c r="I872" cm="1">
        <f t="array" ref="I872">IFERROR(INDEX(ReferenceCard, MATCH(1, (INDEX(ReferenceCard,,1)=Table1[[#This Row],[SAP No]]) * (INDEX(ReferenceCard,,2)=Table1[[#This Row],[Mould No]]), 0), 4),)</f>
        <v>6</v>
      </c>
      <c r="J872" s="4" cm="1">
        <f t="array" ref="J872">IFERROR(INDEX(ReferenceCard, MATCH(1, (INDEX(ReferenceCard,,1)=Table1[[#This Row],[SAP No]]) * (INDEX(ReferenceCard,,2)=Table1[[#This Row],[Mould No]]), 0), 9),)</f>
        <v>12.3</v>
      </c>
      <c r="K872" s="4" cm="1">
        <f t="array" ref="K872">IFERROR(INDEX(ReferenceCard, MATCH(1, (INDEX(ReferenceCard,,1)=Table1[[#This Row],[SAP No]]) * (INDEX(ReferenceCard,,2)=Table1[[#This Row],[Mould No]]), 0), 7),)</f>
        <v>12.3</v>
      </c>
      <c r="L872">
        <v>0</v>
      </c>
      <c r="M872">
        <v>0</v>
      </c>
      <c r="N872">
        <v>0</v>
      </c>
      <c r="O872">
        <v>0</v>
      </c>
      <c r="P872">
        <f>Table1[[#This Row],[Shot]]*Table1[[#This Row],[Cav]]</f>
        <v>0</v>
      </c>
      <c r="Q872">
        <v>0</v>
      </c>
      <c r="R872">
        <f>(Table1[[#This Row],[Part Weight (gm)]]*Table1[[#This Row],[Finish Good]])/1000</f>
        <v>0</v>
      </c>
      <c r="S872">
        <v>0</v>
      </c>
      <c r="T872">
        <f>IF(Table1[[#This Row],[Qty Order]]="Sample","-",IF(Table1[[#This Row],[Qty Order]]="RTFN","-",Table1[[#This Row],[Qty Order]]-Table1[[#This Row],[Qty Accumulate]]))</f>
        <v>0</v>
      </c>
      <c r="U872">
        <f>((Table1[[#This Row],[Shift Output]]*Table1[[#This Row],[Part Weight (gm)]])/1000)+Table1[[#This Row],[Reject Startup (kg)]]+Table1[[#This Row],[Reject Purging (kg)]]+Table1[[#This Row],[Reject Preform (kg)]]</f>
        <v>6</v>
      </c>
      <c r="V872" s="37">
        <f>(Table1[[#This Row],[Gross Weight (gm)]]-Table1[[#This Row],[Part Weight (gm)]])*Table1[[#This Row],[Shift Output]]/1000</f>
        <v>0</v>
      </c>
      <c r="W872" s="3">
        <v>6</v>
      </c>
      <c r="X872" s="36">
        <f>Table1[[#This Row],[Reject Startup (kg)]]/Table1[[#This Row],[Material Used]]</f>
        <v>1</v>
      </c>
      <c r="Y872" s="3">
        <v>0</v>
      </c>
      <c r="Z872" s="36">
        <f>Table1[[#This Row],[Reject Prod (kg)]]/Table1[[#This Row],[Material Used]]</f>
        <v>0</v>
      </c>
      <c r="AA872" s="4">
        <v>0</v>
      </c>
      <c r="AB872" s="5">
        <v>0</v>
      </c>
      <c r="AC872" s="4" cm="1">
        <f t="array" ref="AC872">IFERROR(INDEX(ReferenceCard, MATCH(1, (INDEX(ReferenceCard,,1)=Table1[[#This Row],[SAP No]]) * (INDEX(ReferenceCard,,2)=Table1[[#This Row],[Mould No]]), 0), 9),)</f>
        <v>12.3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12</v>
      </c>
      <c r="AL872" s="2"/>
      <c r="AM872" s="2"/>
      <c r="AN872" s="3">
        <v>0</v>
      </c>
      <c r="AO872" s="3">
        <v>0</v>
      </c>
      <c r="AP872" s="6">
        <f>((Table1[[#This Row],[Reject Startup (kg)]]+Table1[[#This Row],[Reject Prod (kg)]]+Table1[[#This Row],[Reject Purging (kg)]]+Table1[[#This Row],[Reject Preform (kg)]])/Table1[[#This Row],[Part Weight (gm)]])*1000</f>
        <v>487.80487804878049</v>
      </c>
    </row>
    <row r="873" spans="1:42" x14ac:dyDescent="0.35">
      <c r="A873" s="1">
        <v>45994</v>
      </c>
      <c r="B873">
        <v>2</v>
      </c>
      <c r="C873" t="s">
        <v>25</v>
      </c>
      <c r="D873" t="str" cm="1">
        <f t="array" ref="D873">IFERROR(INDEX(ReferenceCard, MATCH(1, (INDEX(ReferenceCard,,1)=Table1[[#This Row],[SAP No]]) * (INDEX(ReferenceCard,,2)=Table1[[#This Row],[Mould No]]), 0), 6),)</f>
        <v>PET</v>
      </c>
      <c r="E873">
        <v>323133</v>
      </c>
      <c r="F873">
        <v>0</v>
      </c>
      <c r="G873" t="str" cm="1">
        <f t="array" ref="G873">IFERROR(INDEX(ReferenceCard, MATCH(1, (INDEX(ReferenceCard,,1)=Table1[[#This Row],[SAP No]]) * (INDEX(ReferenceCard,,2)=Table1[[#This Row],[Mould No]]), 0), 3),)</f>
        <v>BX38-2000-RH-R-CL(GREEN) (ASEM)</v>
      </c>
      <c r="H873">
        <v>0</v>
      </c>
      <c r="I873" cm="1">
        <f t="array" ref="I873">IFERROR(INDEX(ReferenceCard, MATCH(1, (INDEX(ReferenceCard,,1)=Table1[[#This Row],[SAP No]]) * (INDEX(ReferenceCard,,2)=Table1[[#This Row],[Mould No]]), 0), 4),)</f>
        <v>4</v>
      </c>
      <c r="J873" s="4" cm="1">
        <f t="array" ref="J873">IFERROR(INDEX(ReferenceCard, MATCH(1, (INDEX(ReferenceCard,,1)=Table1[[#This Row],[SAP No]]) * (INDEX(ReferenceCard,,2)=Table1[[#This Row],[Mould No]]), 0), 9),)</f>
        <v>77</v>
      </c>
      <c r="K873" s="4" cm="1">
        <f t="array" ref="K873">IFERROR(INDEX(ReferenceCard, MATCH(1, (INDEX(ReferenceCard,,1)=Table1[[#This Row],[SAP No]]) * (INDEX(ReferenceCard,,2)=Table1[[#This Row],[Mould No]]), 0), 7),)</f>
        <v>77</v>
      </c>
      <c r="L873">
        <v>0</v>
      </c>
      <c r="M873">
        <v>0</v>
      </c>
      <c r="N873">
        <v>0</v>
      </c>
      <c r="O873">
        <v>0</v>
      </c>
      <c r="P873">
        <f>Table1[[#This Row],[Shot]]*Table1[[#This Row],[Cav]]</f>
        <v>0</v>
      </c>
      <c r="Q873">
        <v>0</v>
      </c>
      <c r="R873">
        <f>(Table1[[#This Row],[Part Weight (gm)]]*Table1[[#This Row],[Finish Good]])/1000</f>
        <v>0</v>
      </c>
      <c r="S873">
        <v>0</v>
      </c>
      <c r="T873">
        <f>IF(Table1[[#This Row],[Qty Order]]="Sample","-",IF(Table1[[#This Row],[Qty Order]]="RTFN","-",Table1[[#This Row],[Qty Order]]-Table1[[#This Row],[Qty Accumulate]]))</f>
        <v>0</v>
      </c>
      <c r="U873">
        <f>((Table1[[#This Row],[Shift Output]]*Table1[[#This Row],[Part Weight (gm)]])/1000)+Table1[[#This Row],[Reject Startup (kg)]]+Table1[[#This Row],[Reject Purging (kg)]]+Table1[[#This Row],[Reject Preform (kg)]]</f>
        <v>0</v>
      </c>
      <c r="V873" s="37">
        <f>(Table1[[#This Row],[Gross Weight (gm)]]-Table1[[#This Row],[Part Weight (gm)]])*Table1[[#This Row],[Shift Output]]/1000</f>
        <v>0</v>
      </c>
      <c r="W873" s="3">
        <v>0</v>
      </c>
      <c r="X873" s="36" t="e">
        <f>Table1[[#This Row],[Reject Startup (kg)]]/Table1[[#This Row],[Material Used]]</f>
        <v>#DIV/0!</v>
      </c>
      <c r="Y873" s="3">
        <v>7</v>
      </c>
      <c r="Z873" s="36" t="e">
        <f>Table1[[#This Row],[Reject Prod (kg)]]/Table1[[#This Row],[Material Used]]</f>
        <v>#DIV/0!</v>
      </c>
      <c r="AA873" s="4">
        <v>0</v>
      </c>
      <c r="AB873" s="5">
        <v>0</v>
      </c>
      <c r="AC873" s="4" cm="1">
        <f t="array" ref="AC873">IFERROR(INDEX(ReferenceCard, MATCH(1, (INDEX(ReferenceCard,,1)=Table1[[#This Row],[SAP No]]) * (INDEX(ReferenceCard,,2)=Table1[[#This Row],[Mould No]]), 0), 9),)</f>
        <v>77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12</v>
      </c>
      <c r="AL873" s="2"/>
      <c r="AM873" s="2"/>
      <c r="AN873" s="3">
        <v>0</v>
      </c>
      <c r="AO873" s="3">
        <v>0</v>
      </c>
      <c r="AP873" s="6">
        <f>((Table1[[#This Row],[Reject Startup (kg)]]+Table1[[#This Row],[Reject Prod (kg)]]+Table1[[#This Row],[Reject Purging (kg)]]+Table1[[#This Row],[Reject Preform (kg)]])/Table1[[#This Row],[Part Weight (gm)]])*1000</f>
        <v>90.909090909090907</v>
      </c>
    </row>
    <row r="874" spans="1:42" x14ac:dyDescent="0.35">
      <c r="A874" s="1">
        <v>45994</v>
      </c>
      <c r="B874">
        <v>2</v>
      </c>
      <c r="C874" t="s">
        <v>27</v>
      </c>
      <c r="D874" t="str" cm="1">
        <f t="array" ref="D874">IFERROR(INDEX(ReferenceCard, MATCH(1, (INDEX(ReferenceCard,,1)=Table1[[#This Row],[SAP No]]) * (INDEX(ReferenceCard,,2)=Table1[[#This Row],[Mould No]]), 0), 6),)</f>
        <v>PPSB520Y</v>
      </c>
      <c r="E874">
        <v>552181</v>
      </c>
      <c r="F874">
        <v>4</v>
      </c>
      <c r="G874" t="str" cm="1">
        <f t="array" ref="G874">IFERROR(INDEX(ReferenceCard, MATCH(1, (INDEX(ReferenceCard,,1)=Table1[[#This Row],[SAP No]]) * (INDEX(ReferenceCard,,2)=Table1[[#This Row],[Mould No]]), 0), 3),)</f>
        <v>BC28-0090-D-APH-5180-3538-PP-6 NOTCHES-MOLD4</v>
      </c>
      <c r="H874">
        <v>0</v>
      </c>
      <c r="I874" cm="1">
        <f t="array" ref="I874">IFERROR(INDEX(ReferenceCard, MATCH(1, (INDEX(ReferenceCard,,1)=Table1[[#This Row],[SAP No]]) * (INDEX(ReferenceCard,,2)=Table1[[#This Row],[Mould No]]), 0), 4),)</f>
        <v>6</v>
      </c>
      <c r="J874" s="4" cm="1">
        <f t="array" ref="J874">IFERROR(INDEX(ReferenceCard, MATCH(1, (INDEX(ReferenceCard,,1)=Table1[[#This Row],[SAP No]]) * (INDEX(ReferenceCard,,2)=Table1[[#This Row],[Mould No]]), 0), 9),)</f>
        <v>18.8</v>
      </c>
      <c r="K874" s="4" cm="1">
        <f t="array" ref="K874">IFERROR(INDEX(ReferenceCard, MATCH(1, (INDEX(ReferenceCard,,1)=Table1[[#This Row],[SAP No]]) * (INDEX(ReferenceCard,,2)=Table1[[#This Row],[Mould No]]), 0), 7),)</f>
        <v>18.8</v>
      </c>
      <c r="L874">
        <v>0</v>
      </c>
      <c r="M874">
        <v>0</v>
      </c>
      <c r="N874">
        <v>0</v>
      </c>
      <c r="O874">
        <v>0</v>
      </c>
      <c r="P874">
        <f>Table1[[#This Row],[Shot]]*Table1[[#This Row],[Cav]]</f>
        <v>0</v>
      </c>
      <c r="Q874">
        <v>0</v>
      </c>
      <c r="R874">
        <f>(Table1[[#This Row],[Part Weight (gm)]]*Table1[[#This Row],[Finish Good]])/1000</f>
        <v>0</v>
      </c>
      <c r="S874">
        <v>0</v>
      </c>
      <c r="T874">
        <f>IF(Table1[[#This Row],[Qty Order]]="Sample","-",IF(Table1[[#This Row],[Qty Order]]="RTFN","-",Table1[[#This Row],[Qty Order]]-Table1[[#This Row],[Qty Accumulate]]))</f>
        <v>0</v>
      </c>
      <c r="U874">
        <f>((Table1[[#This Row],[Shift Output]]*Table1[[#This Row],[Part Weight (gm)]])/1000)+Table1[[#This Row],[Reject Startup (kg)]]+Table1[[#This Row],[Reject Purging (kg)]]+Table1[[#This Row],[Reject Preform (kg)]]</f>
        <v>10</v>
      </c>
      <c r="V874" s="37">
        <f>(Table1[[#This Row],[Gross Weight (gm)]]-Table1[[#This Row],[Part Weight (gm)]])*Table1[[#This Row],[Shift Output]]/1000</f>
        <v>0</v>
      </c>
      <c r="W874" s="3">
        <v>10</v>
      </c>
      <c r="X874" s="36">
        <f>Table1[[#This Row],[Reject Startup (kg)]]/Table1[[#This Row],[Material Used]]</f>
        <v>1</v>
      </c>
      <c r="Y874" s="3">
        <v>0</v>
      </c>
      <c r="Z874" s="36">
        <f>Table1[[#This Row],[Reject Prod (kg)]]/Table1[[#This Row],[Material Used]]</f>
        <v>0</v>
      </c>
      <c r="AA874" s="4">
        <v>0</v>
      </c>
      <c r="AB874" s="5">
        <v>0</v>
      </c>
      <c r="AC874" s="4" cm="1">
        <f t="array" ref="AC874">IFERROR(INDEX(ReferenceCard, MATCH(1, (INDEX(ReferenceCard,,1)=Table1[[#This Row],[SAP No]]) * (INDEX(ReferenceCard,,2)=Table1[[#This Row],[Mould No]]), 0), 9),)</f>
        <v>18.8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12</v>
      </c>
      <c r="AL874" s="2"/>
      <c r="AM874" s="2"/>
      <c r="AN874" s="3">
        <v>0</v>
      </c>
      <c r="AO874" s="3">
        <v>0</v>
      </c>
      <c r="AP874" s="6">
        <f>((Table1[[#This Row],[Reject Startup (kg)]]+Table1[[#This Row],[Reject Prod (kg)]]+Table1[[#This Row],[Reject Purging (kg)]]+Table1[[#This Row],[Reject Preform (kg)]])/Table1[[#This Row],[Part Weight (gm)]])*1000</f>
        <v>531.91489361702122</v>
      </c>
    </row>
    <row r="875" spans="1:42" x14ac:dyDescent="0.35">
      <c r="A875" s="1">
        <v>45994</v>
      </c>
      <c r="B875">
        <v>2</v>
      </c>
      <c r="C875" t="s">
        <v>29</v>
      </c>
      <c r="D875" t="str" cm="1">
        <f t="array" ref="D875">IFERROR(INDEX(ReferenceCard, MATCH(1, (INDEX(ReferenceCard,,1)=Table1[[#This Row],[SAP No]]) * (INDEX(ReferenceCard,,2)=Table1[[#This Row],[Mould No]]), 0), 6),)</f>
        <v>PET</v>
      </c>
      <c r="E875">
        <v>620599</v>
      </c>
      <c r="F875">
        <v>0</v>
      </c>
      <c r="G875" t="str" cm="1">
        <f t="array" ref="G875">IFERROR(INDEX(ReferenceCard, MATCH(1, (INDEX(ReferenceCard,,1)=Table1[[#This Row],[SAP No]]) * (INDEX(ReferenceCard,,2)=Table1[[#This Row],[Mould No]]), 0), 3),)</f>
        <v>BC28-0750-K4-R-CL (55g)</v>
      </c>
      <c r="H875">
        <v>0</v>
      </c>
      <c r="I875" cm="1">
        <f t="array" ref="I875">IFERROR(INDEX(ReferenceCard, MATCH(1, (INDEX(ReferenceCard,,1)=Table1[[#This Row],[SAP No]]) * (INDEX(ReferenceCard,,2)=Table1[[#This Row],[Mould No]]), 0), 4),)</f>
        <v>4</v>
      </c>
      <c r="J875" s="4" cm="1">
        <f t="array" ref="J875">IFERROR(INDEX(ReferenceCard, MATCH(1, (INDEX(ReferenceCard,,1)=Table1[[#This Row],[SAP No]]) * (INDEX(ReferenceCard,,2)=Table1[[#This Row],[Mould No]]), 0), 9),)</f>
        <v>55</v>
      </c>
      <c r="K875" s="4" cm="1">
        <f t="array" ref="K875">IFERROR(INDEX(ReferenceCard, MATCH(1, (INDEX(ReferenceCard,,1)=Table1[[#This Row],[SAP No]]) * (INDEX(ReferenceCard,,2)=Table1[[#This Row],[Mould No]]), 0), 7),)</f>
        <v>55</v>
      </c>
      <c r="L875">
        <v>0</v>
      </c>
      <c r="M875">
        <v>0</v>
      </c>
      <c r="N875">
        <v>0</v>
      </c>
      <c r="O875">
        <v>0</v>
      </c>
      <c r="P875">
        <f>Table1[[#This Row],[Shot]]*Table1[[#This Row],[Cav]]</f>
        <v>0</v>
      </c>
      <c r="Q875">
        <v>0</v>
      </c>
      <c r="R875">
        <f>(Table1[[#This Row],[Part Weight (gm)]]*Table1[[#This Row],[Finish Good]])/1000</f>
        <v>0</v>
      </c>
      <c r="S875">
        <v>0</v>
      </c>
      <c r="T875">
        <f>IF(Table1[[#This Row],[Qty Order]]="Sample","-",IF(Table1[[#This Row],[Qty Order]]="RTFN","-",Table1[[#This Row],[Qty Order]]-Table1[[#This Row],[Qty Accumulate]]))</f>
        <v>0</v>
      </c>
      <c r="U875">
        <f>((Table1[[#This Row],[Shift Output]]*Table1[[#This Row],[Part Weight (gm)]])/1000)+Table1[[#This Row],[Reject Startup (kg)]]+Table1[[#This Row],[Reject Purging (kg)]]+Table1[[#This Row],[Reject Preform (kg)]]</f>
        <v>0</v>
      </c>
      <c r="V875" s="37">
        <f>(Table1[[#This Row],[Gross Weight (gm)]]-Table1[[#This Row],[Part Weight (gm)]])*Table1[[#This Row],[Shift Output]]/1000</f>
        <v>0</v>
      </c>
      <c r="W875" s="3">
        <v>0</v>
      </c>
      <c r="X875" s="36" t="e">
        <f>Table1[[#This Row],[Reject Startup (kg)]]/Table1[[#This Row],[Material Used]]</f>
        <v>#DIV/0!</v>
      </c>
      <c r="Y875" s="3">
        <v>4</v>
      </c>
      <c r="Z875" s="36" t="e">
        <f>Table1[[#This Row],[Reject Prod (kg)]]/Table1[[#This Row],[Material Used]]</f>
        <v>#DIV/0!</v>
      </c>
      <c r="AA875" s="4">
        <v>0</v>
      </c>
      <c r="AB875" s="5">
        <v>0</v>
      </c>
      <c r="AC875" s="4" cm="1">
        <f t="array" ref="AC875">IFERROR(INDEX(ReferenceCard, MATCH(1, (INDEX(ReferenceCard,,1)=Table1[[#This Row],[SAP No]]) * (INDEX(ReferenceCard,,2)=Table1[[#This Row],[Mould No]]), 0), 9),)</f>
        <v>55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12</v>
      </c>
      <c r="AL875" s="2"/>
      <c r="AM875" s="2"/>
      <c r="AN875" s="3">
        <v>0</v>
      </c>
      <c r="AO875" s="3">
        <v>0</v>
      </c>
      <c r="AP875" s="6">
        <f>((Table1[[#This Row],[Reject Startup (kg)]]+Table1[[#This Row],[Reject Prod (kg)]]+Table1[[#This Row],[Reject Purging (kg)]]+Table1[[#This Row],[Reject Preform (kg)]])/Table1[[#This Row],[Part Weight (gm)]])*1000</f>
        <v>72.72727272727272</v>
      </c>
    </row>
    <row r="876" spans="1:42" x14ac:dyDescent="0.35">
      <c r="A876" s="1">
        <v>45994</v>
      </c>
      <c r="B876">
        <v>2</v>
      </c>
      <c r="C876" t="s">
        <v>31</v>
      </c>
      <c r="D876" t="str" cm="1">
        <f t="array" ref="D876">IFERROR(INDEX(ReferenceCard, MATCH(1, (INDEX(ReferenceCard,,1)=Table1[[#This Row],[SAP No]]) * (INDEX(ReferenceCard,,2)=Table1[[#This Row],[Mould No]]), 0), 6),)</f>
        <v>PPSB520Y</v>
      </c>
      <c r="E876">
        <v>586276</v>
      </c>
      <c r="F876">
        <v>4</v>
      </c>
      <c r="G876" t="str" cm="1">
        <f t="array" ref="G876">IFERROR(INDEX(ReferenceCard, MATCH(1, (INDEX(ReferenceCard,,1)=Table1[[#This Row],[SAP No]]) * (INDEX(ReferenceCard,,2)=Table1[[#This Row],[Mould No]]), 0), 3),)</f>
        <v>BC28-0056-D-APH-LEB-604001-MOLD4</v>
      </c>
      <c r="H876">
        <v>0</v>
      </c>
      <c r="I876" cm="1">
        <f t="array" ref="I876">IFERROR(INDEX(ReferenceCard, MATCH(1, (INDEX(ReferenceCard,,1)=Table1[[#This Row],[SAP No]]) * (INDEX(ReferenceCard,,2)=Table1[[#This Row],[Mould No]]), 0), 4),)</f>
        <v>6</v>
      </c>
      <c r="J876" s="4" cm="1">
        <f t="array" ref="J876">IFERROR(INDEX(ReferenceCard, MATCH(1, (INDEX(ReferenceCard,,1)=Table1[[#This Row],[SAP No]]) * (INDEX(ReferenceCard,,2)=Table1[[#This Row],[Mould No]]), 0), 9),)</f>
        <v>12.3</v>
      </c>
      <c r="K876" s="4" cm="1">
        <f t="array" ref="K876">IFERROR(INDEX(ReferenceCard, MATCH(1, (INDEX(ReferenceCard,,1)=Table1[[#This Row],[SAP No]]) * (INDEX(ReferenceCard,,2)=Table1[[#This Row],[Mould No]]), 0), 7),)</f>
        <v>12.3</v>
      </c>
      <c r="L876">
        <v>0</v>
      </c>
      <c r="M876">
        <v>0</v>
      </c>
      <c r="N876">
        <v>0</v>
      </c>
      <c r="O876">
        <v>0</v>
      </c>
      <c r="P876">
        <f>Table1[[#This Row],[Shot]]*Table1[[#This Row],[Cav]]</f>
        <v>0</v>
      </c>
      <c r="Q876">
        <v>0</v>
      </c>
      <c r="R876">
        <f>(Table1[[#This Row],[Part Weight (gm)]]*Table1[[#This Row],[Finish Good]])/1000</f>
        <v>0</v>
      </c>
      <c r="S876">
        <v>0</v>
      </c>
      <c r="T876">
        <f>IF(Table1[[#This Row],[Qty Order]]="Sample","-",IF(Table1[[#This Row],[Qty Order]]="RTFN","-",Table1[[#This Row],[Qty Order]]-Table1[[#This Row],[Qty Accumulate]]))</f>
        <v>0</v>
      </c>
      <c r="U876">
        <f>((Table1[[#This Row],[Shift Output]]*Table1[[#This Row],[Part Weight (gm)]])/1000)+Table1[[#This Row],[Reject Startup (kg)]]+Table1[[#This Row],[Reject Purging (kg)]]+Table1[[#This Row],[Reject Preform (kg)]]</f>
        <v>0</v>
      </c>
      <c r="V876" s="37">
        <f>(Table1[[#This Row],[Gross Weight (gm)]]-Table1[[#This Row],[Part Weight (gm)]])*Table1[[#This Row],[Shift Output]]/1000</f>
        <v>0</v>
      </c>
      <c r="W876" s="3">
        <v>0</v>
      </c>
      <c r="X876" s="36" t="e">
        <f>Table1[[#This Row],[Reject Startup (kg)]]/Table1[[#This Row],[Material Used]]</f>
        <v>#DIV/0!</v>
      </c>
      <c r="Y876" s="3">
        <v>1</v>
      </c>
      <c r="Z876" s="36" t="e">
        <f>Table1[[#This Row],[Reject Prod (kg)]]/Table1[[#This Row],[Material Used]]</f>
        <v>#DIV/0!</v>
      </c>
      <c r="AA876" s="4">
        <v>0</v>
      </c>
      <c r="AB876" s="5">
        <v>0</v>
      </c>
      <c r="AC876" s="4" cm="1">
        <f t="array" ref="AC876">IFERROR(INDEX(ReferenceCard, MATCH(1, (INDEX(ReferenceCard,,1)=Table1[[#This Row],[SAP No]]) * (INDEX(ReferenceCard,,2)=Table1[[#This Row],[Mould No]]), 0), 9),)</f>
        <v>12.3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12</v>
      </c>
      <c r="AL876" s="2"/>
      <c r="AM876" s="2"/>
      <c r="AN876" s="3">
        <v>0</v>
      </c>
      <c r="AO876" s="3">
        <v>0</v>
      </c>
      <c r="AP876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877" spans="1:42" x14ac:dyDescent="0.35">
      <c r="A877" s="1">
        <v>45994</v>
      </c>
      <c r="B877">
        <v>2</v>
      </c>
      <c r="C877" t="s">
        <v>33</v>
      </c>
      <c r="D877" t="str" cm="1">
        <f t="array" ref="D877">IFERROR(INDEX(ReferenceCard, MATCH(1, (INDEX(ReferenceCard,,1)=Table1[[#This Row],[SAP No]]) * (INDEX(ReferenceCard,,2)=Table1[[#This Row],[Mould No]]), 0), 6),)</f>
        <v>PET</v>
      </c>
      <c r="E877">
        <v>541381</v>
      </c>
      <c r="F877">
        <v>0</v>
      </c>
      <c r="G877" t="str" cm="1">
        <f t="array" ref="G877">IFERROR(INDEX(ReferenceCard, MATCH(1, (INDEX(ReferenceCard,,1)=Table1[[#This Row],[SAP No]]) * (INDEX(ReferenceCard,,2)=Table1[[#This Row],[Mould No]]), 0), 3),)</f>
        <v>BC28-1200-K-R-CL</v>
      </c>
      <c r="H877">
        <v>0</v>
      </c>
      <c r="I877" cm="1">
        <f t="array" ref="I877">IFERROR(INDEX(ReferenceCard, MATCH(1, (INDEX(ReferenceCard,,1)=Table1[[#This Row],[SAP No]]) * (INDEX(ReferenceCard,,2)=Table1[[#This Row],[Mould No]]), 0), 4),)</f>
        <v>4</v>
      </c>
      <c r="J877" s="4" cm="1">
        <f t="array" ref="J877">IFERROR(INDEX(ReferenceCard, MATCH(1, (INDEX(ReferenceCard,,1)=Table1[[#This Row],[SAP No]]) * (INDEX(ReferenceCard,,2)=Table1[[#This Row],[Mould No]]), 0), 9),)</f>
        <v>55</v>
      </c>
      <c r="K877" s="4" cm="1">
        <f t="array" ref="K877">IFERROR(INDEX(ReferenceCard, MATCH(1, (INDEX(ReferenceCard,,1)=Table1[[#This Row],[SAP No]]) * (INDEX(ReferenceCard,,2)=Table1[[#This Row],[Mould No]]), 0), 7),)</f>
        <v>55</v>
      </c>
      <c r="L877">
        <v>0</v>
      </c>
      <c r="M877">
        <v>0</v>
      </c>
      <c r="N877">
        <v>0</v>
      </c>
      <c r="O877">
        <v>0</v>
      </c>
      <c r="P877">
        <f>Table1[[#This Row],[Shot]]*Table1[[#This Row],[Cav]]</f>
        <v>0</v>
      </c>
      <c r="Q877">
        <v>0</v>
      </c>
      <c r="R877">
        <f>(Table1[[#This Row],[Part Weight (gm)]]*Table1[[#This Row],[Finish Good]])/1000</f>
        <v>0</v>
      </c>
      <c r="S877">
        <v>0</v>
      </c>
      <c r="T877">
        <f>IF(Table1[[#This Row],[Qty Order]]="Sample","-",IF(Table1[[#This Row],[Qty Order]]="RTFN","-",Table1[[#This Row],[Qty Order]]-Table1[[#This Row],[Qty Accumulate]]))</f>
        <v>0</v>
      </c>
      <c r="U877">
        <f>((Table1[[#This Row],[Shift Output]]*Table1[[#This Row],[Part Weight (gm)]])/1000)+Table1[[#This Row],[Reject Startup (kg)]]+Table1[[#This Row],[Reject Purging (kg)]]+Table1[[#This Row],[Reject Preform (kg)]]</f>
        <v>0</v>
      </c>
      <c r="V877" s="37">
        <f>(Table1[[#This Row],[Gross Weight (gm)]]-Table1[[#This Row],[Part Weight (gm)]])*Table1[[#This Row],[Shift Output]]/1000</f>
        <v>0</v>
      </c>
      <c r="W877" s="3">
        <v>0</v>
      </c>
      <c r="X877" s="36" t="e">
        <f>Table1[[#This Row],[Reject Startup (kg)]]/Table1[[#This Row],[Material Used]]</f>
        <v>#DIV/0!</v>
      </c>
      <c r="Y877" s="3">
        <v>0</v>
      </c>
      <c r="Z877" s="36" t="e">
        <f>Table1[[#This Row],[Reject Prod (kg)]]/Table1[[#This Row],[Material Used]]</f>
        <v>#DIV/0!</v>
      </c>
      <c r="AA877" s="4">
        <v>0</v>
      </c>
      <c r="AB877" s="5">
        <v>0</v>
      </c>
      <c r="AC877" s="4" cm="1">
        <f t="array" ref="AC877">IFERROR(INDEX(ReferenceCard, MATCH(1, (INDEX(ReferenceCard,,1)=Table1[[#This Row],[SAP No]]) * (INDEX(ReferenceCard,,2)=Table1[[#This Row],[Mould No]]), 0), 9),)</f>
        <v>55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12</v>
      </c>
      <c r="AL877" s="2"/>
      <c r="AM877" s="2"/>
      <c r="AN877" s="3">
        <v>0</v>
      </c>
      <c r="AO877" s="3">
        <v>0</v>
      </c>
      <c r="AP877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78" spans="1:42" x14ac:dyDescent="0.35">
      <c r="A878" s="1">
        <v>45994</v>
      </c>
      <c r="B878">
        <v>2</v>
      </c>
      <c r="C878" t="s">
        <v>35</v>
      </c>
      <c r="D878" t="str" cm="1">
        <f t="array" ref="D878">IFERROR(INDEX(ReferenceCard, MATCH(1, (INDEX(ReferenceCard,,1)=Table1[[#This Row],[SAP No]]) * (INDEX(ReferenceCard,,2)=Table1[[#This Row],[Mould No]]), 0), 6),)</f>
        <v>PPSB520Y</v>
      </c>
      <c r="E878">
        <v>552181</v>
      </c>
      <c r="F878">
        <v>1</v>
      </c>
      <c r="G878" t="str" cm="1">
        <f t="array" ref="G878">IFERROR(INDEX(ReferenceCard, MATCH(1, (INDEX(ReferenceCard,,1)=Table1[[#This Row],[SAP No]]) * (INDEX(ReferenceCard,,2)=Table1[[#This Row],[Mould No]]), 0), 3),)</f>
        <v>BC28-0090-D-APH-5180-3538-PP-6 NOTCHES-MOLD1</v>
      </c>
      <c r="H878">
        <v>0</v>
      </c>
      <c r="I878" cm="1">
        <f t="array" ref="I878">IFERROR(INDEX(ReferenceCard, MATCH(1, (INDEX(ReferenceCard,,1)=Table1[[#This Row],[SAP No]]) * (INDEX(ReferenceCard,,2)=Table1[[#This Row],[Mould No]]), 0), 4),)</f>
        <v>6</v>
      </c>
      <c r="J878" s="4" cm="1">
        <f t="array" ref="J878">IFERROR(INDEX(ReferenceCard, MATCH(1, (INDEX(ReferenceCard,,1)=Table1[[#This Row],[SAP No]]) * (INDEX(ReferenceCard,,2)=Table1[[#This Row],[Mould No]]), 0), 9),)</f>
        <v>18.8</v>
      </c>
      <c r="K878" s="4" cm="1">
        <f t="array" ref="K878">IFERROR(INDEX(ReferenceCard, MATCH(1, (INDEX(ReferenceCard,,1)=Table1[[#This Row],[SAP No]]) * (INDEX(ReferenceCard,,2)=Table1[[#This Row],[Mould No]]), 0), 7),)</f>
        <v>18.8</v>
      </c>
      <c r="L878">
        <v>0</v>
      </c>
      <c r="M878">
        <v>0</v>
      </c>
      <c r="N878">
        <v>0</v>
      </c>
      <c r="O878">
        <v>0</v>
      </c>
      <c r="P878">
        <f>Table1[[#This Row],[Shot]]*Table1[[#This Row],[Cav]]</f>
        <v>0</v>
      </c>
      <c r="Q878">
        <v>0</v>
      </c>
      <c r="R878">
        <f>(Table1[[#This Row],[Part Weight (gm)]]*Table1[[#This Row],[Finish Good]])/1000</f>
        <v>0</v>
      </c>
      <c r="S878">
        <v>0</v>
      </c>
      <c r="T878">
        <f>IF(Table1[[#This Row],[Qty Order]]="Sample","-",IF(Table1[[#This Row],[Qty Order]]="RTFN","-",Table1[[#This Row],[Qty Order]]-Table1[[#This Row],[Qty Accumulate]]))</f>
        <v>0</v>
      </c>
      <c r="U878">
        <f>((Table1[[#This Row],[Shift Output]]*Table1[[#This Row],[Part Weight (gm)]])/1000)+Table1[[#This Row],[Reject Startup (kg)]]+Table1[[#This Row],[Reject Purging (kg)]]+Table1[[#This Row],[Reject Preform (kg)]]</f>
        <v>0</v>
      </c>
      <c r="V878" s="37">
        <f>(Table1[[#This Row],[Gross Weight (gm)]]-Table1[[#This Row],[Part Weight (gm)]])*Table1[[#This Row],[Shift Output]]/1000</f>
        <v>0</v>
      </c>
      <c r="W878" s="3">
        <v>0</v>
      </c>
      <c r="X878" s="36" t="e">
        <f>Table1[[#This Row],[Reject Startup (kg)]]/Table1[[#This Row],[Material Used]]</f>
        <v>#DIV/0!</v>
      </c>
      <c r="Y878" s="3">
        <v>1</v>
      </c>
      <c r="Z878" s="36" t="e">
        <f>Table1[[#This Row],[Reject Prod (kg)]]/Table1[[#This Row],[Material Used]]</f>
        <v>#DIV/0!</v>
      </c>
      <c r="AA878" s="4">
        <v>0</v>
      </c>
      <c r="AB878" s="5">
        <v>0</v>
      </c>
      <c r="AC878" s="4" cm="1">
        <f t="array" ref="AC878">IFERROR(INDEX(ReferenceCard, MATCH(1, (INDEX(ReferenceCard,,1)=Table1[[#This Row],[SAP No]]) * (INDEX(ReferenceCard,,2)=Table1[[#This Row],[Mould No]]), 0), 9),)</f>
        <v>18.8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12</v>
      </c>
      <c r="AL878" s="2"/>
      <c r="AM878" s="2"/>
      <c r="AN878" s="3">
        <v>0</v>
      </c>
      <c r="AO878" s="3">
        <v>0</v>
      </c>
      <c r="AP878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879" spans="1:42" x14ac:dyDescent="0.35">
      <c r="A879" s="1">
        <v>45994</v>
      </c>
      <c r="B879">
        <v>2</v>
      </c>
      <c r="C879" t="s">
        <v>18</v>
      </c>
      <c r="D879" t="str" cm="1">
        <f t="array" ref="D879">IFERROR(INDEX(ReferenceCard, MATCH(1, (INDEX(ReferenceCard,,1)=Table1[[#This Row],[SAP No]]) * (INDEX(ReferenceCard,,2)=Table1[[#This Row],[Mould No]]), 0), 6),)</f>
        <v>PPSB520Y</v>
      </c>
      <c r="E879">
        <v>555979</v>
      </c>
      <c r="F879">
        <v>4</v>
      </c>
      <c r="G879" t="str" cm="1">
        <f t="array" ref="G879">IFERROR(INDEX(ReferenceCard, MATCH(1, (INDEX(ReferenceCard,,1)=Table1[[#This Row],[SAP No]]) * (INDEX(ReferenceCard,,2)=Table1[[#This Row],[Mould No]]), 0), 3),)</f>
        <v>BC28-0170-D-APH-5180-3539-PP-6 NOTCHES-MOLD4</v>
      </c>
      <c r="H879">
        <v>0</v>
      </c>
      <c r="I879" cm="1">
        <f t="array" ref="I879">IFERROR(INDEX(ReferenceCard, MATCH(1, (INDEX(ReferenceCard,,1)=Table1[[#This Row],[SAP No]]) * (INDEX(ReferenceCard,,2)=Table1[[#This Row],[Mould No]]), 0), 4),)</f>
        <v>6</v>
      </c>
      <c r="J879" s="4" cm="1">
        <f t="array" ref="J879">IFERROR(INDEX(ReferenceCard, MATCH(1, (INDEX(ReferenceCard,,1)=Table1[[#This Row],[SAP No]]) * (INDEX(ReferenceCard,,2)=Table1[[#This Row],[Mould No]]), 0), 9),)</f>
        <v>28</v>
      </c>
      <c r="K879" s="4" cm="1">
        <f t="array" ref="K879">IFERROR(INDEX(ReferenceCard, MATCH(1, (INDEX(ReferenceCard,,1)=Table1[[#This Row],[SAP No]]) * (INDEX(ReferenceCard,,2)=Table1[[#This Row],[Mould No]]), 0), 7),)</f>
        <v>28</v>
      </c>
      <c r="L879">
        <v>0</v>
      </c>
      <c r="M879">
        <v>0</v>
      </c>
      <c r="N879">
        <v>0</v>
      </c>
      <c r="O879">
        <v>0</v>
      </c>
      <c r="P879">
        <f>Table1[[#This Row],[Shot]]*Table1[[#This Row],[Cav]]</f>
        <v>0</v>
      </c>
      <c r="Q879">
        <v>0</v>
      </c>
      <c r="R879">
        <f>(Table1[[#This Row],[Part Weight (gm)]]*Table1[[#This Row],[Finish Good]])/1000</f>
        <v>0</v>
      </c>
      <c r="S879">
        <v>0</v>
      </c>
      <c r="T879">
        <f>IF(Table1[[#This Row],[Qty Order]]="Sample","-",IF(Table1[[#This Row],[Qty Order]]="RTFN","-",Table1[[#This Row],[Qty Order]]-Table1[[#This Row],[Qty Accumulate]]))</f>
        <v>0</v>
      </c>
      <c r="U879">
        <f>((Table1[[#This Row],[Shift Output]]*Table1[[#This Row],[Part Weight (gm)]])/1000)+Table1[[#This Row],[Reject Startup (kg)]]+Table1[[#This Row],[Reject Purging (kg)]]+Table1[[#This Row],[Reject Preform (kg)]]</f>
        <v>26</v>
      </c>
      <c r="V879" s="37">
        <f>(Table1[[#This Row],[Gross Weight (gm)]]-Table1[[#This Row],[Part Weight (gm)]])*Table1[[#This Row],[Shift Output]]/1000</f>
        <v>0</v>
      </c>
      <c r="W879" s="3">
        <v>26</v>
      </c>
      <c r="X879" s="36">
        <f>Table1[[#This Row],[Reject Startup (kg)]]/Table1[[#This Row],[Material Used]]</f>
        <v>1</v>
      </c>
      <c r="Y879" s="3">
        <v>0</v>
      </c>
      <c r="Z879" s="36">
        <f>Table1[[#This Row],[Reject Prod (kg)]]/Table1[[#This Row],[Material Used]]</f>
        <v>0</v>
      </c>
      <c r="AA879" s="4">
        <v>0</v>
      </c>
      <c r="AB879" s="5">
        <v>0</v>
      </c>
      <c r="AC879" s="4" cm="1">
        <f t="array" ref="AC879">IFERROR(INDEX(ReferenceCard, MATCH(1, (INDEX(ReferenceCard,,1)=Table1[[#This Row],[SAP No]]) * (INDEX(ReferenceCard,,2)=Table1[[#This Row],[Mould No]]), 0), 9),)</f>
        <v>28</v>
      </c>
      <c r="AD879" s="5">
        <v>0</v>
      </c>
      <c r="AE879" s="5">
        <v>0</v>
      </c>
      <c r="AF879" s="5">
        <v>0</v>
      </c>
      <c r="AG879" s="5">
        <v>0</v>
      </c>
      <c r="AH879" s="5">
        <v>12</v>
      </c>
      <c r="AI879" s="5">
        <v>0</v>
      </c>
      <c r="AJ879" s="5">
        <v>0</v>
      </c>
      <c r="AK879" t="s">
        <v>219</v>
      </c>
      <c r="AL879" s="2"/>
      <c r="AM879" s="2"/>
      <c r="AN879" s="3">
        <v>0</v>
      </c>
      <c r="AO879" s="3">
        <v>0</v>
      </c>
      <c r="AP879" s="6">
        <f>((Table1[[#This Row],[Reject Startup (kg)]]+Table1[[#This Row],[Reject Prod (kg)]]+Table1[[#This Row],[Reject Purging (kg)]]+Table1[[#This Row],[Reject Preform (kg)]])/Table1[[#This Row],[Part Weight (gm)]])*1000</f>
        <v>928.57142857142856</v>
      </c>
    </row>
    <row r="880" spans="1:42" x14ac:dyDescent="0.35">
      <c r="A880" s="1">
        <v>45994</v>
      </c>
      <c r="B880">
        <v>1</v>
      </c>
      <c r="C880" t="s">
        <v>0</v>
      </c>
      <c r="D880" t="str" cm="1">
        <f t="array" ref="D880">IFERROR(INDEX(ReferenceCard, MATCH(1, (INDEX(ReferenceCard,,1)=Table1[[#This Row],[SAP No]]) * (INDEX(ReferenceCard,,2)=Table1[[#This Row],[Mould No]]), 0), 6),)</f>
        <v>PET</v>
      </c>
      <c r="E880">
        <v>369308</v>
      </c>
      <c r="F880">
        <v>0</v>
      </c>
      <c r="G880" t="str" cm="1">
        <f t="array" ref="G880">IFERROR(INDEX(ReferenceCard, MATCH(1, (INDEX(ReferenceCard,,1)=Table1[[#This Row],[SAP No]]) * (INDEX(ReferenceCard,,2)=Table1[[#This Row],[Mould No]]), 0), 3),)</f>
        <v>BW38-0280-LS-R-RED</v>
      </c>
      <c r="H880">
        <v>0</v>
      </c>
      <c r="I880" cm="1">
        <f t="array" ref="I880">IFERROR(INDEX(ReferenceCard, MATCH(1, (INDEX(ReferenceCard,,1)=Table1[[#This Row],[SAP No]]) * (INDEX(ReferenceCard,,2)=Table1[[#This Row],[Mould No]]), 0), 4),)</f>
        <v>4</v>
      </c>
      <c r="J880" s="4" cm="1">
        <f t="array" ref="J880">IFERROR(INDEX(ReferenceCard, MATCH(1, (INDEX(ReferenceCard,,1)=Table1[[#This Row],[SAP No]]) * (INDEX(ReferenceCard,,2)=Table1[[#This Row],[Mould No]]), 0), 9),)</f>
        <v>31</v>
      </c>
      <c r="K880" s="4" cm="1">
        <f t="array" ref="K880">IFERROR(INDEX(ReferenceCard, MATCH(1, (INDEX(ReferenceCard,,1)=Table1[[#This Row],[SAP No]]) * (INDEX(ReferenceCard,,2)=Table1[[#This Row],[Mould No]]), 0), 7),)</f>
        <v>31</v>
      </c>
      <c r="L880">
        <v>3474</v>
      </c>
      <c r="M880">
        <v>0</v>
      </c>
      <c r="N880">
        <v>0</v>
      </c>
      <c r="O880">
        <v>0</v>
      </c>
      <c r="P880">
        <f>Table1[[#This Row],[Shot]]*Table1[[#This Row],[Cav]]</f>
        <v>13896</v>
      </c>
      <c r="Q880">
        <v>0</v>
      </c>
      <c r="R880">
        <f>(Table1[[#This Row],[Part Weight (gm)]]*Table1[[#This Row],[Finish Good]])/1000</f>
        <v>0</v>
      </c>
      <c r="S880">
        <v>0</v>
      </c>
      <c r="T880">
        <f>IF(Table1[[#This Row],[Qty Order]]="Sample","-",IF(Table1[[#This Row],[Qty Order]]="RTFN","-",Table1[[#This Row],[Qty Order]]-Table1[[#This Row],[Qty Accumulate]]))</f>
        <v>0</v>
      </c>
      <c r="U880">
        <f>((Table1[[#This Row],[Shift Output]]*Table1[[#This Row],[Part Weight (gm)]])/1000)+Table1[[#This Row],[Reject Startup (kg)]]+Table1[[#This Row],[Reject Purging (kg)]]+Table1[[#This Row],[Reject Preform (kg)]]</f>
        <v>432.77600000000001</v>
      </c>
      <c r="V880" s="37">
        <f>(Table1[[#This Row],[Gross Weight (gm)]]-Table1[[#This Row],[Part Weight (gm)]])*Table1[[#This Row],[Shift Output]]/1000</f>
        <v>0</v>
      </c>
      <c r="W880" s="3">
        <v>0</v>
      </c>
      <c r="X880" s="36">
        <f>Table1[[#This Row],[Reject Startup (kg)]]/Table1[[#This Row],[Material Used]]</f>
        <v>0</v>
      </c>
      <c r="Y880" s="3">
        <v>5</v>
      </c>
      <c r="Z880" s="36">
        <f>Table1[[#This Row],[Reject Prod (kg)]]/Table1[[#This Row],[Material Used]]</f>
        <v>1.1553320886555632E-2</v>
      </c>
      <c r="AA880" s="4">
        <v>0</v>
      </c>
      <c r="AB880" s="5">
        <v>9.8599999999999905</v>
      </c>
      <c r="AC880" s="4" cm="1">
        <f t="array" ref="AC880">IFERROR(INDEX(ReferenceCard, MATCH(1, (INDEX(ReferenceCard,,1)=Table1[[#This Row],[SAP No]]) * (INDEX(ReferenceCard,,2)=Table1[[#This Row],[Mould No]]), 0), 9),)</f>
        <v>31</v>
      </c>
      <c r="AD880" s="5">
        <v>0</v>
      </c>
      <c r="AE880" s="5">
        <v>0</v>
      </c>
      <c r="AF880" s="5">
        <v>0</v>
      </c>
      <c r="AG880" s="5">
        <v>0.91</v>
      </c>
      <c r="AH880" s="5">
        <v>1.23</v>
      </c>
      <c r="AI880" s="5">
        <v>0</v>
      </c>
      <c r="AJ880" s="5">
        <v>0</v>
      </c>
      <c r="AL880" s="2"/>
      <c r="AM880" s="2"/>
      <c r="AN880" s="3">
        <v>1</v>
      </c>
      <c r="AO880" s="3">
        <v>1</v>
      </c>
      <c r="AP880" s="6">
        <f>((Table1[[#This Row],[Reject Startup (kg)]]+Table1[[#This Row],[Reject Prod (kg)]]+Table1[[#This Row],[Reject Purging (kg)]]+Table1[[#This Row],[Reject Preform (kg)]])/Table1[[#This Row],[Part Weight (gm)]])*1000</f>
        <v>225.80645161290323</v>
      </c>
    </row>
    <row r="881" spans="1:42" x14ac:dyDescent="0.35">
      <c r="A881" s="1">
        <v>45994</v>
      </c>
      <c r="B881">
        <v>1</v>
      </c>
      <c r="C881" t="s">
        <v>3</v>
      </c>
      <c r="D881" t="str" cm="1">
        <f t="array" ref="D881">IFERROR(INDEX(ReferenceCard, MATCH(1, (INDEX(ReferenceCard,,1)=Table1[[#This Row],[SAP No]]) * (INDEX(ReferenceCard,,2)=Table1[[#This Row],[Mould No]]), 0), 6),)</f>
        <v>PET</v>
      </c>
      <c r="E881">
        <v>324163</v>
      </c>
      <c r="F881">
        <v>0</v>
      </c>
      <c r="G881" t="str" cm="1">
        <f t="array" ref="G881">IFERROR(INDEX(ReferenceCard, MATCH(1, (INDEX(ReferenceCard,,1)=Table1[[#This Row],[SAP No]]) * (INDEX(ReferenceCard,,2)=Table1[[#This Row],[Mould No]]), 0), 3),)</f>
        <v>BC28-0265-A-Q-CL</v>
      </c>
      <c r="H881">
        <v>0</v>
      </c>
      <c r="I881" cm="1">
        <f t="array" ref="I881">IFERROR(INDEX(ReferenceCard, MATCH(1, (INDEX(ReferenceCard,,1)=Table1[[#This Row],[SAP No]]) * (INDEX(ReferenceCard,,2)=Table1[[#This Row],[Mould No]]), 0), 4),)</f>
        <v>4</v>
      </c>
      <c r="J881" s="4" cm="1">
        <f t="array" ref="J881">IFERROR(INDEX(ReferenceCard, MATCH(1, (INDEX(ReferenceCard,,1)=Table1[[#This Row],[SAP No]]) * (INDEX(ReferenceCard,,2)=Table1[[#This Row],[Mould No]]), 0), 9),)</f>
        <v>24</v>
      </c>
      <c r="K881" s="4" cm="1">
        <f t="array" ref="K881">IFERROR(INDEX(ReferenceCard, MATCH(1, (INDEX(ReferenceCard,,1)=Table1[[#This Row],[SAP No]]) * (INDEX(ReferenceCard,,2)=Table1[[#This Row],[Mould No]]), 0), 7),)</f>
        <v>23.5</v>
      </c>
      <c r="L881">
        <v>1026</v>
      </c>
      <c r="M881">
        <v>0</v>
      </c>
      <c r="N881">
        <v>0</v>
      </c>
      <c r="O881">
        <v>0</v>
      </c>
      <c r="P881">
        <f>Table1[[#This Row],[Shot]]*Table1[[#This Row],[Cav]]</f>
        <v>4104</v>
      </c>
      <c r="Q881">
        <v>0</v>
      </c>
      <c r="R881">
        <f>(Table1[[#This Row],[Part Weight (gm)]]*Table1[[#This Row],[Finish Good]])/1000</f>
        <v>0</v>
      </c>
      <c r="S881">
        <v>0</v>
      </c>
      <c r="T881">
        <f>IF(Table1[[#This Row],[Qty Order]]="Sample","-",IF(Table1[[#This Row],[Qty Order]]="RTFN","-",Table1[[#This Row],[Qty Order]]-Table1[[#This Row],[Qty Accumulate]]))</f>
        <v>0</v>
      </c>
      <c r="U881">
        <f>((Table1[[#This Row],[Shift Output]]*Table1[[#This Row],[Part Weight (gm)]])/1000)+Table1[[#This Row],[Reject Startup (kg)]]+Table1[[#This Row],[Reject Purging (kg)]]+Table1[[#This Row],[Reject Preform (kg)]]</f>
        <v>116.64400000000001</v>
      </c>
      <c r="V881" s="37">
        <f>(Table1[[#This Row],[Gross Weight (gm)]]-Table1[[#This Row],[Part Weight (gm)]])*Table1[[#This Row],[Shift Output]]/1000</f>
        <v>2.052</v>
      </c>
      <c r="W881" s="3">
        <v>6</v>
      </c>
      <c r="X881" s="36">
        <f>Table1[[#This Row],[Reject Startup (kg)]]/Table1[[#This Row],[Material Used]]</f>
        <v>5.1438565206954494E-2</v>
      </c>
      <c r="Y881" s="3">
        <v>3</v>
      </c>
      <c r="Z881" s="36">
        <f>Table1[[#This Row],[Reject Prod (kg)]]/Table1[[#This Row],[Material Used]]</f>
        <v>2.5719282603477247E-2</v>
      </c>
      <c r="AA881" s="4">
        <v>0</v>
      </c>
      <c r="AB881" s="5">
        <v>2.79</v>
      </c>
      <c r="AC881" s="4" cm="1">
        <f t="array" ref="AC881">IFERROR(INDEX(ReferenceCard, MATCH(1, (INDEX(ReferenceCard,,1)=Table1[[#This Row],[SAP No]]) * (INDEX(ReferenceCard,,2)=Table1[[#This Row],[Mould No]]), 0), 9),)</f>
        <v>24</v>
      </c>
      <c r="AD881" s="5">
        <v>0</v>
      </c>
      <c r="AE881" s="5">
        <v>2.8599999999999901</v>
      </c>
      <c r="AF881" s="5">
        <v>0</v>
      </c>
      <c r="AG881" s="5">
        <v>0</v>
      </c>
      <c r="AH881" s="5">
        <v>5.21</v>
      </c>
      <c r="AI881" s="5">
        <v>0</v>
      </c>
      <c r="AJ881" s="5">
        <v>1.1399999999999899</v>
      </c>
      <c r="AK881" t="s">
        <v>220</v>
      </c>
      <c r="AL881" s="2" t="s">
        <v>221</v>
      </c>
      <c r="AM881" s="2" t="s">
        <v>221</v>
      </c>
      <c r="AN881" s="3">
        <v>8.5</v>
      </c>
      <c r="AO881" s="3">
        <v>5.7</v>
      </c>
      <c r="AP881" s="6">
        <f>((Table1[[#This Row],[Reject Startup (kg)]]+Table1[[#This Row],[Reject Prod (kg)]]+Table1[[#This Row],[Reject Purging (kg)]]+Table1[[#This Row],[Reject Preform (kg)]])/Table1[[#This Row],[Part Weight (gm)]])*1000</f>
        <v>987.23404255319144</v>
      </c>
    </row>
    <row r="882" spans="1:42" x14ac:dyDescent="0.35">
      <c r="A882" s="1">
        <v>45994</v>
      </c>
      <c r="B882">
        <v>1</v>
      </c>
      <c r="C882" t="s">
        <v>5</v>
      </c>
      <c r="D882" t="str" cm="1">
        <f t="array" ref="D882">IFERROR(INDEX(ReferenceCard, MATCH(1, (INDEX(ReferenceCard,,1)=Table1[[#This Row],[SAP No]]) * (INDEX(ReferenceCard,,2)=Table1[[#This Row],[Mould No]]), 0), 6),)</f>
        <v>PET</v>
      </c>
      <c r="E882">
        <v>543590</v>
      </c>
      <c r="F882">
        <v>0</v>
      </c>
      <c r="G882" t="str" cm="1">
        <f t="array" ref="G882">IFERROR(INDEX(ReferenceCard, MATCH(1, (INDEX(ReferenceCard,,1)=Table1[[#This Row],[SAP No]]) * (INDEX(ReferenceCard,,2)=Table1[[#This Row],[Mould No]]), 0), 3),)</f>
        <v>BC28-0130-R-R-AM</v>
      </c>
      <c r="H882">
        <v>0</v>
      </c>
      <c r="I882" cm="1">
        <f t="array" ref="I882">IFERROR(INDEX(ReferenceCard, MATCH(1, (INDEX(ReferenceCard,,1)=Table1[[#This Row],[SAP No]]) * (INDEX(ReferenceCard,,2)=Table1[[#This Row],[Mould No]]), 0), 4),)</f>
        <v>4</v>
      </c>
      <c r="J882" s="4" cm="1">
        <f t="array" ref="J882">IFERROR(INDEX(ReferenceCard, MATCH(1, (INDEX(ReferenceCard,,1)=Table1[[#This Row],[SAP No]]) * (INDEX(ReferenceCard,,2)=Table1[[#This Row],[Mould No]]), 0), 9),)</f>
        <v>19</v>
      </c>
      <c r="K882" s="4" cm="1">
        <f t="array" ref="K882">IFERROR(INDEX(ReferenceCard, MATCH(1, (INDEX(ReferenceCard,,1)=Table1[[#This Row],[SAP No]]) * (INDEX(ReferenceCard,,2)=Table1[[#This Row],[Mould No]]), 0), 7),)</f>
        <v>19</v>
      </c>
      <c r="L882">
        <v>3723</v>
      </c>
      <c r="M882">
        <v>0</v>
      </c>
      <c r="N882">
        <v>0</v>
      </c>
      <c r="O882">
        <v>0</v>
      </c>
      <c r="P882">
        <f>Table1[[#This Row],[Shot]]*Table1[[#This Row],[Cav]]</f>
        <v>14892</v>
      </c>
      <c r="Q882">
        <v>0</v>
      </c>
      <c r="R882">
        <f>(Table1[[#This Row],[Part Weight (gm)]]*Table1[[#This Row],[Finish Good]])/1000</f>
        <v>0</v>
      </c>
      <c r="S882">
        <v>0</v>
      </c>
      <c r="T882">
        <f>IF(Table1[[#This Row],[Qty Order]]="Sample","-",IF(Table1[[#This Row],[Qty Order]]="RTFN","-",Table1[[#This Row],[Qty Order]]-Table1[[#This Row],[Qty Accumulate]]))</f>
        <v>0</v>
      </c>
      <c r="U882">
        <f>((Table1[[#This Row],[Shift Output]]*Table1[[#This Row],[Part Weight (gm)]])/1000)+Table1[[#This Row],[Reject Startup (kg)]]+Table1[[#This Row],[Reject Purging (kg)]]+Table1[[#This Row],[Reject Preform (kg)]]</f>
        <v>282.94799999999998</v>
      </c>
      <c r="V882" s="37">
        <f>(Table1[[#This Row],[Gross Weight (gm)]]-Table1[[#This Row],[Part Weight (gm)]])*Table1[[#This Row],[Shift Output]]/1000</f>
        <v>0</v>
      </c>
      <c r="W882" s="3">
        <v>0</v>
      </c>
      <c r="X882" s="36">
        <f>Table1[[#This Row],[Reject Startup (kg)]]/Table1[[#This Row],[Material Used]]</f>
        <v>0</v>
      </c>
      <c r="Y882" s="3">
        <v>4</v>
      </c>
      <c r="Z882" s="36">
        <f>Table1[[#This Row],[Reject Prod (kg)]]/Table1[[#This Row],[Material Used]]</f>
        <v>1.4136873206384213E-2</v>
      </c>
      <c r="AA882" s="4">
        <v>0</v>
      </c>
      <c r="AB882" s="5">
        <v>0.9</v>
      </c>
      <c r="AC882" s="4" cm="1">
        <f t="array" ref="AC882">IFERROR(INDEX(ReferenceCard, MATCH(1, (INDEX(ReferenceCard,,1)=Table1[[#This Row],[SAP No]]) * (INDEX(ReferenceCard,,2)=Table1[[#This Row],[Mould No]]), 0), 9),)</f>
        <v>19</v>
      </c>
      <c r="AD882" s="5">
        <v>0</v>
      </c>
      <c r="AE882" s="5">
        <v>0</v>
      </c>
      <c r="AF882" s="5">
        <v>0</v>
      </c>
      <c r="AG882" s="5">
        <v>1.23</v>
      </c>
      <c r="AH882" s="5">
        <v>9.8699999999999903</v>
      </c>
      <c r="AI882" s="5">
        <v>0</v>
      </c>
      <c r="AJ882" s="5">
        <v>0</v>
      </c>
      <c r="AL882" s="2"/>
      <c r="AM882" s="2"/>
      <c r="AN882" s="3">
        <v>0</v>
      </c>
      <c r="AO882" s="3">
        <v>0</v>
      </c>
      <c r="AP882" s="6">
        <f>((Table1[[#This Row],[Reject Startup (kg)]]+Table1[[#This Row],[Reject Prod (kg)]]+Table1[[#This Row],[Reject Purging (kg)]]+Table1[[#This Row],[Reject Preform (kg)]])/Table1[[#This Row],[Part Weight (gm)]])*1000</f>
        <v>210.52631578947367</v>
      </c>
    </row>
    <row r="883" spans="1:42" x14ac:dyDescent="0.35">
      <c r="A883" s="1">
        <v>45994</v>
      </c>
      <c r="B883">
        <v>1</v>
      </c>
      <c r="C883" t="s">
        <v>7</v>
      </c>
      <c r="D883" t="str" cm="1">
        <f t="array" ref="D883">IFERROR(INDEX(ReferenceCard, MATCH(1, (INDEX(ReferenceCard,,1)=Table1[[#This Row],[SAP No]]) * (INDEX(ReferenceCard,,2)=Table1[[#This Row],[Mould No]]), 0), 6),)</f>
        <v>PET</v>
      </c>
      <c r="E883">
        <v>426555</v>
      </c>
      <c r="F883">
        <v>0</v>
      </c>
      <c r="G883" t="str" cm="1">
        <f t="array" ref="G883">IFERROR(INDEX(ReferenceCard, MATCH(1, (INDEX(ReferenceCard,,1)=Table1[[#This Row],[SAP No]]) * (INDEX(ReferenceCard,,2)=Table1[[#This Row],[Mould No]]), 0), 3),)</f>
        <v>BX38-0330-Z-S-CL-HW</v>
      </c>
      <c r="H883">
        <v>0</v>
      </c>
      <c r="I883" cm="1">
        <f t="array" ref="I883">IFERROR(INDEX(ReferenceCard, MATCH(1, (INDEX(ReferenceCard,,1)=Table1[[#This Row],[SAP No]]) * (INDEX(ReferenceCard,,2)=Table1[[#This Row],[Mould No]]), 0), 4),)</f>
        <v>4</v>
      </c>
      <c r="J883" s="4" cm="1">
        <f t="array" ref="J883">IFERROR(INDEX(ReferenceCard, MATCH(1, (INDEX(ReferenceCard,,1)=Table1[[#This Row],[SAP No]]) * (INDEX(ReferenceCard,,2)=Table1[[#This Row],[Mould No]]), 0), 9),)</f>
        <v>29</v>
      </c>
      <c r="K883" s="4" cm="1">
        <f t="array" ref="K883">IFERROR(INDEX(ReferenceCard, MATCH(1, (INDEX(ReferenceCard,,1)=Table1[[#This Row],[SAP No]]) * (INDEX(ReferenceCard,,2)=Table1[[#This Row],[Mould No]]), 0), 7),)</f>
        <v>29</v>
      </c>
      <c r="L883">
        <v>1324</v>
      </c>
      <c r="M883">
        <v>0</v>
      </c>
      <c r="N883">
        <v>0</v>
      </c>
      <c r="O883">
        <v>0</v>
      </c>
      <c r="P883">
        <f>Table1[[#This Row],[Shot]]*Table1[[#This Row],[Cav]]</f>
        <v>5296</v>
      </c>
      <c r="Q883">
        <v>0</v>
      </c>
      <c r="R883">
        <f>(Table1[[#This Row],[Part Weight (gm)]]*Table1[[#This Row],[Finish Good]])/1000</f>
        <v>0</v>
      </c>
      <c r="S883">
        <v>0</v>
      </c>
      <c r="T883">
        <f>IF(Table1[[#This Row],[Qty Order]]="Sample","-",IF(Table1[[#This Row],[Qty Order]]="RTFN","-",Table1[[#This Row],[Qty Order]]-Table1[[#This Row],[Qty Accumulate]]))</f>
        <v>0</v>
      </c>
      <c r="U883">
        <f>((Table1[[#This Row],[Shift Output]]*Table1[[#This Row],[Part Weight (gm)]])/1000)+Table1[[#This Row],[Reject Startup (kg)]]+Table1[[#This Row],[Reject Purging (kg)]]+Table1[[#This Row],[Reject Preform (kg)]]</f>
        <v>181.584</v>
      </c>
      <c r="V883" s="37">
        <f>(Table1[[#This Row],[Gross Weight (gm)]]-Table1[[#This Row],[Part Weight (gm)]])*Table1[[#This Row],[Shift Output]]/1000</f>
        <v>0</v>
      </c>
      <c r="W883" s="3">
        <v>8</v>
      </c>
      <c r="X883" s="36">
        <f>Table1[[#This Row],[Reject Startup (kg)]]/Table1[[#This Row],[Material Used]]</f>
        <v>4.4056745087672919E-2</v>
      </c>
      <c r="Y883" s="3">
        <v>2</v>
      </c>
      <c r="Z883" s="36">
        <f>Table1[[#This Row],[Reject Prod (kg)]]/Table1[[#This Row],[Material Used]]</f>
        <v>1.101418627191823E-2</v>
      </c>
      <c r="AA883" s="4">
        <v>0</v>
      </c>
      <c r="AB883" s="5">
        <v>3.3199999999999901</v>
      </c>
      <c r="AC883" s="4" cm="1">
        <f t="array" ref="AC883">IFERROR(INDEX(ReferenceCard, MATCH(1, (INDEX(ReferenceCard,,1)=Table1[[#This Row],[SAP No]]) * (INDEX(ReferenceCard,,2)=Table1[[#This Row],[Mould No]]), 0), 9),)</f>
        <v>29</v>
      </c>
      <c r="AD883" s="5">
        <v>0</v>
      </c>
      <c r="AE883" s="5">
        <v>0</v>
      </c>
      <c r="AF883" s="5">
        <v>0</v>
      </c>
      <c r="AG883" s="5">
        <v>0</v>
      </c>
      <c r="AH883" s="5">
        <v>5.04</v>
      </c>
      <c r="AI883" s="5">
        <v>3.6299999999999901</v>
      </c>
      <c r="AJ883" s="5">
        <v>0</v>
      </c>
      <c r="AL883" s="2"/>
      <c r="AM883" s="2"/>
      <c r="AN883" s="3">
        <v>13</v>
      </c>
      <c r="AO883" s="3">
        <v>7</v>
      </c>
      <c r="AP883" s="6">
        <f>((Table1[[#This Row],[Reject Startup (kg)]]+Table1[[#This Row],[Reject Prod (kg)]]+Table1[[#This Row],[Reject Purging (kg)]]+Table1[[#This Row],[Reject Preform (kg)]])/Table1[[#This Row],[Part Weight (gm)]])*1000</f>
        <v>1034.4827586206898</v>
      </c>
    </row>
    <row r="884" spans="1:42" x14ac:dyDescent="0.35">
      <c r="A884" s="1">
        <v>45994</v>
      </c>
      <c r="B884">
        <v>1</v>
      </c>
      <c r="C884" t="s">
        <v>9</v>
      </c>
      <c r="D884" t="str" cm="1">
        <f t="array" ref="D884">IFERROR(INDEX(ReferenceCard, MATCH(1, (INDEX(ReferenceCard,,1)=Table1[[#This Row],[SAP No]]) * (INDEX(ReferenceCard,,2)=Table1[[#This Row],[Mould No]]), 0), 6),)</f>
        <v>rPET</v>
      </c>
      <c r="E884">
        <v>593537</v>
      </c>
      <c r="F884">
        <v>0</v>
      </c>
      <c r="G884" t="str" cm="1">
        <f t="array" ref="G884">IFERROR(INDEX(ReferenceCard, MATCH(1, (INDEX(ReferenceCard,,1)=Table1[[#This Row],[SAP No]]) * (INDEX(ReferenceCard,,2)=Table1[[#This Row],[Mould No]]), 0), 3),)</f>
        <v>BX38-1000-RN-R-CL-rPET</v>
      </c>
      <c r="H884">
        <v>0</v>
      </c>
      <c r="I884" cm="1">
        <f t="array" ref="I884">IFERROR(INDEX(ReferenceCard, MATCH(1, (INDEX(ReferenceCard,,1)=Table1[[#This Row],[SAP No]]) * (INDEX(ReferenceCard,,2)=Table1[[#This Row],[Mould No]]), 0), 4),)</f>
        <v>4</v>
      </c>
      <c r="J884" s="4" cm="1">
        <f t="array" ref="J884">IFERROR(INDEX(ReferenceCard, MATCH(1, (INDEX(ReferenceCard,,1)=Table1[[#This Row],[SAP No]]) * (INDEX(ReferenceCard,,2)=Table1[[#This Row],[Mould No]]), 0), 9),)</f>
        <v>56.5</v>
      </c>
      <c r="K884" s="4" cm="1">
        <f t="array" ref="K884">IFERROR(INDEX(ReferenceCard, MATCH(1, (INDEX(ReferenceCard,,1)=Table1[[#This Row],[SAP No]]) * (INDEX(ReferenceCard,,2)=Table1[[#This Row],[Mould No]]), 0), 7),)</f>
        <v>56.8</v>
      </c>
      <c r="L884">
        <v>5118</v>
      </c>
      <c r="M884">
        <v>0</v>
      </c>
      <c r="N884">
        <v>0</v>
      </c>
      <c r="O884">
        <v>0</v>
      </c>
      <c r="P884">
        <f>Table1[[#This Row],[Shot]]*Table1[[#This Row],[Cav]]</f>
        <v>20472</v>
      </c>
      <c r="Q884">
        <v>0</v>
      </c>
      <c r="R884">
        <f>(Table1[[#This Row],[Part Weight (gm)]]*Table1[[#This Row],[Finish Good]])/1000</f>
        <v>0</v>
      </c>
      <c r="S884">
        <v>0</v>
      </c>
      <c r="T884">
        <f>IF(Table1[[#This Row],[Qty Order]]="Sample","-",IF(Table1[[#This Row],[Qty Order]]="RTFN","-",Table1[[#This Row],[Qty Order]]-Table1[[#This Row],[Qty Accumulate]]))</f>
        <v>0</v>
      </c>
      <c r="U884">
        <f>((Table1[[#This Row],[Shift Output]]*Table1[[#This Row],[Part Weight (gm)]])/1000)+Table1[[#This Row],[Reject Startup (kg)]]+Table1[[#This Row],[Reject Purging (kg)]]+Table1[[#This Row],[Reject Preform (kg)]]</f>
        <v>1162.8095999999998</v>
      </c>
      <c r="V884" s="37">
        <f>(Table1[[#This Row],[Gross Weight (gm)]]-Table1[[#This Row],[Part Weight (gm)]])*Table1[[#This Row],[Shift Output]]/1000</f>
        <v>-6.1415999999999418</v>
      </c>
      <c r="W884" s="3">
        <v>0</v>
      </c>
      <c r="X884" s="36">
        <f>Table1[[#This Row],[Reject Startup (kg)]]/Table1[[#This Row],[Material Used]]</f>
        <v>0</v>
      </c>
      <c r="Y884" s="3">
        <v>3</v>
      </c>
      <c r="Z884" s="36">
        <f>Table1[[#This Row],[Reject Prod (kg)]]/Table1[[#This Row],[Material Used]]</f>
        <v>2.5799580602017739E-3</v>
      </c>
      <c r="AA884" s="4">
        <v>0</v>
      </c>
      <c r="AB884" s="5">
        <v>10.77</v>
      </c>
      <c r="AC884" s="4" cm="1">
        <f t="array" ref="AC884">IFERROR(INDEX(ReferenceCard, MATCH(1, (INDEX(ReferenceCard,,1)=Table1[[#This Row],[SAP No]]) * (INDEX(ReferenceCard,,2)=Table1[[#This Row],[Mould No]]), 0), 9),)</f>
        <v>56.5</v>
      </c>
      <c r="AD884" s="5">
        <v>0</v>
      </c>
      <c r="AE884" s="5">
        <v>0</v>
      </c>
      <c r="AF884" s="5">
        <v>0</v>
      </c>
      <c r="AG884" s="5">
        <v>0</v>
      </c>
      <c r="AH884" s="5">
        <v>1.23</v>
      </c>
      <c r="AI884" s="5">
        <v>0</v>
      </c>
      <c r="AJ884" s="5">
        <v>0</v>
      </c>
      <c r="AL884" s="2"/>
      <c r="AM884" s="2"/>
      <c r="AN884" s="3">
        <v>0</v>
      </c>
      <c r="AO884" s="3">
        <v>0</v>
      </c>
      <c r="AP884" s="6">
        <f>((Table1[[#This Row],[Reject Startup (kg)]]+Table1[[#This Row],[Reject Prod (kg)]]+Table1[[#This Row],[Reject Purging (kg)]]+Table1[[#This Row],[Reject Preform (kg)]])/Table1[[#This Row],[Part Weight (gm)]])*1000</f>
        <v>52.816901408450711</v>
      </c>
    </row>
    <row r="885" spans="1:42" x14ac:dyDescent="0.35">
      <c r="A885" s="1">
        <v>45994</v>
      </c>
      <c r="B885">
        <v>1</v>
      </c>
      <c r="C885" t="s">
        <v>11</v>
      </c>
      <c r="D885" t="str" cm="1">
        <f t="array" ref="D885">IFERROR(INDEX(ReferenceCard, MATCH(1, (INDEX(ReferenceCard,,1)=Table1[[#This Row],[SAP No]]) * (INDEX(ReferenceCard,,2)=Table1[[#This Row],[Mould No]]), 0), 6),)</f>
        <v>rPET</v>
      </c>
      <c r="E885">
        <v>620994</v>
      </c>
      <c r="F885">
        <v>0</v>
      </c>
      <c r="G885" t="str" cm="1">
        <f t="array" ref="G885">IFERROR(INDEX(ReferenceCard, MATCH(1, (INDEX(ReferenceCard,,1)=Table1[[#This Row],[SAP No]]) * (INDEX(ReferenceCard,,2)=Table1[[#This Row],[Mould No]]), 0), 3),)</f>
        <v>JJ63-0400-SH-S-CL-rPET</v>
      </c>
      <c r="H885">
        <v>0</v>
      </c>
      <c r="I885" cm="1">
        <f t="array" ref="I885">IFERROR(INDEX(ReferenceCard, MATCH(1, (INDEX(ReferenceCard,,1)=Table1[[#This Row],[SAP No]]) * (INDEX(ReferenceCard,,2)=Table1[[#This Row],[Mould No]]), 0), 4),)</f>
        <v>4</v>
      </c>
      <c r="J885" s="4" cm="1">
        <f t="array" ref="J885">IFERROR(INDEX(ReferenceCard, MATCH(1, (INDEX(ReferenceCard,,1)=Table1[[#This Row],[SAP No]]) * (INDEX(ReferenceCard,,2)=Table1[[#This Row],[Mould No]]), 0), 9),)</f>
        <v>32.74</v>
      </c>
      <c r="K885" s="4" cm="1">
        <f t="array" ref="K885">IFERROR(INDEX(ReferenceCard, MATCH(1, (INDEX(ReferenceCard,,1)=Table1[[#This Row],[SAP No]]) * (INDEX(ReferenceCard,,2)=Table1[[#This Row],[Mould No]]), 0), 7),)</f>
        <v>33</v>
      </c>
      <c r="L885">
        <v>5092</v>
      </c>
      <c r="M885">
        <v>0</v>
      </c>
      <c r="N885">
        <v>0</v>
      </c>
      <c r="O885">
        <v>0</v>
      </c>
      <c r="P885">
        <f>Table1[[#This Row],[Shot]]*Table1[[#This Row],[Cav]]</f>
        <v>20368</v>
      </c>
      <c r="Q885">
        <v>0</v>
      </c>
      <c r="R885">
        <f>(Table1[[#This Row],[Part Weight (gm)]]*Table1[[#This Row],[Finish Good]])/1000</f>
        <v>0</v>
      </c>
      <c r="S885">
        <v>0</v>
      </c>
      <c r="T885">
        <f>IF(Table1[[#This Row],[Qty Order]]="Sample","-",IF(Table1[[#This Row],[Qty Order]]="RTFN","-",Table1[[#This Row],[Qty Order]]-Table1[[#This Row],[Qty Accumulate]]))</f>
        <v>0</v>
      </c>
      <c r="U885">
        <f>((Table1[[#This Row],[Shift Output]]*Table1[[#This Row],[Part Weight (gm)]])/1000)+Table1[[#This Row],[Reject Startup (kg)]]+Table1[[#This Row],[Reject Purging (kg)]]+Table1[[#This Row],[Reject Preform (kg)]]</f>
        <v>672.14400000000001</v>
      </c>
      <c r="V885" s="37">
        <f>(Table1[[#This Row],[Gross Weight (gm)]]-Table1[[#This Row],[Part Weight (gm)]])*Table1[[#This Row],[Shift Output]]/1000</f>
        <v>-5.2956799999999591</v>
      </c>
      <c r="W885" s="3">
        <v>0</v>
      </c>
      <c r="X885" s="36">
        <f>Table1[[#This Row],[Reject Startup (kg)]]/Table1[[#This Row],[Material Used]]</f>
        <v>0</v>
      </c>
      <c r="Y885" s="3">
        <v>1</v>
      </c>
      <c r="Z885" s="36">
        <f>Table1[[#This Row],[Reject Prod (kg)]]/Table1[[#This Row],[Material Used]]</f>
        <v>1.4877764288604822E-3</v>
      </c>
      <c r="AA885" s="4">
        <v>0</v>
      </c>
      <c r="AB885" s="5">
        <v>3.81</v>
      </c>
      <c r="AC885" s="4" cm="1">
        <f t="array" ref="AC885">IFERROR(INDEX(ReferenceCard, MATCH(1, (INDEX(ReferenceCard,,1)=Table1[[#This Row],[SAP No]]) * (INDEX(ReferenceCard,,2)=Table1[[#This Row],[Mould No]]), 0), 9),)</f>
        <v>32.74</v>
      </c>
      <c r="AD885" s="5">
        <v>0</v>
      </c>
      <c r="AE885" s="5">
        <v>0</v>
      </c>
      <c r="AF885" s="5">
        <v>0</v>
      </c>
      <c r="AG885" s="5">
        <v>0</v>
      </c>
      <c r="AH885" s="5">
        <v>7.0499999999999901</v>
      </c>
      <c r="AI885" s="5">
        <v>0</v>
      </c>
      <c r="AJ885" s="5">
        <v>1.1399999999999899</v>
      </c>
      <c r="AL885" s="2"/>
      <c r="AM885" s="2"/>
      <c r="AN885" s="3">
        <v>0</v>
      </c>
      <c r="AO885" s="3">
        <v>0</v>
      </c>
      <c r="AP885" s="6">
        <f>((Table1[[#This Row],[Reject Startup (kg)]]+Table1[[#This Row],[Reject Prod (kg)]]+Table1[[#This Row],[Reject Purging (kg)]]+Table1[[#This Row],[Reject Preform (kg)]])/Table1[[#This Row],[Part Weight (gm)]])*1000</f>
        <v>30.303030303030305</v>
      </c>
    </row>
    <row r="886" spans="1:42" x14ac:dyDescent="0.35">
      <c r="A886" s="1">
        <v>45994</v>
      </c>
      <c r="B886">
        <v>1</v>
      </c>
      <c r="C886" t="s">
        <v>14</v>
      </c>
      <c r="D886" t="str" cm="1">
        <f t="array" ref="D886">IFERROR(INDEX(ReferenceCard, MATCH(1, (INDEX(ReferenceCard,,1)=Table1[[#This Row],[SAP No]]) * (INDEX(ReferenceCard,,2)=Table1[[#This Row],[Mould No]]), 0), 6),)</f>
        <v>PET</v>
      </c>
      <c r="E886">
        <v>324165</v>
      </c>
      <c r="F886">
        <v>0</v>
      </c>
      <c r="G886" t="str" cm="1">
        <f t="array" ref="G886">IFERROR(INDEX(ReferenceCard, MATCH(1, (INDEX(ReferenceCard,,1)=Table1[[#This Row],[SAP No]]) * (INDEX(ReferenceCard,,2)=Table1[[#This Row],[Mould No]]), 0), 3),)</f>
        <v>JJ63-0400-SH-S-WH</v>
      </c>
      <c r="H886">
        <v>0</v>
      </c>
      <c r="I886" cm="1">
        <f t="array" ref="I886">IFERROR(INDEX(ReferenceCard, MATCH(1, (INDEX(ReferenceCard,,1)=Table1[[#This Row],[SAP No]]) * (INDEX(ReferenceCard,,2)=Table1[[#This Row],[Mould No]]), 0), 4),)</f>
        <v>4</v>
      </c>
      <c r="J886" s="4" cm="1">
        <f t="array" ref="J886">IFERROR(INDEX(ReferenceCard, MATCH(1, (INDEX(ReferenceCard,,1)=Table1[[#This Row],[SAP No]]) * (INDEX(ReferenceCard,,2)=Table1[[#This Row],[Mould No]]), 0), 9),)</f>
        <v>32.56</v>
      </c>
      <c r="K886" s="4" cm="1">
        <f t="array" ref="K886">IFERROR(INDEX(ReferenceCard, MATCH(1, (INDEX(ReferenceCard,,1)=Table1[[#This Row],[SAP No]]) * (INDEX(ReferenceCard,,2)=Table1[[#This Row],[Mould No]]), 0), 7),)</f>
        <v>33</v>
      </c>
      <c r="L886">
        <v>1318</v>
      </c>
      <c r="M886">
        <v>0</v>
      </c>
      <c r="N886">
        <v>0</v>
      </c>
      <c r="O886">
        <v>0</v>
      </c>
      <c r="P886">
        <f>Table1[[#This Row],[Shot]]*Table1[[#This Row],[Cav]]</f>
        <v>5272</v>
      </c>
      <c r="Q886">
        <v>0</v>
      </c>
      <c r="R886">
        <f>(Table1[[#This Row],[Part Weight (gm)]]*Table1[[#This Row],[Finish Good]])/1000</f>
        <v>0</v>
      </c>
      <c r="S886">
        <v>0</v>
      </c>
      <c r="T886">
        <f>IF(Table1[[#This Row],[Qty Order]]="Sample","-",IF(Table1[[#This Row],[Qty Order]]="RTFN","-",Table1[[#This Row],[Qty Order]]-Table1[[#This Row],[Qty Accumulate]]))</f>
        <v>0</v>
      </c>
      <c r="U886">
        <f>((Table1[[#This Row],[Shift Output]]*Table1[[#This Row],[Part Weight (gm)]])/1000)+Table1[[#This Row],[Reject Startup (kg)]]+Table1[[#This Row],[Reject Purging (kg)]]+Table1[[#This Row],[Reject Preform (kg)]]</f>
        <v>207.976</v>
      </c>
      <c r="V886" s="37">
        <f>(Table1[[#This Row],[Gross Weight (gm)]]-Table1[[#This Row],[Part Weight (gm)]])*Table1[[#This Row],[Shift Output]]/1000</f>
        <v>-2.319679999999988</v>
      </c>
      <c r="W886" s="3">
        <v>20</v>
      </c>
      <c r="X886" s="36">
        <f>Table1[[#This Row],[Reject Startup (kg)]]/Table1[[#This Row],[Material Used]]</f>
        <v>9.6164942108704854E-2</v>
      </c>
      <c r="Y886" s="3">
        <v>0</v>
      </c>
      <c r="Z886" s="36">
        <f>Table1[[#This Row],[Reject Prod (kg)]]/Table1[[#This Row],[Material Used]]</f>
        <v>0</v>
      </c>
      <c r="AA886" s="4">
        <v>0</v>
      </c>
      <c r="AB886" s="5">
        <v>1.6299999999999899</v>
      </c>
      <c r="AC886" s="4" cm="1">
        <f t="array" ref="AC886">IFERROR(INDEX(ReferenceCard, MATCH(1, (INDEX(ReferenceCard,,1)=Table1[[#This Row],[SAP No]]) * (INDEX(ReferenceCard,,2)=Table1[[#This Row],[Mould No]]), 0), 9),)</f>
        <v>32.56</v>
      </c>
      <c r="AD886" s="5">
        <v>0</v>
      </c>
      <c r="AE886" s="5">
        <v>0</v>
      </c>
      <c r="AF886" s="5">
        <v>0.01</v>
      </c>
      <c r="AG886" s="5">
        <v>0</v>
      </c>
      <c r="AH886" s="5">
        <v>10.3599999999999</v>
      </c>
      <c r="AI886" s="5">
        <v>0</v>
      </c>
      <c r="AJ886" s="5">
        <v>0</v>
      </c>
      <c r="AK886" t="s">
        <v>222</v>
      </c>
      <c r="AL886" s="2"/>
      <c r="AM886" s="2"/>
      <c r="AN886" s="3">
        <v>0</v>
      </c>
      <c r="AO886" s="3">
        <v>14</v>
      </c>
      <c r="AP886" s="6">
        <f>((Table1[[#This Row],[Reject Startup (kg)]]+Table1[[#This Row],[Reject Prod (kg)]]+Table1[[#This Row],[Reject Purging (kg)]]+Table1[[#This Row],[Reject Preform (kg)]])/Table1[[#This Row],[Part Weight (gm)]])*1000</f>
        <v>1030.3030303030303</v>
      </c>
    </row>
    <row r="887" spans="1:42" x14ac:dyDescent="0.35">
      <c r="A887" s="1">
        <v>45994</v>
      </c>
      <c r="B887">
        <v>1</v>
      </c>
      <c r="C887" t="s">
        <v>16</v>
      </c>
      <c r="D887" t="str" cm="1">
        <f t="array" ref="D887">IFERROR(INDEX(ReferenceCard, MATCH(1, (INDEX(ReferenceCard,,1)=Table1[[#This Row],[SAP No]]) * (INDEX(ReferenceCard,,2)=Table1[[#This Row],[Mould No]]), 0), 6),)</f>
        <v>PET</v>
      </c>
      <c r="E887">
        <v>323092</v>
      </c>
      <c r="F887">
        <v>0</v>
      </c>
      <c r="G887" t="str" cm="1">
        <f t="array" ref="G887">IFERROR(INDEX(ReferenceCard, MATCH(1, (INDEX(ReferenceCard,,1)=Table1[[#This Row],[SAP No]]) * (INDEX(ReferenceCard,,2)=Table1[[#This Row],[Mould No]]), 0), 3),)</f>
        <v>BX38-1000-GH-R-CL(GREEN) (ASEM)</v>
      </c>
      <c r="H887">
        <v>0</v>
      </c>
      <c r="I887" cm="1">
        <f t="array" ref="I887">IFERROR(INDEX(ReferenceCard, MATCH(1, (INDEX(ReferenceCard,,1)=Table1[[#This Row],[SAP No]]) * (INDEX(ReferenceCard,,2)=Table1[[#This Row],[Mould No]]), 0), 4),)</f>
        <v>4</v>
      </c>
      <c r="J887" s="4" cm="1">
        <f t="array" ref="J887">IFERROR(INDEX(ReferenceCard, MATCH(1, (INDEX(ReferenceCard,,1)=Table1[[#This Row],[SAP No]]) * (INDEX(ReferenceCard,,2)=Table1[[#This Row],[Mould No]]), 0), 9),)</f>
        <v>48.9</v>
      </c>
      <c r="K887" s="4" cm="1">
        <f t="array" ref="K887">IFERROR(INDEX(ReferenceCard, MATCH(1, (INDEX(ReferenceCard,,1)=Table1[[#This Row],[SAP No]]) * (INDEX(ReferenceCard,,2)=Table1[[#This Row],[Mould No]]), 0), 7),)</f>
        <v>48.9</v>
      </c>
      <c r="L887">
        <v>5261</v>
      </c>
      <c r="M887">
        <v>0</v>
      </c>
      <c r="N887">
        <v>0</v>
      </c>
      <c r="O887">
        <v>0</v>
      </c>
      <c r="P887">
        <f>Table1[[#This Row],[Shot]]*Table1[[#This Row],[Cav]]</f>
        <v>21044</v>
      </c>
      <c r="Q887">
        <v>0</v>
      </c>
      <c r="R887">
        <f>(Table1[[#This Row],[Part Weight (gm)]]*Table1[[#This Row],[Finish Good]])/1000</f>
        <v>0</v>
      </c>
      <c r="S887">
        <v>0</v>
      </c>
      <c r="T887">
        <f>IF(Table1[[#This Row],[Qty Order]]="Sample","-",IF(Table1[[#This Row],[Qty Order]]="RTFN","-",Table1[[#This Row],[Qty Order]]-Table1[[#This Row],[Qty Accumulate]]))</f>
        <v>0</v>
      </c>
      <c r="U887">
        <f>((Table1[[#This Row],[Shift Output]]*Table1[[#This Row],[Part Weight (gm)]])/1000)+Table1[[#This Row],[Reject Startup (kg)]]+Table1[[#This Row],[Reject Purging (kg)]]+Table1[[#This Row],[Reject Preform (kg)]]</f>
        <v>1049.0516</v>
      </c>
      <c r="V887" s="37">
        <f>(Table1[[#This Row],[Gross Weight (gm)]]-Table1[[#This Row],[Part Weight (gm)]])*Table1[[#This Row],[Shift Output]]/1000</f>
        <v>0</v>
      </c>
      <c r="W887" s="3">
        <v>0</v>
      </c>
      <c r="X887" s="36">
        <f>Table1[[#This Row],[Reject Startup (kg)]]/Table1[[#This Row],[Material Used]]</f>
        <v>0</v>
      </c>
      <c r="Y887" s="3">
        <v>3</v>
      </c>
      <c r="Z887" s="36">
        <f>Table1[[#This Row],[Reject Prod (kg)]]/Table1[[#This Row],[Material Used]]</f>
        <v>2.8597258704910226E-3</v>
      </c>
      <c r="AA887" s="4">
        <v>0</v>
      </c>
      <c r="AB887" s="5">
        <v>5.69</v>
      </c>
      <c r="AC887" s="4" cm="1">
        <f t="array" ref="AC887">IFERROR(INDEX(ReferenceCard, MATCH(1, (INDEX(ReferenceCard,,1)=Table1[[#This Row],[SAP No]]) * (INDEX(ReferenceCard,,2)=Table1[[#This Row],[Mould No]]), 0), 9),)</f>
        <v>48.9</v>
      </c>
      <c r="AD887" s="5">
        <v>0</v>
      </c>
      <c r="AE887" s="5">
        <v>0</v>
      </c>
      <c r="AF887" s="5">
        <v>0</v>
      </c>
      <c r="AG887" s="5">
        <v>0</v>
      </c>
      <c r="AH887" s="5">
        <v>6.3099999999999898</v>
      </c>
      <c r="AI887" s="5">
        <v>0</v>
      </c>
      <c r="AJ887" s="5">
        <v>0</v>
      </c>
      <c r="AL887" s="2"/>
      <c r="AM887" s="2"/>
      <c r="AN887" s="3">
        <v>0</v>
      </c>
      <c r="AO887" s="3">
        <v>20</v>
      </c>
      <c r="AP887" s="6">
        <f>((Table1[[#This Row],[Reject Startup (kg)]]+Table1[[#This Row],[Reject Prod (kg)]]+Table1[[#This Row],[Reject Purging (kg)]]+Table1[[#This Row],[Reject Preform (kg)]])/Table1[[#This Row],[Part Weight (gm)]])*1000</f>
        <v>470.34764826175865</v>
      </c>
    </row>
    <row r="888" spans="1:42" x14ac:dyDescent="0.35">
      <c r="A888" s="1">
        <v>45994</v>
      </c>
      <c r="B888">
        <v>1</v>
      </c>
      <c r="C888" t="s">
        <v>23</v>
      </c>
      <c r="D888" t="str" cm="1">
        <f t="array" ref="D888">IFERROR(INDEX(ReferenceCard, MATCH(1, (INDEX(ReferenceCard,,1)=Table1[[#This Row],[SAP No]]) * (INDEX(ReferenceCard,,2)=Table1[[#This Row],[Mould No]]), 0), 6),)</f>
        <v>PPSB520Y</v>
      </c>
      <c r="E888">
        <v>586276</v>
      </c>
      <c r="F888">
        <v>2</v>
      </c>
      <c r="G888" t="str" cm="1">
        <f t="array" ref="G888">IFERROR(INDEX(ReferenceCard, MATCH(1, (INDEX(ReferenceCard,,1)=Table1[[#This Row],[SAP No]]) * (INDEX(ReferenceCard,,2)=Table1[[#This Row],[Mould No]]), 0), 3),)</f>
        <v>BC28-0056-D-APH-LEB-604001-MOLD2</v>
      </c>
      <c r="H888">
        <v>0</v>
      </c>
      <c r="I888" cm="1">
        <f t="array" ref="I888">IFERROR(INDEX(ReferenceCard, MATCH(1, (INDEX(ReferenceCard,,1)=Table1[[#This Row],[SAP No]]) * (INDEX(ReferenceCard,,2)=Table1[[#This Row],[Mould No]]), 0), 4),)</f>
        <v>6</v>
      </c>
      <c r="J888" s="4" cm="1">
        <f t="array" ref="J888">IFERROR(INDEX(ReferenceCard, MATCH(1, (INDEX(ReferenceCard,,1)=Table1[[#This Row],[SAP No]]) * (INDEX(ReferenceCard,,2)=Table1[[#This Row],[Mould No]]), 0), 9),)</f>
        <v>12.3</v>
      </c>
      <c r="K888" s="4" cm="1">
        <f t="array" ref="K888">IFERROR(INDEX(ReferenceCard, MATCH(1, (INDEX(ReferenceCard,,1)=Table1[[#This Row],[SAP No]]) * (INDEX(ReferenceCard,,2)=Table1[[#This Row],[Mould No]]), 0), 7),)</f>
        <v>12.3</v>
      </c>
      <c r="L888">
        <v>0</v>
      </c>
      <c r="M888">
        <v>0</v>
      </c>
      <c r="N888">
        <v>0</v>
      </c>
      <c r="O888">
        <v>0</v>
      </c>
      <c r="P888">
        <f>Table1[[#This Row],[Shot]]*Table1[[#This Row],[Cav]]</f>
        <v>0</v>
      </c>
      <c r="Q888">
        <v>0</v>
      </c>
      <c r="R888">
        <f>(Table1[[#This Row],[Part Weight (gm)]]*Table1[[#This Row],[Finish Good]])/1000</f>
        <v>0</v>
      </c>
      <c r="S888">
        <v>0</v>
      </c>
      <c r="T888">
        <f>IF(Table1[[#This Row],[Qty Order]]="Sample","-",IF(Table1[[#This Row],[Qty Order]]="RTFN","-",Table1[[#This Row],[Qty Order]]-Table1[[#This Row],[Qty Accumulate]]))</f>
        <v>0</v>
      </c>
      <c r="U888">
        <f>((Table1[[#This Row],[Shift Output]]*Table1[[#This Row],[Part Weight (gm)]])/1000)+Table1[[#This Row],[Reject Startup (kg)]]+Table1[[#This Row],[Reject Purging (kg)]]+Table1[[#This Row],[Reject Preform (kg)]]</f>
        <v>0</v>
      </c>
      <c r="V888" s="37">
        <f>(Table1[[#This Row],[Gross Weight (gm)]]-Table1[[#This Row],[Part Weight (gm)]])*Table1[[#This Row],[Shift Output]]/1000</f>
        <v>0</v>
      </c>
      <c r="W888" s="3">
        <v>0</v>
      </c>
      <c r="X888" s="36" t="e">
        <f>Table1[[#This Row],[Reject Startup (kg)]]/Table1[[#This Row],[Material Used]]</f>
        <v>#DIV/0!</v>
      </c>
      <c r="Y888" s="3">
        <v>0</v>
      </c>
      <c r="Z888" s="36" t="e">
        <f>Table1[[#This Row],[Reject Prod (kg)]]/Table1[[#This Row],[Material Used]]</f>
        <v>#DIV/0!</v>
      </c>
      <c r="AA888" s="4">
        <v>0</v>
      </c>
      <c r="AB888" s="5">
        <v>0</v>
      </c>
      <c r="AC888" s="4" cm="1">
        <f t="array" ref="AC888">IFERROR(INDEX(ReferenceCard, MATCH(1, (INDEX(ReferenceCard,,1)=Table1[[#This Row],[SAP No]]) * (INDEX(ReferenceCard,,2)=Table1[[#This Row],[Mould No]]), 0), 9),)</f>
        <v>12.3</v>
      </c>
      <c r="AD888" s="5">
        <v>0</v>
      </c>
      <c r="AE888" s="5">
        <v>0</v>
      </c>
      <c r="AF888" s="5">
        <v>0</v>
      </c>
      <c r="AG888" s="5">
        <v>12</v>
      </c>
      <c r="AH888" s="5">
        <v>0</v>
      </c>
      <c r="AI888" s="5">
        <v>0</v>
      </c>
      <c r="AJ888" s="5">
        <v>0</v>
      </c>
      <c r="AL888" s="2"/>
      <c r="AM888" s="2"/>
      <c r="AN888" s="3">
        <v>0</v>
      </c>
      <c r="AO888" s="3">
        <v>0</v>
      </c>
      <c r="AP88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89" spans="1:42" x14ac:dyDescent="0.35">
      <c r="A889" s="1">
        <v>45994</v>
      </c>
      <c r="B889">
        <v>1</v>
      </c>
      <c r="C889" t="s">
        <v>25</v>
      </c>
      <c r="D889" t="str" cm="1">
        <f t="array" ref="D889">IFERROR(INDEX(ReferenceCard, MATCH(1, (INDEX(ReferenceCard,,1)=Table1[[#This Row],[SAP No]]) * (INDEX(ReferenceCard,,2)=Table1[[#This Row],[Mould No]]), 0), 6),)</f>
        <v>PET</v>
      </c>
      <c r="E889">
        <v>323133</v>
      </c>
      <c r="F889">
        <v>0</v>
      </c>
      <c r="G889" t="str" cm="1">
        <f t="array" ref="G889">IFERROR(INDEX(ReferenceCard, MATCH(1, (INDEX(ReferenceCard,,1)=Table1[[#This Row],[SAP No]]) * (INDEX(ReferenceCard,,2)=Table1[[#This Row],[Mould No]]), 0), 3),)</f>
        <v>BX38-2000-RH-R-CL(GREEN) (ASEM)</v>
      </c>
      <c r="H889">
        <v>0</v>
      </c>
      <c r="I889" cm="1">
        <f t="array" ref="I889">IFERROR(INDEX(ReferenceCard, MATCH(1, (INDEX(ReferenceCard,,1)=Table1[[#This Row],[SAP No]]) * (INDEX(ReferenceCard,,2)=Table1[[#This Row],[Mould No]]), 0), 4),)</f>
        <v>4</v>
      </c>
      <c r="J889" s="4" cm="1">
        <f t="array" ref="J889">IFERROR(INDEX(ReferenceCard, MATCH(1, (INDEX(ReferenceCard,,1)=Table1[[#This Row],[SAP No]]) * (INDEX(ReferenceCard,,2)=Table1[[#This Row],[Mould No]]), 0), 9),)</f>
        <v>77</v>
      </c>
      <c r="K889" s="4" cm="1">
        <f t="array" ref="K889">IFERROR(INDEX(ReferenceCard, MATCH(1, (INDEX(ReferenceCard,,1)=Table1[[#This Row],[SAP No]]) * (INDEX(ReferenceCard,,2)=Table1[[#This Row],[Mould No]]), 0), 7),)</f>
        <v>77</v>
      </c>
      <c r="L889">
        <v>1121</v>
      </c>
      <c r="M889">
        <v>0</v>
      </c>
      <c r="N889">
        <v>0</v>
      </c>
      <c r="O889">
        <v>0</v>
      </c>
      <c r="P889">
        <f>Table1[[#This Row],[Shot]]*Table1[[#This Row],[Cav]]</f>
        <v>4484</v>
      </c>
      <c r="Q889">
        <v>0</v>
      </c>
      <c r="R889">
        <f>(Table1[[#This Row],[Part Weight (gm)]]*Table1[[#This Row],[Finish Good]])/1000</f>
        <v>0</v>
      </c>
      <c r="S889">
        <v>0</v>
      </c>
      <c r="T889">
        <f>IF(Table1[[#This Row],[Qty Order]]="Sample","-",IF(Table1[[#This Row],[Qty Order]]="RTFN","-",Table1[[#This Row],[Qty Order]]-Table1[[#This Row],[Qty Accumulate]]))</f>
        <v>0</v>
      </c>
      <c r="U889">
        <f>((Table1[[#This Row],[Shift Output]]*Table1[[#This Row],[Part Weight (gm)]])/1000)+Table1[[#This Row],[Reject Startup (kg)]]+Table1[[#This Row],[Reject Purging (kg)]]+Table1[[#This Row],[Reject Preform (kg)]]</f>
        <v>359.26799999999997</v>
      </c>
      <c r="V889" s="37">
        <f>(Table1[[#This Row],[Gross Weight (gm)]]-Table1[[#This Row],[Part Weight (gm)]])*Table1[[#This Row],[Shift Output]]/1000</f>
        <v>0</v>
      </c>
      <c r="W889" s="3">
        <v>14</v>
      </c>
      <c r="X889" s="36">
        <f>Table1[[#This Row],[Reject Startup (kg)]]/Table1[[#This Row],[Material Used]]</f>
        <v>3.8968124074507053E-2</v>
      </c>
      <c r="Y889" s="3">
        <v>0</v>
      </c>
      <c r="Z889" s="36">
        <f>Table1[[#This Row],[Reject Prod (kg)]]/Table1[[#This Row],[Material Used]]</f>
        <v>0</v>
      </c>
      <c r="AA889" s="4">
        <v>0</v>
      </c>
      <c r="AB889" s="5">
        <v>0.98999999999999899</v>
      </c>
      <c r="AC889" s="4" cm="1">
        <f t="array" ref="AC889">IFERROR(INDEX(ReferenceCard, MATCH(1, (INDEX(ReferenceCard,,1)=Table1[[#This Row],[SAP No]]) * (INDEX(ReferenceCard,,2)=Table1[[#This Row],[Mould No]]), 0), 9),)</f>
        <v>77</v>
      </c>
      <c r="AD889" s="5">
        <v>0</v>
      </c>
      <c r="AE889" s="5">
        <v>0</v>
      </c>
      <c r="AF889" s="5">
        <v>0</v>
      </c>
      <c r="AG889" s="5">
        <v>0</v>
      </c>
      <c r="AH889" s="5">
        <v>11.01</v>
      </c>
      <c r="AI889" s="5">
        <v>0</v>
      </c>
      <c r="AJ889" s="5">
        <v>0</v>
      </c>
      <c r="AK889" t="s">
        <v>223</v>
      </c>
      <c r="AL889" s="2"/>
      <c r="AM889" s="2"/>
      <c r="AN889" s="3">
        <v>0</v>
      </c>
      <c r="AO889" s="3">
        <v>0</v>
      </c>
      <c r="AP889" s="6">
        <f>((Table1[[#This Row],[Reject Startup (kg)]]+Table1[[#This Row],[Reject Prod (kg)]]+Table1[[#This Row],[Reject Purging (kg)]]+Table1[[#This Row],[Reject Preform (kg)]])/Table1[[#This Row],[Part Weight (gm)]])*1000</f>
        <v>181.81818181818181</v>
      </c>
    </row>
    <row r="890" spans="1:42" x14ac:dyDescent="0.35">
      <c r="A890" s="1">
        <v>45994</v>
      </c>
      <c r="B890">
        <v>1</v>
      </c>
      <c r="C890" t="s">
        <v>27</v>
      </c>
      <c r="D890" t="str" cm="1">
        <f t="array" ref="D890">IFERROR(INDEX(ReferenceCard, MATCH(1, (INDEX(ReferenceCard,,1)=Table1[[#This Row],[SAP No]]) * (INDEX(ReferenceCard,,2)=Table1[[#This Row],[Mould No]]), 0), 6),)</f>
        <v>PPSB520Y</v>
      </c>
      <c r="E890">
        <v>552181</v>
      </c>
      <c r="F890">
        <v>4</v>
      </c>
      <c r="G890" t="str" cm="1">
        <f t="array" ref="G890">IFERROR(INDEX(ReferenceCard, MATCH(1, (INDEX(ReferenceCard,,1)=Table1[[#This Row],[SAP No]]) * (INDEX(ReferenceCard,,2)=Table1[[#This Row],[Mould No]]), 0), 3),)</f>
        <v>BC28-0090-D-APH-5180-3538-PP-6 NOTCHES-MOLD4</v>
      </c>
      <c r="H890">
        <v>0</v>
      </c>
      <c r="I890" cm="1">
        <f t="array" ref="I890">IFERROR(INDEX(ReferenceCard, MATCH(1, (INDEX(ReferenceCard,,1)=Table1[[#This Row],[SAP No]]) * (INDEX(ReferenceCard,,2)=Table1[[#This Row],[Mould No]]), 0), 4),)</f>
        <v>6</v>
      </c>
      <c r="J890" s="4" cm="1">
        <f t="array" ref="J890">IFERROR(INDEX(ReferenceCard, MATCH(1, (INDEX(ReferenceCard,,1)=Table1[[#This Row],[SAP No]]) * (INDEX(ReferenceCard,,2)=Table1[[#This Row],[Mould No]]), 0), 9),)</f>
        <v>18.8</v>
      </c>
      <c r="K890" s="4" cm="1">
        <f t="array" ref="K890">IFERROR(INDEX(ReferenceCard, MATCH(1, (INDEX(ReferenceCard,,1)=Table1[[#This Row],[SAP No]]) * (INDEX(ReferenceCard,,2)=Table1[[#This Row],[Mould No]]), 0), 7),)</f>
        <v>18.8</v>
      </c>
      <c r="L890">
        <v>1223</v>
      </c>
      <c r="M890">
        <v>0</v>
      </c>
      <c r="N890">
        <v>0</v>
      </c>
      <c r="O890">
        <v>0</v>
      </c>
      <c r="P890">
        <f>Table1[[#This Row],[Shot]]*Table1[[#This Row],[Cav]]</f>
        <v>7338</v>
      </c>
      <c r="Q890">
        <v>0</v>
      </c>
      <c r="R890">
        <f>(Table1[[#This Row],[Part Weight (gm)]]*Table1[[#This Row],[Finish Good]])/1000</f>
        <v>0</v>
      </c>
      <c r="S890">
        <v>0</v>
      </c>
      <c r="T890">
        <f>IF(Table1[[#This Row],[Qty Order]]="Sample","-",IF(Table1[[#This Row],[Qty Order]]="RTFN","-",Table1[[#This Row],[Qty Order]]-Table1[[#This Row],[Qty Accumulate]]))</f>
        <v>0</v>
      </c>
      <c r="U890">
        <f>((Table1[[#This Row],[Shift Output]]*Table1[[#This Row],[Part Weight (gm)]])/1000)+Table1[[#This Row],[Reject Startup (kg)]]+Table1[[#This Row],[Reject Purging (kg)]]+Table1[[#This Row],[Reject Preform (kg)]]</f>
        <v>155.95439999999999</v>
      </c>
      <c r="V890" s="37">
        <f>(Table1[[#This Row],[Gross Weight (gm)]]-Table1[[#This Row],[Part Weight (gm)]])*Table1[[#This Row],[Shift Output]]/1000</f>
        <v>0</v>
      </c>
      <c r="W890" s="3">
        <v>18</v>
      </c>
      <c r="X890" s="36">
        <f>Table1[[#This Row],[Reject Startup (kg)]]/Table1[[#This Row],[Material Used]]</f>
        <v>0.11541835305704745</v>
      </c>
      <c r="Y890" s="3">
        <v>0</v>
      </c>
      <c r="Z890" s="36">
        <f>Table1[[#This Row],[Reject Prod (kg)]]/Table1[[#This Row],[Material Used]]</f>
        <v>0</v>
      </c>
      <c r="AA890" s="4">
        <v>0</v>
      </c>
      <c r="AB890" s="5">
        <v>1.25</v>
      </c>
      <c r="AC890" s="4" cm="1">
        <f t="array" ref="AC890">IFERROR(INDEX(ReferenceCard, MATCH(1, (INDEX(ReferenceCard,,1)=Table1[[#This Row],[SAP No]]) * (INDEX(ReferenceCard,,2)=Table1[[#This Row],[Mould No]]), 0), 9),)</f>
        <v>18.8</v>
      </c>
      <c r="AD890" s="5">
        <v>0</v>
      </c>
      <c r="AE890" s="5">
        <v>0</v>
      </c>
      <c r="AF890" s="5">
        <v>0</v>
      </c>
      <c r="AG890" s="5">
        <v>0</v>
      </c>
      <c r="AH890" s="5">
        <v>10.75</v>
      </c>
      <c r="AI890" s="5">
        <v>0</v>
      </c>
      <c r="AJ890" s="5">
        <v>0</v>
      </c>
      <c r="AL890" s="2"/>
      <c r="AM890" s="2"/>
      <c r="AN890" s="3">
        <v>0</v>
      </c>
      <c r="AO890" s="3">
        <v>0</v>
      </c>
      <c r="AP890" s="6">
        <f>((Table1[[#This Row],[Reject Startup (kg)]]+Table1[[#This Row],[Reject Prod (kg)]]+Table1[[#This Row],[Reject Purging (kg)]]+Table1[[#This Row],[Reject Preform (kg)]])/Table1[[#This Row],[Part Weight (gm)]])*1000</f>
        <v>957.44680851063822</v>
      </c>
    </row>
    <row r="891" spans="1:42" x14ac:dyDescent="0.35">
      <c r="A891" s="1">
        <v>45994</v>
      </c>
      <c r="B891">
        <v>1</v>
      </c>
      <c r="C891" t="s">
        <v>29</v>
      </c>
      <c r="D891" t="str" cm="1">
        <f t="array" ref="D891">IFERROR(INDEX(ReferenceCard, MATCH(1, (INDEX(ReferenceCard,,1)=Table1[[#This Row],[SAP No]]) * (INDEX(ReferenceCard,,2)=Table1[[#This Row],[Mould No]]), 0), 6),)</f>
        <v>PET</v>
      </c>
      <c r="E891">
        <v>620599</v>
      </c>
      <c r="F891">
        <v>0</v>
      </c>
      <c r="G891" t="str" cm="1">
        <f t="array" ref="G891">IFERROR(INDEX(ReferenceCard, MATCH(1, (INDEX(ReferenceCard,,1)=Table1[[#This Row],[SAP No]]) * (INDEX(ReferenceCard,,2)=Table1[[#This Row],[Mould No]]), 0), 3),)</f>
        <v>BC28-0750-K4-R-CL (55g)</v>
      </c>
      <c r="H891">
        <v>0</v>
      </c>
      <c r="I891" cm="1">
        <f t="array" ref="I891">IFERROR(INDEX(ReferenceCard, MATCH(1, (INDEX(ReferenceCard,,1)=Table1[[#This Row],[SAP No]]) * (INDEX(ReferenceCard,,2)=Table1[[#This Row],[Mould No]]), 0), 4),)</f>
        <v>4</v>
      </c>
      <c r="J891" s="4" cm="1">
        <f t="array" ref="J891">IFERROR(INDEX(ReferenceCard, MATCH(1, (INDEX(ReferenceCard,,1)=Table1[[#This Row],[SAP No]]) * (INDEX(ReferenceCard,,2)=Table1[[#This Row],[Mould No]]), 0), 9),)</f>
        <v>55</v>
      </c>
      <c r="K891" s="4" cm="1">
        <f t="array" ref="K891">IFERROR(INDEX(ReferenceCard, MATCH(1, (INDEX(ReferenceCard,,1)=Table1[[#This Row],[SAP No]]) * (INDEX(ReferenceCard,,2)=Table1[[#This Row],[Mould No]]), 0), 7),)</f>
        <v>55</v>
      </c>
      <c r="L891">
        <v>5251</v>
      </c>
      <c r="M891">
        <v>0</v>
      </c>
      <c r="N891">
        <v>0</v>
      </c>
      <c r="O891">
        <v>0</v>
      </c>
      <c r="P891">
        <f>Table1[[#This Row],[Shot]]*Table1[[#This Row],[Cav]]</f>
        <v>21004</v>
      </c>
      <c r="Q891">
        <v>0</v>
      </c>
      <c r="R891">
        <f>(Table1[[#This Row],[Part Weight (gm)]]*Table1[[#This Row],[Finish Good]])/1000</f>
        <v>0</v>
      </c>
      <c r="S891">
        <v>0</v>
      </c>
      <c r="T891">
        <f>IF(Table1[[#This Row],[Qty Order]]="Sample","-",IF(Table1[[#This Row],[Qty Order]]="RTFN","-",Table1[[#This Row],[Qty Order]]-Table1[[#This Row],[Qty Accumulate]]))</f>
        <v>0</v>
      </c>
      <c r="U891">
        <f>((Table1[[#This Row],[Shift Output]]*Table1[[#This Row],[Part Weight (gm)]])/1000)+Table1[[#This Row],[Reject Startup (kg)]]+Table1[[#This Row],[Reject Purging (kg)]]+Table1[[#This Row],[Reject Preform (kg)]]</f>
        <v>1155.22</v>
      </c>
      <c r="V891" s="37">
        <f>(Table1[[#This Row],[Gross Weight (gm)]]-Table1[[#This Row],[Part Weight (gm)]])*Table1[[#This Row],[Shift Output]]/1000</f>
        <v>0</v>
      </c>
      <c r="W891" s="3">
        <v>0</v>
      </c>
      <c r="X891" s="36">
        <f>Table1[[#This Row],[Reject Startup (kg)]]/Table1[[#This Row],[Material Used]]</f>
        <v>0</v>
      </c>
      <c r="Y891" s="3">
        <v>5</v>
      </c>
      <c r="Z891" s="36">
        <f>Table1[[#This Row],[Reject Prod (kg)]]/Table1[[#This Row],[Material Used]]</f>
        <v>4.328179913782656E-3</v>
      </c>
      <c r="AA891" s="4">
        <v>0</v>
      </c>
      <c r="AB891" s="5">
        <v>10.8599999999999</v>
      </c>
      <c r="AC891" s="4" cm="1">
        <f t="array" ref="AC891">IFERROR(INDEX(ReferenceCard, MATCH(1, (INDEX(ReferenceCard,,1)=Table1[[#This Row],[SAP No]]) * (INDEX(ReferenceCard,,2)=Table1[[#This Row],[Mould No]]), 0), 9),)</f>
        <v>55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1.1399999999999899</v>
      </c>
      <c r="AL891" s="2"/>
      <c r="AM891" s="2"/>
      <c r="AN891" s="3">
        <v>0</v>
      </c>
      <c r="AO891" s="3">
        <v>0</v>
      </c>
      <c r="AP891" s="6">
        <f>((Table1[[#This Row],[Reject Startup (kg)]]+Table1[[#This Row],[Reject Prod (kg)]]+Table1[[#This Row],[Reject Purging (kg)]]+Table1[[#This Row],[Reject Preform (kg)]])/Table1[[#This Row],[Part Weight (gm)]])*1000</f>
        <v>90.909090909090907</v>
      </c>
    </row>
    <row r="892" spans="1:42" x14ac:dyDescent="0.35">
      <c r="A892" s="1">
        <v>45994</v>
      </c>
      <c r="B892">
        <v>1</v>
      </c>
      <c r="C892" t="s">
        <v>31</v>
      </c>
      <c r="D892" t="str" cm="1">
        <f t="array" ref="D892">IFERROR(INDEX(ReferenceCard, MATCH(1, (INDEX(ReferenceCard,,1)=Table1[[#This Row],[SAP No]]) * (INDEX(ReferenceCard,,2)=Table1[[#This Row],[Mould No]]), 0), 6),)</f>
        <v>PPSB520Y</v>
      </c>
      <c r="E892">
        <v>586276</v>
      </c>
      <c r="F892">
        <v>4</v>
      </c>
      <c r="G892" t="str" cm="1">
        <f t="array" ref="G892">IFERROR(INDEX(ReferenceCard, MATCH(1, (INDEX(ReferenceCard,,1)=Table1[[#This Row],[SAP No]]) * (INDEX(ReferenceCard,,2)=Table1[[#This Row],[Mould No]]), 0), 3),)</f>
        <v>BC28-0056-D-APH-LEB-604001-MOLD4</v>
      </c>
      <c r="H892">
        <v>0</v>
      </c>
      <c r="I892" cm="1">
        <f t="array" ref="I892">IFERROR(INDEX(ReferenceCard, MATCH(1, (INDEX(ReferenceCard,,1)=Table1[[#This Row],[SAP No]]) * (INDEX(ReferenceCard,,2)=Table1[[#This Row],[Mould No]]), 0), 4),)</f>
        <v>6</v>
      </c>
      <c r="J892" s="4" cm="1">
        <f t="array" ref="J892">IFERROR(INDEX(ReferenceCard, MATCH(1, (INDEX(ReferenceCard,,1)=Table1[[#This Row],[SAP No]]) * (INDEX(ReferenceCard,,2)=Table1[[#This Row],[Mould No]]), 0), 9),)</f>
        <v>12.3</v>
      </c>
      <c r="K892" s="4" cm="1">
        <f t="array" ref="K892">IFERROR(INDEX(ReferenceCard, MATCH(1, (INDEX(ReferenceCard,,1)=Table1[[#This Row],[SAP No]]) * (INDEX(ReferenceCard,,2)=Table1[[#This Row],[Mould No]]), 0), 7),)</f>
        <v>12.3</v>
      </c>
      <c r="L892">
        <v>6889</v>
      </c>
      <c r="M892">
        <v>0</v>
      </c>
      <c r="N892">
        <v>0</v>
      </c>
      <c r="O892">
        <v>0</v>
      </c>
      <c r="P892">
        <f>Table1[[#This Row],[Shot]]*Table1[[#This Row],[Cav]]</f>
        <v>41334</v>
      </c>
      <c r="Q892">
        <v>0</v>
      </c>
      <c r="R892">
        <f>(Table1[[#This Row],[Part Weight (gm)]]*Table1[[#This Row],[Finish Good]])/1000</f>
        <v>0</v>
      </c>
      <c r="S892">
        <v>0</v>
      </c>
      <c r="T892">
        <f>IF(Table1[[#This Row],[Qty Order]]="Sample","-",IF(Table1[[#This Row],[Qty Order]]="RTFN","-",Table1[[#This Row],[Qty Order]]-Table1[[#This Row],[Qty Accumulate]]))</f>
        <v>0</v>
      </c>
      <c r="U892">
        <f>((Table1[[#This Row],[Shift Output]]*Table1[[#This Row],[Part Weight (gm)]])/1000)+Table1[[#This Row],[Reject Startup (kg)]]+Table1[[#This Row],[Reject Purging (kg)]]+Table1[[#This Row],[Reject Preform (kg)]]</f>
        <v>508.40820000000002</v>
      </c>
      <c r="V892" s="37">
        <f>(Table1[[#This Row],[Gross Weight (gm)]]-Table1[[#This Row],[Part Weight (gm)]])*Table1[[#This Row],[Shift Output]]/1000</f>
        <v>0</v>
      </c>
      <c r="W892" s="3">
        <v>0</v>
      </c>
      <c r="X892" s="36">
        <f>Table1[[#This Row],[Reject Startup (kg)]]/Table1[[#This Row],[Material Used]]</f>
        <v>0</v>
      </c>
      <c r="Y892" s="3">
        <v>2</v>
      </c>
      <c r="Z892" s="36">
        <f>Table1[[#This Row],[Reject Prod (kg)]]/Table1[[#This Row],[Material Used]]</f>
        <v>3.933846857702138E-3</v>
      </c>
      <c r="AA892" s="4">
        <v>0</v>
      </c>
      <c r="AB892" s="5">
        <v>10.8599999999999</v>
      </c>
      <c r="AC892" s="4" cm="1">
        <f t="array" ref="AC892">IFERROR(INDEX(ReferenceCard, MATCH(1, (INDEX(ReferenceCard,,1)=Table1[[#This Row],[SAP No]]) * (INDEX(ReferenceCard,,2)=Table1[[#This Row],[Mould No]]), 0), 9),)</f>
        <v>12.3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1.1399999999999899</v>
      </c>
      <c r="AL892" s="2"/>
      <c r="AM892" s="2"/>
      <c r="AN892" s="3">
        <v>0</v>
      </c>
      <c r="AO892" s="3">
        <v>0</v>
      </c>
      <c r="AP892" s="6">
        <f>((Table1[[#This Row],[Reject Startup (kg)]]+Table1[[#This Row],[Reject Prod (kg)]]+Table1[[#This Row],[Reject Purging (kg)]]+Table1[[#This Row],[Reject Preform (kg)]])/Table1[[#This Row],[Part Weight (gm)]])*1000</f>
        <v>162.60162601626016</v>
      </c>
    </row>
    <row r="893" spans="1:42" x14ac:dyDescent="0.35">
      <c r="A893" s="1">
        <v>45994</v>
      </c>
      <c r="B893">
        <v>1</v>
      </c>
      <c r="C893" t="s">
        <v>33</v>
      </c>
      <c r="D893" t="str" cm="1">
        <f t="array" ref="D893">IFERROR(INDEX(ReferenceCard, MATCH(1, (INDEX(ReferenceCard,,1)=Table1[[#This Row],[SAP No]]) * (INDEX(ReferenceCard,,2)=Table1[[#This Row],[Mould No]]), 0), 6),)</f>
        <v>PET</v>
      </c>
      <c r="E893">
        <v>541381</v>
      </c>
      <c r="F893">
        <v>0</v>
      </c>
      <c r="G893" t="str" cm="1">
        <f t="array" ref="G893">IFERROR(INDEX(ReferenceCard, MATCH(1, (INDEX(ReferenceCard,,1)=Table1[[#This Row],[SAP No]]) * (INDEX(ReferenceCard,,2)=Table1[[#This Row],[Mould No]]), 0), 3),)</f>
        <v>BC28-1200-K-R-CL</v>
      </c>
      <c r="H893">
        <v>0</v>
      </c>
      <c r="I893" cm="1">
        <f t="array" ref="I893">IFERROR(INDEX(ReferenceCard, MATCH(1, (INDEX(ReferenceCard,,1)=Table1[[#This Row],[SAP No]]) * (INDEX(ReferenceCard,,2)=Table1[[#This Row],[Mould No]]), 0), 4),)</f>
        <v>4</v>
      </c>
      <c r="J893" s="4" cm="1">
        <f t="array" ref="J893">IFERROR(INDEX(ReferenceCard, MATCH(1, (INDEX(ReferenceCard,,1)=Table1[[#This Row],[SAP No]]) * (INDEX(ReferenceCard,,2)=Table1[[#This Row],[Mould No]]), 0), 9),)</f>
        <v>55</v>
      </c>
      <c r="K893" s="4" cm="1">
        <f t="array" ref="K893">IFERROR(INDEX(ReferenceCard, MATCH(1, (INDEX(ReferenceCard,,1)=Table1[[#This Row],[SAP No]]) * (INDEX(ReferenceCard,,2)=Table1[[#This Row],[Mould No]]), 0), 7),)</f>
        <v>55</v>
      </c>
      <c r="L893">
        <v>1533</v>
      </c>
      <c r="M893">
        <v>0</v>
      </c>
      <c r="N893">
        <v>0</v>
      </c>
      <c r="O893">
        <v>0</v>
      </c>
      <c r="P893">
        <f>Table1[[#This Row],[Shot]]*Table1[[#This Row],[Cav]]</f>
        <v>6132</v>
      </c>
      <c r="Q893">
        <v>0</v>
      </c>
      <c r="R893">
        <f>(Table1[[#This Row],[Part Weight (gm)]]*Table1[[#This Row],[Finish Good]])/1000</f>
        <v>0</v>
      </c>
      <c r="S893">
        <v>0</v>
      </c>
      <c r="T893">
        <f>IF(Table1[[#This Row],[Qty Order]]="Sample","-",IF(Table1[[#This Row],[Qty Order]]="RTFN","-",Table1[[#This Row],[Qty Order]]-Table1[[#This Row],[Qty Accumulate]]))</f>
        <v>0</v>
      </c>
      <c r="U893">
        <f>((Table1[[#This Row],[Shift Output]]*Table1[[#This Row],[Part Weight (gm)]])/1000)+Table1[[#This Row],[Reject Startup (kg)]]+Table1[[#This Row],[Reject Purging (kg)]]+Table1[[#This Row],[Reject Preform (kg)]]</f>
        <v>399.26</v>
      </c>
      <c r="V893" s="37">
        <f>(Table1[[#This Row],[Gross Weight (gm)]]-Table1[[#This Row],[Part Weight (gm)]])*Table1[[#This Row],[Shift Output]]/1000</f>
        <v>0</v>
      </c>
      <c r="W893" s="3">
        <v>30</v>
      </c>
      <c r="X893" s="36">
        <f>Table1[[#This Row],[Reject Startup (kg)]]/Table1[[#This Row],[Material Used]]</f>
        <v>7.5139007163252017E-2</v>
      </c>
      <c r="Y893" s="3">
        <v>0</v>
      </c>
      <c r="Z893" s="36">
        <f>Table1[[#This Row],[Reject Prod (kg)]]/Table1[[#This Row],[Material Used]]</f>
        <v>0</v>
      </c>
      <c r="AA893" s="4">
        <v>0</v>
      </c>
      <c r="AB893" s="5">
        <v>1.53</v>
      </c>
      <c r="AC893" s="4" cm="1">
        <f t="array" ref="AC893">IFERROR(INDEX(ReferenceCard, MATCH(1, (INDEX(ReferenceCard,,1)=Table1[[#This Row],[SAP No]]) * (INDEX(ReferenceCard,,2)=Table1[[#This Row],[Mould No]]), 0), 9),)</f>
        <v>55</v>
      </c>
      <c r="AD893" s="5">
        <v>0</v>
      </c>
      <c r="AE893" s="5">
        <v>0</v>
      </c>
      <c r="AF893" s="5">
        <v>0</v>
      </c>
      <c r="AG893" s="5">
        <v>0</v>
      </c>
      <c r="AH893" s="5">
        <v>10.47</v>
      </c>
      <c r="AI893" s="5">
        <v>0</v>
      </c>
      <c r="AJ893" s="5">
        <v>0</v>
      </c>
      <c r="AL893" s="2"/>
      <c r="AM893" s="2"/>
      <c r="AN893" s="3">
        <v>15.5</v>
      </c>
      <c r="AO893" s="3">
        <v>16.5</v>
      </c>
      <c r="AP893" s="6">
        <f>((Table1[[#This Row],[Reject Startup (kg)]]+Table1[[#This Row],[Reject Prod (kg)]]+Table1[[#This Row],[Reject Purging (kg)]]+Table1[[#This Row],[Reject Preform (kg)]])/Table1[[#This Row],[Part Weight (gm)]])*1000</f>
        <v>1127.2727272727273</v>
      </c>
    </row>
    <row r="894" spans="1:42" x14ac:dyDescent="0.35">
      <c r="A894" s="1">
        <v>45994</v>
      </c>
      <c r="B894">
        <v>1</v>
      </c>
      <c r="C894" t="s">
        <v>35</v>
      </c>
      <c r="D894" t="str" cm="1">
        <f t="array" ref="D894">IFERROR(INDEX(ReferenceCard, MATCH(1, (INDEX(ReferenceCard,,1)=Table1[[#This Row],[SAP No]]) * (INDEX(ReferenceCard,,2)=Table1[[#This Row],[Mould No]]), 0), 6),)</f>
        <v>PPSB520Y</v>
      </c>
      <c r="E894">
        <v>552181</v>
      </c>
      <c r="F894">
        <v>1</v>
      </c>
      <c r="G894" t="str" cm="1">
        <f t="array" ref="G894">IFERROR(INDEX(ReferenceCard, MATCH(1, (INDEX(ReferenceCard,,1)=Table1[[#This Row],[SAP No]]) * (INDEX(ReferenceCard,,2)=Table1[[#This Row],[Mould No]]), 0), 3),)</f>
        <v>BC28-0090-D-APH-5180-3538-PP-6 NOTCHES-MOLD1</v>
      </c>
      <c r="H894">
        <v>0</v>
      </c>
      <c r="I894" cm="1">
        <f t="array" ref="I894">IFERROR(INDEX(ReferenceCard, MATCH(1, (INDEX(ReferenceCard,,1)=Table1[[#This Row],[SAP No]]) * (INDEX(ReferenceCard,,2)=Table1[[#This Row],[Mould No]]), 0), 4),)</f>
        <v>6</v>
      </c>
      <c r="J894" s="4" cm="1">
        <f t="array" ref="J894">IFERROR(INDEX(ReferenceCard, MATCH(1, (INDEX(ReferenceCard,,1)=Table1[[#This Row],[SAP No]]) * (INDEX(ReferenceCard,,2)=Table1[[#This Row],[Mould No]]), 0), 9),)</f>
        <v>18.8</v>
      </c>
      <c r="K894" s="4" cm="1">
        <f t="array" ref="K894">IFERROR(INDEX(ReferenceCard, MATCH(1, (INDEX(ReferenceCard,,1)=Table1[[#This Row],[SAP No]]) * (INDEX(ReferenceCard,,2)=Table1[[#This Row],[Mould No]]), 0), 7),)</f>
        <v>18.8</v>
      </c>
      <c r="L894">
        <v>7453</v>
      </c>
      <c r="M894">
        <v>0</v>
      </c>
      <c r="N894">
        <v>0</v>
      </c>
      <c r="O894">
        <v>0</v>
      </c>
      <c r="P894">
        <f>Table1[[#This Row],[Shot]]*Table1[[#This Row],[Cav]]</f>
        <v>44718</v>
      </c>
      <c r="Q894">
        <v>0</v>
      </c>
      <c r="R894">
        <f>(Table1[[#This Row],[Part Weight (gm)]]*Table1[[#This Row],[Finish Good]])/1000</f>
        <v>0</v>
      </c>
      <c r="S894">
        <v>0</v>
      </c>
      <c r="T894">
        <f>IF(Table1[[#This Row],[Qty Order]]="Sample","-",IF(Table1[[#This Row],[Qty Order]]="RTFN","-",Table1[[#This Row],[Qty Order]]-Table1[[#This Row],[Qty Accumulate]]))</f>
        <v>0</v>
      </c>
      <c r="U894">
        <f>((Table1[[#This Row],[Shift Output]]*Table1[[#This Row],[Part Weight (gm)]])/1000)+Table1[[#This Row],[Reject Startup (kg)]]+Table1[[#This Row],[Reject Purging (kg)]]+Table1[[#This Row],[Reject Preform (kg)]]</f>
        <v>840.69839999999999</v>
      </c>
      <c r="V894" s="37">
        <f>(Table1[[#This Row],[Gross Weight (gm)]]-Table1[[#This Row],[Part Weight (gm)]])*Table1[[#This Row],[Shift Output]]/1000</f>
        <v>0</v>
      </c>
      <c r="W894" s="3">
        <v>0</v>
      </c>
      <c r="X894" s="36">
        <f>Table1[[#This Row],[Reject Startup (kg)]]/Table1[[#This Row],[Material Used]]</f>
        <v>0</v>
      </c>
      <c r="Y894" s="3">
        <v>4</v>
      </c>
      <c r="Z894" s="36">
        <f>Table1[[#This Row],[Reject Prod (kg)]]/Table1[[#This Row],[Material Used]]</f>
        <v>4.7579488672751134E-3</v>
      </c>
      <c r="AA894" s="4">
        <v>0</v>
      </c>
      <c r="AB894" s="5">
        <v>9.9399999999999906</v>
      </c>
      <c r="AC894" s="4" cm="1">
        <f t="array" ref="AC894">IFERROR(INDEX(ReferenceCard, MATCH(1, (INDEX(ReferenceCard,,1)=Table1[[#This Row],[SAP No]]) * (INDEX(ReferenceCard,,2)=Table1[[#This Row],[Mould No]]), 0), 9),)</f>
        <v>18.8</v>
      </c>
      <c r="AD894" s="5">
        <v>0</v>
      </c>
      <c r="AE894" s="5">
        <v>0</v>
      </c>
      <c r="AF894" s="5">
        <v>0</v>
      </c>
      <c r="AG894" s="5">
        <v>0</v>
      </c>
      <c r="AH894" s="5">
        <v>0.92</v>
      </c>
      <c r="AI894" s="5">
        <v>0</v>
      </c>
      <c r="AJ894" s="5">
        <v>1.1399999999999899</v>
      </c>
      <c r="AL894" s="2"/>
      <c r="AM894" s="2"/>
      <c r="AN894" s="3">
        <v>0</v>
      </c>
      <c r="AO894" s="3">
        <v>0</v>
      </c>
      <c r="AP894" s="6">
        <f>((Table1[[#This Row],[Reject Startup (kg)]]+Table1[[#This Row],[Reject Prod (kg)]]+Table1[[#This Row],[Reject Purging (kg)]]+Table1[[#This Row],[Reject Preform (kg)]])/Table1[[#This Row],[Part Weight (gm)]])*1000</f>
        <v>212.7659574468085</v>
      </c>
    </row>
    <row r="895" spans="1:42" x14ac:dyDescent="0.35">
      <c r="A895" s="1">
        <v>45994</v>
      </c>
      <c r="B895">
        <v>1</v>
      </c>
      <c r="C895" t="s">
        <v>18</v>
      </c>
      <c r="D895" t="str" cm="1">
        <f t="array" ref="D895">IFERROR(INDEX(ReferenceCard, MATCH(1, (INDEX(ReferenceCard,,1)=Table1[[#This Row],[SAP No]]) * (INDEX(ReferenceCard,,2)=Table1[[#This Row],[Mould No]]), 0), 6),)</f>
        <v>PPSB520Y</v>
      </c>
      <c r="E895">
        <v>555979</v>
      </c>
      <c r="F895">
        <v>4</v>
      </c>
      <c r="G895" t="str" cm="1">
        <f t="array" ref="G895">IFERROR(INDEX(ReferenceCard, MATCH(1, (INDEX(ReferenceCard,,1)=Table1[[#This Row],[SAP No]]) * (INDEX(ReferenceCard,,2)=Table1[[#This Row],[Mould No]]), 0), 3),)</f>
        <v>BC28-0170-D-APH-5180-3539-PP-6 NOTCHES-MOLD4</v>
      </c>
      <c r="H895">
        <v>0</v>
      </c>
      <c r="I895" cm="1">
        <f t="array" ref="I895">IFERROR(INDEX(ReferenceCard, MATCH(1, (INDEX(ReferenceCard,,1)=Table1[[#This Row],[SAP No]]) * (INDEX(ReferenceCard,,2)=Table1[[#This Row],[Mould No]]), 0), 4),)</f>
        <v>6</v>
      </c>
      <c r="J895" s="4" cm="1">
        <f t="array" ref="J895">IFERROR(INDEX(ReferenceCard, MATCH(1, (INDEX(ReferenceCard,,1)=Table1[[#This Row],[SAP No]]) * (INDEX(ReferenceCard,,2)=Table1[[#This Row],[Mould No]]), 0), 9),)</f>
        <v>28</v>
      </c>
      <c r="K895" s="4" cm="1">
        <f t="array" ref="K895">IFERROR(INDEX(ReferenceCard, MATCH(1, (INDEX(ReferenceCard,,1)=Table1[[#This Row],[SAP No]]) * (INDEX(ReferenceCard,,2)=Table1[[#This Row],[Mould No]]), 0), 7),)</f>
        <v>28</v>
      </c>
      <c r="L895">
        <v>0</v>
      </c>
      <c r="M895">
        <v>0</v>
      </c>
      <c r="N895">
        <v>0</v>
      </c>
      <c r="O895">
        <v>0</v>
      </c>
      <c r="P895">
        <f>Table1[[#This Row],[Shot]]*Table1[[#This Row],[Cav]]</f>
        <v>0</v>
      </c>
      <c r="Q895">
        <v>0</v>
      </c>
      <c r="R895">
        <f>(Table1[[#This Row],[Part Weight (gm)]]*Table1[[#This Row],[Finish Good]])/1000</f>
        <v>0</v>
      </c>
      <c r="S895">
        <v>0</v>
      </c>
      <c r="T895">
        <f>IF(Table1[[#This Row],[Qty Order]]="Sample","-",IF(Table1[[#This Row],[Qty Order]]="RTFN","-",Table1[[#This Row],[Qty Order]]-Table1[[#This Row],[Qty Accumulate]]))</f>
        <v>0</v>
      </c>
      <c r="U895">
        <f>((Table1[[#This Row],[Shift Output]]*Table1[[#This Row],[Part Weight (gm)]])/1000)+Table1[[#This Row],[Reject Startup (kg)]]+Table1[[#This Row],[Reject Purging (kg)]]+Table1[[#This Row],[Reject Preform (kg)]]</f>
        <v>29.7</v>
      </c>
      <c r="V895" s="37">
        <f>(Table1[[#This Row],[Gross Weight (gm)]]-Table1[[#This Row],[Part Weight (gm)]])*Table1[[#This Row],[Shift Output]]/1000</f>
        <v>0</v>
      </c>
      <c r="W895" s="3">
        <v>11</v>
      </c>
      <c r="X895" s="36">
        <f>Table1[[#This Row],[Reject Startup (kg)]]/Table1[[#This Row],[Material Used]]</f>
        <v>0.37037037037037041</v>
      </c>
      <c r="Y895" s="3">
        <v>0</v>
      </c>
      <c r="Z895" s="36">
        <f>Table1[[#This Row],[Reject Prod (kg)]]/Table1[[#This Row],[Material Used]]</f>
        <v>0</v>
      </c>
      <c r="AA895" s="4">
        <v>0</v>
      </c>
      <c r="AB895" s="5">
        <v>0</v>
      </c>
      <c r="AC895" s="4" cm="1">
        <f t="array" ref="AC895">IFERROR(INDEX(ReferenceCard, MATCH(1, (INDEX(ReferenceCard,,1)=Table1[[#This Row],[SAP No]]) * (INDEX(ReferenceCard,,2)=Table1[[#This Row],[Mould No]]), 0), 9),)</f>
        <v>28</v>
      </c>
      <c r="AD895" s="5">
        <v>0</v>
      </c>
      <c r="AE895" s="5">
        <v>0</v>
      </c>
      <c r="AF895" s="5">
        <v>0</v>
      </c>
      <c r="AG895" s="5">
        <v>0</v>
      </c>
      <c r="AH895" s="5">
        <v>12</v>
      </c>
      <c r="AI895" s="5">
        <v>0</v>
      </c>
      <c r="AJ895" s="5">
        <v>0</v>
      </c>
      <c r="AK895" t="s">
        <v>224</v>
      </c>
      <c r="AL895" s="2"/>
      <c r="AM895" s="2"/>
      <c r="AN895" s="3">
        <v>5.7</v>
      </c>
      <c r="AO895" s="3">
        <v>13</v>
      </c>
      <c r="AP895" s="6">
        <f>((Table1[[#This Row],[Reject Startup (kg)]]+Table1[[#This Row],[Reject Prod (kg)]]+Table1[[#This Row],[Reject Purging (kg)]]+Table1[[#This Row],[Reject Preform (kg)]])/Table1[[#This Row],[Part Weight (gm)]])*1000</f>
        <v>1060.7142857142858</v>
      </c>
    </row>
    <row r="896" spans="1:42" x14ac:dyDescent="0.35">
      <c r="A896" s="1">
        <v>45993</v>
      </c>
      <c r="B896">
        <v>2</v>
      </c>
      <c r="C896" t="s">
        <v>18</v>
      </c>
      <c r="D896" t="str" cm="1">
        <f t="array" ref="D896">IFERROR(INDEX(ReferenceCard, MATCH(1, (INDEX(ReferenceCard,,1)=Table1[[#This Row],[SAP No]]) * (INDEX(ReferenceCard,,2)=Table1[[#This Row],[Mould No]]), 0), 6),)</f>
        <v>PPSB520Y</v>
      </c>
      <c r="E896">
        <v>555979</v>
      </c>
      <c r="F896">
        <v>4</v>
      </c>
      <c r="G896" t="str" cm="1">
        <f t="array" ref="G896">IFERROR(INDEX(ReferenceCard, MATCH(1, (INDEX(ReferenceCard,,1)=Table1[[#This Row],[SAP No]]) * (INDEX(ReferenceCard,,2)=Table1[[#This Row],[Mould No]]), 0), 3),)</f>
        <v>BC28-0170-D-APH-5180-3539-PP-6 NOTCHES-MOLD4</v>
      </c>
      <c r="H896">
        <v>0</v>
      </c>
      <c r="I896" cm="1">
        <f t="array" ref="I896">IFERROR(INDEX(ReferenceCard, MATCH(1, (INDEX(ReferenceCard,,1)=Table1[[#This Row],[SAP No]]) * (INDEX(ReferenceCard,,2)=Table1[[#This Row],[Mould No]]), 0), 4),)</f>
        <v>6</v>
      </c>
      <c r="J896" s="4" cm="1">
        <f t="array" ref="J896">IFERROR(INDEX(ReferenceCard, MATCH(1, (INDEX(ReferenceCard,,1)=Table1[[#This Row],[SAP No]]) * (INDEX(ReferenceCard,,2)=Table1[[#This Row],[Mould No]]), 0), 9),)</f>
        <v>28</v>
      </c>
      <c r="K896" s="4" cm="1">
        <f t="array" ref="K896">IFERROR(INDEX(ReferenceCard, MATCH(1, (INDEX(ReferenceCard,,1)=Table1[[#This Row],[SAP No]]) * (INDEX(ReferenceCard,,2)=Table1[[#This Row],[Mould No]]), 0), 7),)</f>
        <v>28</v>
      </c>
      <c r="L896">
        <v>0</v>
      </c>
      <c r="M896">
        <v>0</v>
      </c>
      <c r="N896">
        <v>0</v>
      </c>
      <c r="O896">
        <v>0</v>
      </c>
      <c r="P896">
        <f>Table1[[#This Row],[Shot]]*Table1[[#This Row],[Cav]]</f>
        <v>0</v>
      </c>
      <c r="Q896">
        <v>0</v>
      </c>
      <c r="R896">
        <f>(Table1[[#This Row],[Part Weight (gm)]]*Table1[[#This Row],[Finish Good]])/1000</f>
        <v>0</v>
      </c>
      <c r="S896">
        <v>0</v>
      </c>
      <c r="T896">
        <f>IF(Table1[[#This Row],[Qty Order]]="Sample","-",IF(Table1[[#This Row],[Qty Order]]="RTFN","-",Table1[[#This Row],[Qty Order]]-Table1[[#This Row],[Qty Accumulate]]))</f>
        <v>0</v>
      </c>
      <c r="U896">
        <f>((Table1[[#This Row],[Shift Output]]*Table1[[#This Row],[Part Weight (gm)]])/1000)+Table1[[#This Row],[Reject Startup (kg)]]+Table1[[#This Row],[Reject Purging (kg)]]+Table1[[#This Row],[Reject Preform (kg)]]</f>
        <v>17</v>
      </c>
      <c r="V896" s="37">
        <f>(Table1[[#This Row],[Gross Weight (gm)]]-Table1[[#This Row],[Part Weight (gm)]])*Table1[[#This Row],[Shift Output]]/1000</f>
        <v>0</v>
      </c>
      <c r="W896" s="3">
        <v>17</v>
      </c>
      <c r="X896" s="36">
        <f>Table1[[#This Row],[Reject Startup (kg)]]/Table1[[#This Row],[Material Used]]</f>
        <v>1</v>
      </c>
      <c r="Y896" s="3">
        <v>0</v>
      </c>
      <c r="Z896" s="36">
        <f>Table1[[#This Row],[Reject Prod (kg)]]/Table1[[#This Row],[Material Used]]</f>
        <v>0</v>
      </c>
      <c r="AA896" s="4">
        <v>0</v>
      </c>
      <c r="AB896" s="5">
        <v>0</v>
      </c>
      <c r="AC896" s="4" cm="1">
        <f t="array" ref="AC896">IFERROR(INDEX(ReferenceCard, MATCH(1, (INDEX(ReferenceCard,,1)=Table1[[#This Row],[SAP No]]) * (INDEX(ReferenceCard,,2)=Table1[[#This Row],[Mould No]]), 0), 9),)</f>
        <v>28</v>
      </c>
      <c r="AD896" s="5">
        <v>0</v>
      </c>
      <c r="AE896" s="5">
        <v>0</v>
      </c>
      <c r="AF896" s="5">
        <v>0</v>
      </c>
      <c r="AG896" s="5">
        <v>0</v>
      </c>
      <c r="AH896" s="5">
        <v>12</v>
      </c>
      <c r="AI896" s="5">
        <v>0</v>
      </c>
      <c r="AJ896" s="5">
        <v>0</v>
      </c>
      <c r="AK896" t="s">
        <v>225</v>
      </c>
      <c r="AL896" s="2"/>
      <c r="AM896" s="2"/>
      <c r="AN896" s="3">
        <v>0</v>
      </c>
      <c r="AO896" s="3">
        <v>0</v>
      </c>
      <c r="AP896" s="6">
        <f>((Table1[[#This Row],[Reject Startup (kg)]]+Table1[[#This Row],[Reject Prod (kg)]]+Table1[[#This Row],[Reject Purging (kg)]]+Table1[[#This Row],[Reject Preform (kg)]])/Table1[[#This Row],[Part Weight (gm)]])*1000</f>
        <v>607.14285714285711</v>
      </c>
    </row>
    <row r="897" spans="1:42" x14ac:dyDescent="0.35">
      <c r="A897" s="1">
        <v>45993</v>
      </c>
      <c r="B897">
        <v>2</v>
      </c>
      <c r="C897" t="s">
        <v>35</v>
      </c>
      <c r="D897" t="str" cm="1">
        <f t="array" ref="D897">IFERROR(INDEX(ReferenceCard, MATCH(1, (INDEX(ReferenceCard,,1)=Table1[[#This Row],[SAP No]]) * (INDEX(ReferenceCard,,2)=Table1[[#This Row],[Mould No]]), 0), 6),)</f>
        <v>PPSB520Y</v>
      </c>
      <c r="E897">
        <v>552181</v>
      </c>
      <c r="F897">
        <v>1</v>
      </c>
      <c r="G897" t="str" cm="1">
        <f t="array" ref="G897">IFERROR(INDEX(ReferenceCard, MATCH(1, (INDEX(ReferenceCard,,1)=Table1[[#This Row],[SAP No]]) * (INDEX(ReferenceCard,,2)=Table1[[#This Row],[Mould No]]), 0), 3),)</f>
        <v>BC28-0090-D-APH-5180-3538-PP-6 NOTCHES-MOLD1</v>
      </c>
      <c r="H897">
        <v>0</v>
      </c>
      <c r="I897" cm="1">
        <f t="array" ref="I897">IFERROR(INDEX(ReferenceCard, MATCH(1, (INDEX(ReferenceCard,,1)=Table1[[#This Row],[SAP No]]) * (INDEX(ReferenceCard,,2)=Table1[[#This Row],[Mould No]]), 0), 4),)</f>
        <v>6</v>
      </c>
      <c r="J897" s="4" cm="1">
        <f t="array" ref="J897">IFERROR(INDEX(ReferenceCard, MATCH(1, (INDEX(ReferenceCard,,1)=Table1[[#This Row],[SAP No]]) * (INDEX(ReferenceCard,,2)=Table1[[#This Row],[Mould No]]), 0), 9),)</f>
        <v>18.8</v>
      </c>
      <c r="K897" s="4" cm="1">
        <f t="array" ref="K897">IFERROR(INDEX(ReferenceCard, MATCH(1, (INDEX(ReferenceCard,,1)=Table1[[#This Row],[SAP No]]) * (INDEX(ReferenceCard,,2)=Table1[[#This Row],[Mould No]]), 0), 7),)</f>
        <v>18.8</v>
      </c>
      <c r="L897">
        <v>1519</v>
      </c>
      <c r="M897">
        <v>0</v>
      </c>
      <c r="N897">
        <v>0</v>
      </c>
      <c r="O897">
        <v>0</v>
      </c>
      <c r="P897">
        <f>Table1[[#This Row],[Shot]]*Table1[[#This Row],[Cav]]</f>
        <v>9114</v>
      </c>
      <c r="Q897">
        <v>0</v>
      </c>
      <c r="R897">
        <f>(Table1[[#This Row],[Part Weight (gm)]]*Table1[[#This Row],[Finish Good]])/1000</f>
        <v>0</v>
      </c>
      <c r="S897">
        <v>0</v>
      </c>
      <c r="T897">
        <f>IF(Table1[[#This Row],[Qty Order]]="Sample","-",IF(Table1[[#This Row],[Qty Order]]="RTFN","-",Table1[[#This Row],[Qty Order]]-Table1[[#This Row],[Qty Accumulate]]))</f>
        <v>0</v>
      </c>
      <c r="U897">
        <f>((Table1[[#This Row],[Shift Output]]*Table1[[#This Row],[Part Weight (gm)]])/1000)+Table1[[#This Row],[Reject Startup (kg)]]+Table1[[#This Row],[Reject Purging (kg)]]+Table1[[#This Row],[Reject Preform (kg)]]</f>
        <v>171.34320000000002</v>
      </c>
      <c r="V897" s="37">
        <f>(Table1[[#This Row],[Gross Weight (gm)]]-Table1[[#This Row],[Part Weight (gm)]])*Table1[[#This Row],[Shift Output]]/1000</f>
        <v>0</v>
      </c>
      <c r="W897" s="3">
        <v>0</v>
      </c>
      <c r="X897" s="36">
        <f>Table1[[#This Row],[Reject Startup (kg)]]/Table1[[#This Row],[Material Used]]</f>
        <v>0</v>
      </c>
      <c r="Y897" s="3">
        <v>1</v>
      </c>
      <c r="Z897" s="36">
        <f>Table1[[#This Row],[Reject Prod (kg)]]/Table1[[#This Row],[Material Used]]</f>
        <v>5.836239780744143E-3</v>
      </c>
      <c r="AA897" s="4">
        <v>32.069023132324197</v>
      </c>
      <c r="AB897" s="5">
        <v>10.47</v>
      </c>
      <c r="AC897" s="4" cm="1">
        <f t="array" ref="AC897">IFERROR(INDEX(ReferenceCard, MATCH(1, (INDEX(ReferenceCard,,1)=Table1[[#This Row],[SAP No]]) * (INDEX(ReferenceCard,,2)=Table1[[#This Row],[Mould No]]), 0), 9),)</f>
        <v>18.8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L897" s="2"/>
      <c r="AM897" s="2"/>
      <c r="AN897" s="3">
        <v>0</v>
      </c>
      <c r="AO897" s="3">
        <v>0</v>
      </c>
      <c r="AP897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898" spans="1:42" x14ac:dyDescent="0.35">
      <c r="A898" s="1">
        <v>45993</v>
      </c>
      <c r="B898">
        <v>2</v>
      </c>
      <c r="C898" t="s">
        <v>33</v>
      </c>
      <c r="D898" t="str" cm="1">
        <f t="array" ref="D898">IFERROR(INDEX(ReferenceCard, MATCH(1, (INDEX(ReferenceCard,,1)=Table1[[#This Row],[SAP No]]) * (INDEX(ReferenceCard,,2)=Table1[[#This Row],[Mould No]]), 0), 6),)</f>
        <v>PET</v>
      </c>
      <c r="E898">
        <v>541381</v>
      </c>
      <c r="F898">
        <v>0</v>
      </c>
      <c r="G898" t="str" cm="1">
        <f t="array" ref="G898">IFERROR(INDEX(ReferenceCard, MATCH(1, (INDEX(ReferenceCard,,1)=Table1[[#This Row],[SAP No]]) * (INDEX(ReferenceCard,,2)=Table1[[#This Row],[Mould No]]), 0), 3),)</f>
        <v>BC28-1200-K-R-CL</v>
      </c>
      <c r="H898">
        <v>0</v>
      </c>
      <c r="I898" cm="1">
        <f t="array" ref="I898">IFERROR(INDEX(ReferenceCard, MATCH(1, (INDEX(ReferenceCard,,1)=Table1[[#This Row],[SAP No]]) * (INDEX(ReferenceCard,,2)=Table1[[#This Row],[Mould No]]), 0), 4),)</f>
        <v>4</v>
      </c>
      <c r="J898" s="4" cm="1">
        <f t="array" ref="J898">IFERROR(INDEX(ReferenceCard, MATCH(1, (INDEX(ReferenceCard,,1)=Table1[[#This Row],[SAP No]]) * (INDEX(ReferenceCard,,2)=Table1[[#This Row],[Mould No]]), 0), 9),)</f>
        <v>55</v>
      </c>
      <c r="K898" s="4" cm="1">
        <f t="array" ref="K898">IFERROR(INDEX(ReferenceCard, MATCH(1, (INDEX(ReferenceCard,,1)=Table1[[#This Row],[SAP No]]) * (INDEX(ReferenceCard,,2)=Table1[[#This Row],[Mould No]]), 0), 7),)</f>
        <v>55</v>
      </c>
      <c r="L898">
        <v>0</v>
      </c>
      <c r="M898">
        <v>0</v>
      </c>
      <c r="N898">
        <v>0</v>
      </c>
      <c r="O898">
        <v>0</v>
      </c>
      <c r="P898">
        <f>Table1[[#This Row],[Shot]]*Table1[[#This Row],[Cav]]</f>
        <v>0</v>
      </c>
      <c r="Q898">
        <v>0</v>
      </c>
      <c r="R898">
        <f>(Table1[[#This Row],[Part Weight (gm)]]*Table1[[#This Row],[Finish Good]])/1000</f>
        <v>0</v>
      </c>
      <c r="S898">
        <v>0</v>
      </c>
      <c r="T898">
        <f>IF(Table1[[#This Row],[Qty Order]]="Sample","-",IF(Table1[[#This Row],[Qty Order]]="RTFN","-",Table1[[#This Row],[Qty Order]]-Table1[[#This Row],[Qty Accumulate]]))</f>
        <v>0</v>
      </c>
      <c r="U898">
        <f>((Table1[[#This Row],[Shift Output]]*Table1[[#This Row],[Part Weight (gm)]])/1000)+Table1[[#This Row],[Reject Startup (kg)]]+Table1[[#This Row],[Reject Purging (kg)]]+Table1[[#This Row],[Reject Preform (kg)]]</f>
        <v>0</v>
      </c>
      <c r="V898" s="37">
        <f>(Table1[[#This Row],[Gross Weight (gm)]]-Table1[[#This Row],[Part Weight (gm)]])*Table1[[#This Row],[Shift Output]]/1000</f>
        <v>0</v>
      </c>
      <c r="W898" s="3">
        <v>0</v>
      </c>
      <c r="X898" s="36" t="e">
        <f>Table1[[#This Row],[Reject Startup (kg)]]/Table1[[#This Row],[Material Used]]</f>
        <v>#DIV/0!</v>
      </c>
      <c r="Y898" s="3">
        <v>0</v>
      </c>
      <c r="Z898" s="36" t="e">
        <f>Table1[[#This Row],[Reject Prod (kg)]]/Table1[[#This Row],[Material Used]]</f>
        <v>#DIV/0!</v>
      </c>
      <c r="AA898" s="4">
        <v>0</v>
      </c>
      <c r="AB898" s="5">
        <v>0</v>
      </c>
      <c r="AC898" s="4" cm="1">
        <f t="array" ref="AC898">IFERROR(INDEX(ReferenceCard, MATCH(1, (INDEX(ReferenceCard,,1)=Table1[[#This Row],[SAP No]]) * (INDEX(ReferenceCard,,2)=Table1[[#This Row],[Mould No]]), 0), 9),)</f>
        <v>55</v>
      </c>
      <c r="AD898" s="5">
        <v>0</v>
      </c>
      <c r="AE898" s="5">
        <v>0</v>
      </c>
      <c r="AF898" s="5">
        <v>0</v>
      </c>
      <c r="AG898" s="5">
        <v>0</v>
      </c>
      <c r="AH898" s="5">
        <v>10.47</v>
      </c>
      <c r="AI898" s="5">
        <v>0</v>
      </c>
      <c r="AJ898" s="5">
        <v>0</v>
      </c>
      <c r="AL898" s="2"/>
      <c r="AM898" s="2"/>
      <c r="AN898" s="3">
        <v>0</v>
      </c>
      <c r="AO898" s="3">
        <v>0</v>
      </c>
      <c r="AP898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899" spans="1:42" x14ac:dyDescent="0.35">
      <c r="A899" s="1">
        <v>45993</v>
      </c>
      <c r="B899">
        <v>2</v>
      </c>
      <c r="C899" t="s">
        <v>31</v>
      </c>
      <c r="D899" t="str" cm="1">
        <f t="array" ref="D899">IFERROR(INDEX(ReferenceCard, MATCH(1, (INDEX(ReferenceCard,,1)=Table1[[#This Row],[SAP No]]) * (INDEX(ReferenceCard,,2)=Table1[[#This Row],[Mould No]]), 0), 6),)</f>
        <v>PPSB520Y</v>
      </c>
      <c r="E899">
        <v>586276</v>
      </c>
      <c r="F899">
        <v>4</v>
      </c>
      <c r="G899" t="str" cm="1">
        <f t="array" ref="G899">IFERROR(INDEX(ReferenceCard, MATCH(1, (INDEX(ReferenceCard,,1)=Table1[[#This Row],[SAP No]]) * (INDEX(ReferenceCard,,2)=Table1[[#This Row],[Mould No]]), 0), 3),)</f>
        <v>BC28-0056-D-APH-LEB-604001-MOLD4</v>
      </c>
      <c r="H899">
        <v>0</v>
      </c>
      <c r="I899" cm="1">
        <f t="array" ref="I899">IFERROR(INDEX(ReferenceCard, MATCH(1, (INDEX(ReferenceCard,,1)=Table1[[#This Row],[SAP No]]) * (INDEX(ReferenceCard,,2)=Table1[[#This Row],[Mould No]]), 0), 4),)</f>
        <v>6</v>
      </c>
      <c r="J899" s="4" cm="1">
        <f t="array" ref="J899">IFERROR(INDEX(ReferenceCard, MATCH(1, (INDEX(ReferenceCard,,1)=Table1[[#This Row],[SAP No]]) * (INDEX(ReferenceCard,,2)=Table1[[#This Row],[Mould No]]), 0), 9),)</f>
        <v>12.3</v>
      </c>
      <c r="K899" s="4" cm="1">
        <f t="array" ref="K899">IFERROR(INDEX(ReferenceCard, MATCH(1, (INDEX(ReferenceCard,,1)=Table1[[#This Row],[SAP No]]) * (INDEX(ReferenceCard,,2)=Table1[[#This Row],[Mould No]]), 0), 7),)</f>
        <v>12.3</v>
      </c>
      <c r="L899">
        <v>1853</v>
      </c>
      <c r="M899">
        <v>0</v>
      </c>
      <c r="N899">
        <v>0</v>
      </c>
      <c r="O899">
        <v>0</v>
      </c>
      <c r="P899">
        <f>Table1[[#This Row],[Shot]]*Table1[[#This Row],[Cav]]</f>
        <v>11118</v>
      </c>
      <c r="Q899">
        <v>0</v>
      </c>
      <c r="R899">
        <f>(Table1[[#This Row],[Part Weight (gm)]]*Table1[[#This Row],[Finish Good]])/1000</f>
        <v>0</v>
      </c>
      <c r="S899">
        <v>0</v>
      </c>
      <c r="T899">
        <f>IF(Table1[[#This Row],[Qty Order]]="Sample","-",IF(Table1[[#This Row],[Qty Order]]="RTFN","-",Table1[[#This Row],[Qty Order]]-Table1[[#This Row],[Qty Accumulate]]))</f>
        <v>0</v>
      </c>
      <c r="U899">
        <f>((Table1[[#This Row],[Shift Output]]*Table1[[#This Row],[Part Weight (gm)]])/1000)+Table1[[#This Row],[Reject Startup (kg)]]+Table1[[#This Row],[Reject Purging (kg)]]+Table1[[#This Row],[Reject Preform (kg)]]</f>
        <v>136.75139999999999</v>
      </c>
      <c r="V899" s="37">
        <f>(Table1[[#This Row],[Gross Weight (gm)]]-Table1[[#This Row],[Part Weight (gm)]])*Table1[[#This Row],[Shift Output]]/1000</f>
        <v>0</v>
      </c>
      <c r="W899" s="3">
        <v>0</v>
      </c>
      <c r="X899" s="36">
        <f>Table1[[#This Row],[Reject Startup (kg)]]/Table1[[#This Row],[Material Used]]</f>
        <v>0</v>
      </c>
      <c r="Y899" s="3">
        <v>1</v>
      </c>
      <c r="Z899" s="36">
        <f>Table1[[#This Row],[Reject Prod (kg)]]/Table1[[#This Row],[Material Used]]</f>
        <v>7.3125393963059983E-3</v>
      </c>
      <c r="AA899" s="4">
        <v>26.278377532958899</v>
      </c>
      <c r="AB899" s="5">
        <v>10.47</v>
      </c>
      <c r="AC899" s="4" cm="1">
        <f t="array" ref="AC899">IFERROR(INDEX(ReferenceCard, MATCH(1, (INDEX(ReferenceCard,,1)=Table1[[#This Row],[SAP No]]) * (INDEX(ReferenceCard,,2)=Table1[[#This Row],[Mould No]]), 0), 9),)</f>
        <v>12.3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L899" s="2"/>
      <c r="AM899" s="2"/>
      <c r="AN899" s="3">
        <v>0</v>
      </c>
      <c r="AO899" s="3">
        <v>0</v>
      </c>
      <c r="AP899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900" spans="1:42" x14ac:dyDescent="0.35">
      <c r="A900" s="1">
        <v>45993</v>
      </c>
      <c r="B900">
        <v>2</v>
      </c>
      <c r="C900" t="s">
        <v>29</v>
      </c>
      <c r="D900" t="str" cm="1">
        <f t="array" ref="D900">IFERROR(INDEX(ReferenceCard, MATCH(1, (INDEX(ReferenceCard,,1)=Table1[[#This Row],[SAP No]]) * (INDEX(ReferenceCard,,2)=Table1[[#This Row],[Mould No]]), 0), 6),)</f>
        <v>PET</v>
      </c>
      <c r="E900">
        <v>620599</v>
      </c>
      <c r="F900">
        <v>0</v>
      </c>
      <c r="G900" t="str" cm="1">
        <f t="array" ref="G900">IFERROR(INDEX(ReferenceCard, MATCH(1, (INDEX(ReferenceCard,,1)=Table1[[#This Row],[SAP No]]) * (INDEX(ReferenceCard,,2)=Table1[[#This Row],[Mould No]]), 0), 3),)</f>
        <v>BC28-0750-K4-R-CL (55g)</v>
      </c>
      <c r="H900">
        <v>0</v>
      </c>
      <c r="I900" cm="1">
        <f t="array" ref="I900">IFERROR(INDEX(ReferenceCard, MATCH(1, (INDEX(ReferenceCard,,1)=Table1[[#This Row],[SAP No]]) * (INDEX(ReferenceCard,,2)=Table1[[#This Row],[Mould No]]), 0), 4),)</f>
        <v>4</v>
      </c>
      <c r="J900" s="4" cm="1">
        <f t="array" ref="J900">IFERROR(INDEX(ReferenceCard, MATCH(1, (INDEX(ReferenceCard,,1)=Table1[[#This Row],[SAP No]]) * (INDEX(ReferenceCard,,2)=Table1[[#This Row],[Mould No]]), 0), 9),)</f>
        <v>55</v>
      </c>
      <c r="K900" s="4" cm="1">
        <f t="array" ref="K900">IFERROR(INDEX(ReferenceCard, MATCH(1, (INDEX(ReferenceCard,,1)=Table1[[#This Row],[SAP No]]) * (INDEX(ReferenceCard,,2)=Table1[[#This Row],[Mould No]]), 0), 7),)</f>
        <v>55</v>
      </c>
      <c r="L900">
        <v>1755</v>
      </c>
      <c r="M900">
        <v>0</v>
      </c>
      <c r="N900">
        <v>0</v>
      </c>
      <c r="O900">
        <v>0</v>
      </c>
      <c r="P900">
        <f>Table1[[#This Row],[Shot]]*Table1[[#This Row],[Cav]]</f>
        <v>7020</v>
      </c>
      <c r="Q900">
        <v>0</v>
      </c>
      <c r="R900">
        <f>(Table1[[#This Row],[Part Weight (gm)]]*Table1[[#This Row],[Finish Good]])/1000</f>
        <v>0</v>
      </c>
      <c r="S900">
        <v>0</v>
      </c>
      <c r="T900">
        <f>IF(Table1[[#This Row],[Qty Order]]="Sample","-",IF(Table1[[#This Row],[Qty Order]]="RTFN","-",Table1[[#This Row],[Qty Order]]-Table1[[#This Row],[Qty Accumulate]]))</f>
        <v>0</v>
      </c>
      <c r="U900">
        <f>((Table1[[#This Row],[Shift Output]]*Table1[[#This Row],[Part Weight (gm)]])/1000)+Table1[[#This Row],[Reject Startup (kg)]]+Table1[[#This Row],[Reject Purging (kg)]]+Table1[[#This Row],[Reject Preform (kg)]]</f>
        <v>386.1</v>
      </c>
      <c r="V900" s="37">
        <f>(Table1[[#This Row],[Gross Weight (gm)]]-Table1[[#This Row],[Part Weight (gm)]])*Table1[[#This Row],[Shift Output]]/1000</f>
        <v>0</v>
      </c>
      <c r="W900" s="3">
        <v>0</v>
      </c>
      <c r="X900" s="36">
        <f>Table1[[#This Row],[Reject Startup (kg)]]/Table1[[#This Row],[Material Used]]</f>
        <v>0</v>
      </c>
      <c r="Y900" s="3">
        <v>11</v>
      </c>
      <c r="Z900" s="36">
        <f>Table1[[#This Row],[Reject Prod (kg)]]/Table1[[#This Row],[Material Used]]</f>
        <v>2.8490028490028487E-2</v>
      </c>
      <c r="AA900" s="4">
        <v>27.719141006469702</v>
      </c>
      <c r="AB900" s="5">
        <v>10.47</v>
      </c>
      <c r="AC900" s="4" cm="1">
        <f t="array" ref="AC900">IFERROR(INDEX(ReferenceCard, MATCH(1, (INDEX(ReferenceCard,,1)=Table1[[#This Row],[SAP No]]) * (INDEX(ReferenceCard,,2)=Table1[[#This Row],[Mould No]]), 0), 9),)</f>
        <v>55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L900" s="2"/>
      <c r="AM900" s="2"/>
      <c r="AN900" s="3">
        <v>0</v>
      </c>
      <c r="AO900" s="3">
        <v>0</v>
      </c>
      <c r="AP900" s="6">
        <f>((Table1[[#This Row],[Reject Startup (kg)]]+Table1[[#This Row],[Reject Prod (kg)]]+Table1[[#This Row],[Reject Purging (kg)]]+Table1[[#This Row],[Reject Preform (kg)]])/Table1[[#This Row],[Part Weight (gm)]])*1000</f>
        <v>200</v>
      </c>
    </row>
    <row r="901" spans="1:42" x14ac:dyDescent="0.35">
      <c r="A901" s="1">
        <v>45993</v>
      </c>
      <c r="B901">
        <v>2</v>
      </c>
      <c r="C901" t="s">
        <v>27</v>
      </c>
      <c r="D901" t="str" cm="1">
        <f t="array" ref="D901">IFERROR(INDEX(ReferenceCard, MATCH(1, (INDEX(ReferenceCard,,1)=Table1[[#This Row],[SAP No]]) * (INDEX(ReferenceCard,,2)=Table1[[#This Row],[Mould No]]), 0), 6),)</f>
        <v>PPSB520Y</v>
      </c>
      <c r="E901">
        <v>552181</v>
      </c>
      <c r="F901">
        <v>4</v>
      </c>
      <c r="G901" t="str" cm="1">
        <f t="array" ref="G901">IFERROR(INDEX(ReferenceCard, MATCH(1, (INDEX(ReferenceCard,,1)=Table1[[#This Row],[SAP No]]) * (INDEX(ReferenceCard,,2)=Table1[[#This Row],[Mould No]]), 0), 3),)</f>
        <v>BC28-0090-D-APH-5180-3538-PP-6 NOTCHES-MOLD4</v>
      </c>
      <c r="H901">
        <v>0</v>
      </c>
      <c r="I901" cm="1">
        <f t="array" ref="I901">IFERROR(INDEX(ReferenceCard, MATCH(1, (INDEX(ReferenceCard,,1)=Table1[[#This Row],[SAP No]]) * (INDEX(ReferenceCard,,2)=Table1[[#This Row],[Mould No]]), 0), 4),)</f>
        <v>6</v>
      </c>
      <c r="J901" s="4" cm="1">
        <f t="array" ref="J901">IFERROR(INDEX(ReferenceCard, MATCH(1, (INDEX(ReferenceCard,,1)=Table1[[#This Row],[SAP No]]) * (INDEX(ReferenceCard,,2)=Table1[[#This Row],[Mould No]]), 0), 9),)</f>
        <v>18.8</v>
      </c>
      <c r="K901" s="4" cm="1">
        <f t="array" ref="K901">IFERROR(INDEX(ReferenceCard, MATCH(1, (INDEX(ReferenceCard,,1)=Table1[[#This Row],[SAP No]]) * (INDEX(ReferenceCard,,2)=Table1[[#This Row],[Mould No]]), 0), 7),)</f>
        <v>18.8</v>
      </c>
      <c r="L901">
        <v>33</v>
      </c>
      <c r="M901">
        <v>0</v>
      </c>
      <c r="N901">
        <v>0</v>
      </c>
      <c r="O901">
        <v>0</v>
      </c>
      <c r="P901">
        <f>Table1[[#This Row],[Shot]]*Table1[[#This Row],[Cav]]</f>
        <v>198</v>
      </c>
      <c r="Q901">
        <v>0</v>
      </c>
      <c r="R901">
        <f>(Table1[[#This Row],[Part Weight (gm)]]*Table1[[#This Row],[Finish Good]])/1000</f>
        <v>0</v>
      </c>
      <c r="S901">
        <v>0</v>
      </c>
      <c r="T901">
        <f>IF(Table1[[#This Row],[Qty Order]]="Sample","-",IF(Table1[[#This Row],[Qty Order]]="RTFN","-",Table1[[#This Row],[Qty Order]]-Table1[[#This Row],[Qty Accumulate]]))</f>
        <v>0</v>
      </c>
      <c r="U901">
        <f>((Table1[[#This Row],[Shift Output]]*Table1[[#This Row],[Part Weight (gm)]])/1000)+Table1[[#This Row],[Reject Startup (kg)]]+Table1[[#This Row],[Reject Purging (kg)]]+Table1[[#This Row],[Reject Preform (kg)]]</f>
        <v>3.7223999999999999</v>
      </c>
      <c r="V901" s="37">
        <f>(Table1[[#This Row],[Gross Weight (gm)]]-Table1[[#This Row],[Part Weight (gm)]])*Table1[[#This Row],[Shift Output]]/1000</f>
        <v>0</v>
      </c>
      <c r="W901" s="3">
        <v>0</v>
      </c>
      <c r="X901" s="36">
        <f>Table1[[#This Row],[Reject Startup (kg)]]/Table1[[#This Row],[Material Used]]</f>
        <v>0</v>
      </c>
      <c r="Y901" s="3">
        <v>0</v>
      </c>
      <c r="Z901" s="36">
        <f>Table1[[#This Row],[Reject Prod (kg)]]/Table1[[#This Row],[Material Used]]</f>
        <v>0</v>
      </c>
      <c r="AA901" s="4">
        <v>0</v>
      </c>
      <c r="AB901" s="5">
        <v>0.12</v>
      </c>
      <c r="AC901" s="4" cm="1">
        <f t="array" ref="AC901">IFERROR(INDEX(ReferenceCard, MATCH(1, (INDEX(ReferenceCard,,1)=Table1[[#This Row],[SAP No]]) * (INDEX(ReferenceCard,,2)=Table1[[#This Row],[Mould No]]), 0), 9),)</f>
        <v>18.8</v>
      </c>
      <c r="AD901" s="5">
        <v>0</v>
      </c>
      <c r="AE901" s="5">
        <v>0</v>
      </c>
      <c r="AF901" s="5">
        <v>0</v>
      </c>
      <c r="AG901" s="5">
        <v>0</v>
      </c>
      <c r="AH901" s="5">
        <v>10.34</v>
      </c>
      <c r="AI901" s="5">
        <v>0</v>
      </c>
      <c r="AJ901" s="5">
        <v>0</v>
      </c>
      <c r="AL901" s="2"/>
      <c r="AM901" s="2"/>
      <c r="AN901" s="3">
        <v>0</v>
      </c>
      <c r="AO901" s="3">
        <v>0</v>
      </c>
      <c r="AP901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02" spans="1:42" x14ac:dyDescent="0.35">
      <c r="A902" s="1">
        <v>45993</v>
      </c>
      <c r="B902">
        <v>2</v>
      </c>
      <c r="C902" t="s">
        <v>25</v>
      </c>
      <c r="D902" t="str" cm="1">
        <f t="array" ref="D902">IFERROR(INDEX(ReferenceCard, MATCH(1, (INDEX(ReferenceCard,,1)=Table1[[#This Row],[SAP No]]) * (INDEX(ReferenceCard,,2)=Table1[[#This Row],[Mould No]]), 0), 6),)</f>
        <v>PET</v>
      </c>
      <c r="E902">
        <v>323133</v>
      </c>
      <c r="F902">
        <v>0</v>
      </c>
      <c r="G902" t="str" cm="1">
        <f t="array" ref="G902">IFERROR(INDEX(ReferenceCard, MATCH(1, (INDEX(ReferenceCard,,1)=Table1[[#This Row],[SAP No]]) * (INDEX(ReferenceCard,,2)=Table1[[#This Row],[Mould No]]), 0), 3),)</f>
        <v>BX38-2000-RH-R-CL(GREEN) (ASEM)</v>
      </c>
      <c r="H902">
        <v>0</v>
      </c>
      <c r="I902" cm="1">
        <f t="array" ref="I902">IFERROR(INDEX(ReferenceCard, MATCH(1, (INDEX(ReferenceCard,,1)=Table1[[#This Row],[SAP No]]) * (INDEX(ReferenceCard,,2)=Table1[[#This Row],[Mould No]]), 0), 4),)</f>
        <v>4</v>
      </c>
      <c r="J902" s="4" cm="1">
        <f t="array" ref="J902">IFERROR(INDEX(ReferenceCard, MATCH(1, (INDEX(ReferenceCard,,1)=Table1[[#This Row],[SAP No]]) * (INDEX(ReferenceCard,,2)=Table1[[#This Row],[Mould No]]), 0), 9),)</f>
        <v>77</v>
      </c>
      <c r="K902" s="4" cm="1">
        <f t="array" ref="K902">IFERROR(INDEX(ReferenceCard, MATCH(1, (INDEX(ReferenceCard,,1)=Table1[[#This Row],[SAP No]]) * (INDEX(ReferenceCard,,2)=Table1[[#This Row],[Mould No]]), 0), 7),)</f>
        <v>77</v>
      </c>
      <c r="L902">
        <v>401</v>
      </c>
      <c r="M902">
        <v>0</v>
      </c>
      <c r="N902">
        <v>0</v>
      </c>
      <c r="O902">
        <v>0</v>
      </c>
      <c r="P902">
        <f>Table1[[#This Row],[Shot]]*Table1[[#This Row],[Cav]]</f>
        <v>1604</v>
      </c>
      <c r="Q902">
        <v>0</v>
      </c>
      <c r="R902">
        <f>(Table1[[#This Row],[Part Weight (gm)]]*Table1[[#This Row],[Finish Good]])/1000</f>
        <v>0</v>
      </c>
      <c r="S902">
        <v>0</v>
      </c>
      <c r="T902">
        <f>IF(Table1[[#This Row],[Qty Order]]="Sample","-",IF(Table1[[#This Row],[Qty Order]]="RTFN","-",Table1[[#This Row],[Qty Order]]-Table1[[#This Row],[Qty Accumulate]]))</f>
        <v>0</v>
      </c>
      <c r="U902">
        <f>((Table1[[#This Row],[Shift Output]]*Table1[[#This Row],[Part Weight (gm)]])/1000)+Table1[[#This Row],[Reject Startup (kg)]]+Table1[[#This Row],[Reject Purging (kg)]]+Table1[[#This Row],[Reject Preform (kg)]]</f>
        <v>123.508</v>
      </c>
      <c r="V902" s="37">
        <f>(Table1[[#This Row],[Gross Weight (gm)]]-Table1[[#This Row],[Part Weight (gm)]])*Table1[[#This Row],[Shift Output]]/1000</f>
        <v>0</v>
      </c>
      <c r="W902" s="3">
        <v>0</v>
      </c>
      <c r="X902" s="36">
        <f>Table1[[#This Row],[Reject Startup (kg)]]/Table1[[#This Row],[Material Used]]</f>
        <v>0</v>
      </c>
      <c r="Y902" s="3">
        <v>12</v>
      </c>
      <c r="Z902" s="36">
        <f>Table1[[#This Row],[Reject Prod (kg)]]/Table1[[#This Row],[Material Used]]</f>
        <v>9.7159698157204391E-2</v>
      </c>
      <c r="AA902" s="4">
        <v>0</v>
      </c>
      <c r="AB902" s="5">
        <v>0.52</v>
      </c>
      <c r="AC902" s="4" cm="1">
        <f t="array" ref="AC902">IFERROR(INDEX(ReferenceCard, MATCH(1, (INDEX(ReferenceCard,,1)=Table1[[#This Row],[SAP No]]) * (INDEX(ReferenceCard,,2)=Table1[[#This Row],[Mould No]]), 0), 9),)</f>
        <v>77</v>
      </c>
      <c r="AD902" s="5">
        <v>0</v>
      </c>
      <c r="AE902" s="5">
        <v>0</v>
      </c>
      <c r="AF902" s="5">
        <v>0</v>
      </c>
      <c r="AG902" s="5">
        <v>0</v>
      </c>
      <c r="AH902" s="5">
        <v>9.9499999999999904</v>
      </c>
      <c r="AI902" s="5">
        <v>0</v>
      </c>
      <c r="AJ902" s="5">
        <v>0</v>
      </c>
      <c r="AL902" s="2"/>
      <c r="AM902" s="2"/>
      <c r="AN902" s="3">
        <v>0</v>
      </c>
      <c r="AO902" s="3">
        <v>0</v>
      </c>
      <c r="AP902" s="6">
        <f>((Table1[[#This Row],[Reject Startup (kg)]]+Table1[[#This Row],[Reject Prod (kg)]]+Table1[[#This Row],[Reject Purging (kg)]]+Table1[[#This Row],[Reject Preform (kg)]])/Table1[[#This Row],[Part Weight (gm)]])*1000</f>
        <v>155.84415584415584</v>
      </c>
    </row>
    <row r="903" spans="1:42" x14ac:dyDescent="0.35">
      <c r="A903" s="1">
        <v>45993</v>
      </c>
      <c r="B903">
        <v>2</v>
      </c>
      <c r="C903" t="s">
        <v>23</v>
      </c>
      <c r="D903" t="str" cm="1">
        <f t="array" ref="D903">IFERROR(INDEX(ReferenceCard, MATCH(1, (INDEX(ReferenceCard,,1)=Table1[[#This Row],[SAP No]]) * (INDEX(ReferenceCard,,2)=Table1[[#This Row],[Mould No]]), 0), 6),)</f>
        <v>PPSB520Y</v>
      </c>
      <c r="E903">
        <v>586276</v>
      </c>
      <c r="F903">
        <v>2</v>
      </c>
      <c r="G903" t="str" cm="1">
        <f t="array" ref="G903">IFERROR(INDEX(ReferenceCard, MATCH(1, (INDEX(ReferenceCard,,1)=Table1[[#This Row],[SAP No]]) * (INDEX(ReferenceCard,,2)=Table1[[#This Row],[Mould No]]), 0), 3),)</f>
        <v>BC28-0056-D-APH-LEB-604001-MOLD2</v>
      </c>
      <c r="H903">
        <v>0</v>
      </c>
      <c r="I903" cm="1">
        <f t="array" ref="I903">IFERROR(INDEX(ReferenceCard, MATCH(1, (INDEX(ReferenceCard,,1)=Table1[[#This Row],[SAP No]]) * (INDEX(ReferenceCard,,2)=Table1[[#This Row],[Mould No]]), 0), 4),)</f>
        <v>6</v>
      </c>
      <c r="J903" s="4" cm="1">
        <f t="array" ref="J903">IFERROR(INDEX(ReferenceCard, MATCH(1, (INDEX(ReferenceCard,,1)=Table1[[#This Row],[SAP No]]) * (INDEX(ReferenceCard,,2)=Table1[[#This Row],[Mould No]]), 0), 9),)</f>
        <v>12.3</v>
      </c>
      <c r="K903" s="4" cm="1">
        <f t="array" ref="K903">IFERROR(INDEX(ReferenceCard, MATCH(1, (INDEX(ReferenceCard,,1)=Table1[[#This Row],[SAP No]]) * (INDEX(ReferenceCard,,2)=Table1[[#This Row],[Mould No]]), 0), 7),)</f>
        <v>12.3</v>
      </c>
      <c r="L903">
        <v>0</v>
      </c>
      <c r="M903">
        <v>0</v>
      </c>
      <c r="N903">
        <v>0</v>
      </c>
      <c r="O903">
        <v>0</v>
      </c>
      <c r="P903">
        <f>Table1[[#This Row],[Shot]]*Table1[[#This Row],[Cav]]</f>
        <v>0</v>
      </c>
      <c r="Q903">
        <v>0</v>
      </c>
      <c r="R903">
        <f>(Table1[[#This Row],[Part Weight (gm)]]*Table1[[#This Row],[Finish Good]])/1000</f>
        <v>0</v>
      </c>
      <c r="S903">
        <v>0</v>
      </c>
      <c r="T903">
        <f>IF(Table1[[#This Row],[Qty Order]]="Sample","-",IF(Table1[[#This Row],[Qty Order]]="RTFN","-",Table1[[#This Row],[Qty Order]]-Table1[[#This Row],[Qty Accumulate]]))</f>
        <v>0</v>
      </c>
      <c r="U903">
        <f>((Table1[[#This Row],[Shift Output]]*Table1[[#This Row],[Part Weight (gm)]])/1000)+Table1[[#This Row],[Reject Startup (kg)]]+Table1[[#This Row],[Reject Purging (kg)]]+Table1[[#This Row],[Reject Preform (kg)]]</f>
        <v>0</v>
      </c>
      <c r="V903" s="37">
        <f>(Table1[[#This Row],[Gross Weight (gm)]]-Table1[[#This Row],[Part Weight (gm)]])*Table1[[#This Row],[Shift Output]]/1000</f>
        <v>0</v>
      </c>
      <c r="W903" s="3">
        <v>0</v>
      </c>
      <c r="X903" s="36" t="e">
        <f>Table1[[#This Row],[Reject Startup (kg)]]/Table1[[#This Row],[Material Used]]</f>
        <v>#DIV/0!</v>
      </c>
      <c r="Y903" s="3">
        <v>0</v>
      </c>
      <c r="Z903" s="36" t="e">
        <f>Table1[[#This Row],[Reject Prod (kg)]]/Table1[[#This Row],[Material Used]]</f>
        <v>#DIV/0!</v>
      </c>
      <c r="AA903" s="4">
        <v>0</v>
      </c>
      <c r="AB903" s="5">
        <v>0</v>
      </c>
      <c r="AC903" s="4" cm="1">
        <f t="array" ref="AC903">IFERROR(INDEX(ReferenceCard, MATCH(1, (INDEX(ReferenceCard,,1)=Table1[[#This Row],[SAP No]]) * (INDEX(ReferenceCard,,2)=Table1[[#This Row],[Mould No]]), 0), 9),)</f>
        <v>12.3</v>
      </c>
      <c r="AD903" s="5">
        <v>0</v>
      </c>
      <c r="AE903" s="5">
        <v>0</v>
      </c>
      <c r="AF903" s="5">
        <v>0</v>
      </c>
      <c r="AG903" s="5">
        <v>10.47</v>
      </c>
      <c r="AH903" s="5">
        <v>0</v>
      </c>
      <c r="AI903" s="5">
        <v>0</v>
      </c>
      <c r="AJ903" s="5">
        <v>0</v>
      </c>
      <c r="AL903" s="2"/>
      <c r="AM903" s="2"/>
      <c r="AN903" s="3">
        <v>0</v>
      </c>
      <c r="AO903" s="3">
        <v>0</v>
      </c>
      <c r="AP903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04" spans="1:42" x14ac:dyDescent="0.35">
      <c r="A904" s="1">
        <v>45993</v>
      </c>
      <c r="B904">
        <v>2</v>
      </c>
      <c r="C904" t="s">
        <v>16</v>
      </c>
      <c r="D904" t="str" cm="1">
        <f t="array" ref="D904">IFERROR(INDEX(ReferenceCard, MATCH(1, (INDEX(ReferenceCard,,1)=Table1[[#This Row],[SAP No]]) * (INDEX(ReferenceCard,,2)=Table1[[#This Row],[Mould No]]), 0), 6),)</f>
        <v>PET</v>
      </c>
      <c r="E904">
        <v>323092</v>
      </c>
      <c r="F904">
        <v>0</v>
      </c>
      <c r="G904" t="str" cm="1">
        <f t="array" ref="G904">IFERROR(INDEX(ReferenceCard, MATCH(1, (INDEX(ReferenceCard,,1)=Table1[[#This Row],[SAP No]]) * (INDEX(ReferenceCard,,2)=Table1[[#This Row],[Mould No]]), 0), 3),)</f>
        <v>BX38-1000-GH-R-CL(GREEN) (ASEM)</v>
      </c>
      <c r="H904">
        <v>0</v>
      </c>
      <c r="I904" cm="1">
        <f t="array" ref="I904">IFERROR(INDEX(ReferenceCard, MATCH(1, (INDEX(ReferenceCard,,1)=Table1[[#This Row],[SAP No]]) * (INDEX(ReferenceCard,,2)=Table1[[#This Row],[Mould No]]), 0), 4),)</f>
        <v>4</v>
      </c>
      <c r="J904" s="4" cm="1">
        <f t="array" ref="J904">IFERROR(INDEX(ReferenceCard, MATCH(1, (INDEX(ReferenceCard,,1)=Table1[[#This Row],[SAP No]]) * (INDEX(ReferenceCard,,2)=Table1[[#This Row],[Mould No]]), 0), 9),)</f>
        <v>48.9</v>
      </c>
      <c r="K904" s="4" cm="1">
        <f t="array" ref="K904">IFERROR(INDEX(ReferenceCard, MATCH(1, (INDEX(ReferenceCard,,1)=Table1[[#This Row],[SAP No]]) * (INDEX(ReferenceCard,,2)=Table1[[#This Row],[Mould No]]), 0), 7),)</f>
        <v>48.9</v>
      </c>
      <c r="L904">
        <v>2456</v>
      </c>
      <c r="M904">
        <v>0</v>
      </c>
      <c r="N904">
        <v>0</v>
      </c>
      <c r="O904">
        <v>0</v>
      </c>
      <c r="P904">
        <f>Table1[[#This Row],[Shot]]*Table1[[#This Row],[Cav]]</f>
        <v>9824</v>
      </c>
      <c r="Q904">
        <v>0</v>
      </c>
      <c r="R904">
        <f>(Table1[[#This Row],[Part Weight (gm)]]*Table1[[#This Row],[Finish Good]])/1000</f>
        <v>0</v>
      </c>
      <c r="S904">
        <v>0</v>
      </c>
      <c r="T904">
        <f>IF(Table1[[#This Row],[Qty Order]]="Sample","-",IF(Table1[[#This Row],[Qty Order]]="RTFN","-",Table1[[#This Row],[Qty Order]]-Table1[[#This Row],[Qty Accumulate]]))</f>
        <v>0</v>
      </c>
      <c r="U904">
        <f>((Table1[[#This Row],[Shift Output]]*Table1[[#This Row],[Part Weight (gm)]])/1000)+Table1[[#This Row],[Reject Startup (kg)]]+Table1[[#This Row],[Reject Purging (kg)]]+Table1[[#This Row],[Reject Preform (kg)]]</f>
        <v>480.39359999999999</v>
      </c>
      <c r="V904" s="37">
        <f>(Table1[[#This Row],[Gross Weight (gm)]]-Table1[[#This Row],[Part Weight (gm)]])*Table1[[#This Row],[Shift Output]]/1000</f>
        <v>0</v>
      </c>
      <c r="W904" s="3">
        <v>0</v>
      </c>
      <c r="X904" s="36">
        <f>Table1[[#This Row],[Reject Startup (kg)]]/Table1[[#This Row],[Material Used]]</f>
        <v>0</v>
      </c>
      <c r="Y904" s="3">
        <v>6</v>
      </c>
      <c r="Z904" s="36">
        <f>Table1[[#This Row],[Reject Prod (kg)]]/Table1[[#This Row],[Material Used]]</f>
        <v>1.2489758398113547E-2</v>
      </c>
      <c r="AA904" s="4">
        <v>29.8814678192138</v>
      </c>
      <c r="AB904" s="5">
        <v>0.04</v>
      </c>
      <c r="AC904" s="4" cm="1">
        <f t="array" ref="AC904">IFERROR(INDEX(ReferenceCard, MATCH(1, (INDEX(ReferenceCard,,1)=Table1[[#This Row],[SAP No]]) * (INDEX(ReferenceCard,,2)=Table1[[#This Row],[Mould No]]), 0), 9),)</f>
        <v>48.9</v>
      </c>
      <c r="AD904" s="5">
        <v>0</v>
      </c>
      <c r="AE904" s="5">
        <v>0</v>
      </c>
      <c r="AF904" s="5">
        <v>0</v>
      </c>
      <c r="AG904" s="5">
        <v>8.49</v>
      </c>
      <c r="AH904" s="5">
        <v>1.93999999999999</v>
      </c>
      <c r="AI904" s="5">
        <v>0</v>
      </c>
      <c r="AJ904" s="5">
        <v>0</v>
      </c>
      <c r="AL904" s="2"/>
      <c r="AM904" s="2"/>
      <c r="AN904" s="3">
        <v>0</v>
      </c>
      <c r="AO904" s="3">
        <v>0</v>
      </c>
      <c r="AP904" s="6">
        <f>((Table1[[#This Row],[Reject Startup (kg)]]+Table1[[#This Row],[Reject Prod (kg)]]+Table1[[#This Row],[Reject Purging (kg)]]+Table1[[#This Row],[Reject Preform (kg)]])/Table1[[#This Row],[Part Weight (gm)]])*1000</f>
        <v>122.69938650306749</v>
      </c>
    </row>
    <row r="905" spans="1:42" x14ac:dyDescent="0.35">
      <c r="A905" s="1">
        <v>45993</v>
      </c>
      <c r="B905">
        <v>2</v>
      </c>
      <c r="C905" t="s">
        <v>14</v>
      </c>
      <c r="D905" t="str" cm="1">
        <f t="array" ref="D905">IFERROR(INDEX(ReferenceCard, MATCH(1, (INDEX(ReferenceCard,,1)=Table1[[#This Row],[SAP No]]) * (INDEX(ReferenceCard,,2)=Table1[[#This Row],[Mould No]]), 0), 6),)</f>
        <v>PET</v>
      </c>
      <c r="E905">
        <v>324165</v>
      </c>
      <c r="F905">
        <v>0</v>
      </c>
      <c r="G905" t="str" cm="1">
        <f t="array" ref="G905">IFERROR(INDEX(ReferenceCard, MATCH(1, (INDEX(ReferenceCard,,1)=Table1[[#This Row],[SAP No]]) * (INDEX(ReferenceCard,,2)=Table1[[#This Row],[Mould No]]), 0), 3),)</f>
        <v>JJ63-0400-SH-S-WH</v>
      </c>
      <c r="H905">
        <v>0</v>
      </c>
      <c r="I905" cm="1">
        <f t="array" ref="I905">IFERROR(INDEX(ReferenceCard, MATCH(1, (INDEX(ReferenceCard,,1)=Table1[[#This Row],[SAP No]]) * (INDEX(ReferenceCard,,2)=Table1[[#This Row],[Mould No]]), 0), 4),)</f>
        <v>4</v>
      </c>
      <c r="J905" s="4" cm="1">
        <f t="array" ref="J905">IFERROR(INDEX(ReferenceCard, MATCH(1, (INDEX(ReferenceCard,,1)=Table1[[#This Row],[SAP No]]) * (INDEX(ReferenceCard,,2)=Table1[[#This Row],[Mould No]]), 0), 9),)</f>
        <v>32.56</v>
      </c>
      <c r="K905" s="4" cm="1">
        <f t="array" ref="K905">IFERROR(INDEX(ReferenceCard, MATCH(1, (INDEX(ReferenceCard,,1)=Table1[[#This Row],[SAP No]]) * (INDEX(ReferenceCard,,2)=Table1[[#This Row],[Mould No]]), 0), 7),)</f>
        <v>33</v>
      </c>
      <c r="L905">
        <v>6289</v>
      </c>
      <c r="M905">
        <v>0</v>
      </c>
      <c r="N905">
        <v>0</v>
      </c>
      <c r="O905">
        <v>0</v>
      </c>
      <c r="P905">
        <f>Table1[[#This Row],[Shot]]*Table1[[#This Row],[Cav]]</f>
        <v>25156</v>
      </c>
      <c r="Q905">
        <v>0</v>
      </c>
      <c r="R905">
        <f>(Table1[[#This Row],[Part Weight (gm)]]*Table1[[#This Row],[Finish Good]])/1000</f>
        <v>0</v>
      </c>
      <c r="S905">
        <v>0</v>
      </c>
      <c r="T905">
        <f>IF(Table1[[#This Row],[Qty Order]]="Sample","-",IF(Table1[[#This Row],[Qty Order]]="RTFN","-",Table1[[#This Row],[Qty Order]]-Table1[[#This Row],[Qty Accumulate]]))</f>
        <v>0</v>
      </c>
      <c r="U905">
        <f>((Table1[[#This Row],[Shift Output]]*Table1[[#This Row],[Part Weight (gm)]])/1000)+Table1[[#This Row],[Reject Startup (kg)]]+Table1[[#This Row],[Reject Purging (kg)]]+Table1[[#This Row],[Reject Preform (kg)]]</f>
        <v>855.14800000000002</v>
      </c>
      <c r="V905" s="37">
        <f>(Table1[[#This Row],[Gross Weight (gm)]]-Table1[[#This Row],[Part Weight (gm)]])*Table1[[#This Row],[Shift Output]]/1000</f>
        <v>-11.068639999999943</v>
      </c>
      <c r="W905" s="3">
        <v>25</v>
      </c>
      <c r="X905" s="36">
        <f>Table1[[#This Row],[Reject Startup (kg)]]/Table1[[#This Row],[Material Used]]</f>
        <v>2.9234705571433248E-2</v>
      </c>
      <c r="Y905" s="3">
        <v>1</v>
      </c>
      <c r="Z905" s="36">
        <f>Table1[[#This Row],[Reject Prod (kg)]]/Table1[[#This Row],[Material Used]]</f>
        <v>1.16938822285733E-3</v>
      </c>
      <c r="AA905" s="4">
        <v>0</v>
      </c>
      <c r="AB905" s="5">
        <v>6.12</v>
      </c>
      <c r="AC905" s="4" cm="1">
        <f t="array" ref="AC905">IFERROR(INDEX(ReferenceCard, MATCH(1, (INDEX(ReferenceCard,,1)=Table1[[#This Row],[SAP No]]) * (INDEX(ReferenceCard,,2)=Table1[[#This Row],[Mould No]]), 0), 9),)</f>
        <v>32.56</v>
      </c>
      <c r="AD905" s="5">
        <v>0</v>
      </c>
      <c r="AE905" s="5">
        <v>0</v>
      </c>
      <c r="AF905" s="5">
        <v>0.96999999999999897</v>
      </c>
      <c r="AG905" s="5">
        <v>0</v>
      </c>
      <c r="AH905" s="5">
        <v>3.3799999999999901</v>
      </c>
      <c r="AI905" s="5">
        <v>0</v>
      </c>
      <c r="AJ905" s="5">
        <v>0</v>
      </c>
      <c r="AK905" t="s">
        <v>226</v>
      </c>
      <c r="AL905" s="2" t="s">
        <v>227</v>
      </c>
      <c r="AM905" s="2"/>
      <c r="AN905" s="3"/>
      <c r="AO905" s="3">
        <v>0</v>
      </c>
      <c r="AP905" s="6">
        <f>((Table1[[#This Row],[Reject Startup (kg)]]+Table1[[#This Row],[Reject Prod (kg)]]+Table1[[#This Row],[Reject Purging (kg)]]+Table1[[#This Row],[Reject Preform (kg)]])/Table1[[#This Row],[Part Weight (gm)]])*1000</f>
        <v>787.87878787878788</v>
      </c>
    </row>
    <row r="906" spans="1:42" x14ac:dyDescent="0.35">
      <c r="A906" s="1">
        <v>45993</v>
      </c>
      <c r="B906">
        <v>2</v>
      </c>
      <c r="C906" t="s">
        <v>11</v>
      </c>
      <c r="D906" t="str" cm="1">
        <f t="array" ref="D906">IFERROR(INDEX(ReferenceCard, MATCH(1, (INDEX(ReferenceCard,,1)=Table1[[#This Row],[SAP No]]) * (INDEX(ReferenceCard,,2)=Table1[[#This Row],[Mould No]]), 0), 6),)</f>
        <v>rPET</v>
      </c>
      <c r="E906">
        <v>620994</v>
      </c>
      <c r="F906">
        <v>0</v>
      </c>
      <c r="G906" t="str" cm="1">
        <f t="array" ref="G906">IFERROR(INDEX(ReferenceCard, MATCH(1, (INDEX(ReferenceCard,,1)=Table1[[#This Row],[SAP No]]) * (INDEX(ReferenceCard,,2)=Table1[[#This Row],[Mould No]]), 0), 3),)</f>
        <v>JJ63-0400-SH-S-CL-rPET</v>
      </c>
      <c r="H906">
        <v>0</v>
      </c>
      <c r="I906" cm="1">
        <f t="array" ref="I906">IFERROR(INDEX(ReferenceCard, MATCH(1, (INDEX(ReferenceCard,,1)=Table1[[#This Row],[SAP No]]) * (INDEX(ReferenceCard,,2)=Table1[[#This Row],[Mould No]]), 0), 4),)</f>
        <v>4</v>
      </c>
      <c r="J906" s="4" cm="1">
        <f t="array" ref="J906">IFERROR(INDEX(ReferenceCard, MATCH(1, (INDEX(ReferenceCard,,1)=Table1[[#This Row],[SAP No]]) * (INDEX(ReferenceCard,,2)=Table1[[#This Row],[Mould No]]), 0), 9),)</f>
        <v>32.74</v>
      </c>
      <c r="K906" s="4" cm="1">
        <f t="array" ref="K906">IFERROR(INDEX(ReferenceCard, MATCH(1, (INDEX(ReferenceCard,,1)=Table1[[#This Row],[SAP No]]) * (INDEX(ReferenceCard,,2)=Table1[[#This Row],[Mould No]]), 0), 7),)</f>
        <v>33</v>
      </c>
      <c r="L906">
        <v>1713</v>
      </c>
      <c r="M906">
        <v>0</v>
      </c>
      <c r="N906">
        <v>0</v>
      </c>
      <c r="O906">
        <v>0</v>
      </c>
      <c r="P906">
        <f>Table1[[#This Row],[Shot]]*Table1[[#This Row],[Cav]]</f>
        <v>6852</v>
      </c>
      <c r="Q906">
        <v>0</v>
      </c>
      <c r="R906">
        <f>(Table1[[#This Row],[Part Weight (gm)]]*Table1[[#This Row],[Finish Good]])/1000</f>
        <v>0</v>
      </c>
      <c r="S906">
        <v>0</v>
      </c>
      <c r="T906">
        <f>IF(Table1[[#This Row],[Qty Order]]="Sample","-",IF(Table1[[#This Row],[Qty Order]]="RTFN","-",Table1[[#This Row],[Qty Order]]-Table1[[#This Row],[Qty Accumulate]]))</f>
        <v>0</v>
      </c>
      <c r="U906">
        <f>((Table1[[#This Row],[Shift Output]]*Table1[[#This Row],[Part Weight (gm)]])/1000)+Table1[[#This Row],[Reject Startup (kg)]]+Table1[[#This Row],[Reject Purging (kg)]]+Table1[[#This Row],[Reject Preform (kg)]]</f>
        <v>226.11600000000001</v>
      </c>
      <c r="V906" s="37">
        <f>(Table1[[#This Row],[Gross Weight (gm)]]-Table1[[#This Row],[Part Weight (gm)]])*Table1[[#This Row],[Shift Output]]/1000</f>
        <v>-1.7815199999999864</v>
      </c>
      <c r="W906" s="3">
        <v>0</v>
      </c>
      <c r="X906" s="36">
        <f>Table1[[#This Row],[Reject Startup (kg)]]/Table1[[#This Row],[Material Used]]</f>
        <v>0</v>
      </c>
      <c r="Y906" s="3">
        <v>4</v>
      </c>
      <c r="Z906" s="36">
        <f>Table1[[#This Row],[Reject Prod (kg)]]/Table1[[#This Row],[Material Used]]</f>
        <v>1.7690035203170053E-2</v>
      </c>
      <c r="AA906" s="4">
        <v>24.316856384277301</v>
      </c>
      <c r="AB906" s="5">
        <v>0</v>
      </c>
      <c r="AC906" s="4" cm="1">
        <f t="array" ref="AC906">IFERROR(INDEX(ReferenceCard, MATCH(1, (INDEX(ReferenceCard,,1)=Table1[[#This Row],[SAP No]]) * (INDEX(ReferenceCard,,2)=Table1[[#This Row],[Mould No]]), 0), 9),)</f>
        <v>32.74</v>
      </c>
      <c r="AD906" s="5">
        <v>0</v>
      </c>
      <c r="AE906" s="5">
        <v>0</v>
      </c>
      <c r="AF906" s="5">
        <v>0</v>
      </c>
      <c r="AG906" s="5">
        <v>10.47</v>
      </c>
      <c r="AH906" s="5">
        <v>0</v>
      </c>
      <c r="AI906" s="5">
        <v>0</v>
      </c>
      <c r="AJ906" s="5">
        <v>0</v>
      </c>
      <c r="AL906" s="2"/>
      <c r="AM906" s="2"/>
      <c r="AN906" s="3">
        <v>0</v>
      </c>
      <c r="AO906" s="3">
        <v>0</v>
      </c>
      <c r="AP906" s="6">
        <f>((Table1[[#This Row],[Reject Startup (kg)]]+Table1[[#This Row],[Reject Prod (kg)]]+Table1[[#This Row],[Reject Purging (kg)]]+Table1[[#This Row],[Reject Preform (kg)]])/Table1[[#This Row],[Part Weight (gm)]])*1000</f>
        <v>121.21212121212122</v>
      </c>
    </row>
    <row r="907" spans="1:42" x14ac:dyDescent="0.35">
      <c r="A907" s="1">
        <v>45993</v>
      </c>
      <c r="B907">
        <v>2</v>
      </c>
      <c r="C907" t="s">
        <v>9</v>
      </c>
      <c r="D907" t="str" cm="1">
        <f t="array" ref="D907">IFERROR(INDEX(ReferenceCard, MATCH(1, (INDEX(ReferenceCard,,1)=Table1[[#This Row],[SAP No]]) * (INDEX(ReferenceCard,,2)=Table1[[#This Row],[Mould No]]), 0), 6),)</f>
        <v>rPET</v>
      </c>
      <c r="E907">
        <v>593537</v>
      </c>
      <c r="F907">
        <v>0</v>
      </c>
      <c r="G907" t="str" cm="1">
        <f t="array" ref="G907">IFERROR(INDEX(ReferenceCard, MATCH(1, (INDEX(ReferenceCard,,1)=Table1[[#This Row],[SAP No]]) * (INDEX(ReferenceCard,,2)=Table1[[#This Row],[Mould No]]), 0), 3),)</f>
        <v>BX38-1000-RN-R-CL-rPET</v>
      </c>
      <c r="H907">
        <v>0</v>
      </c>
      <c r="I907" cm="1">
        <f t="array" ref="I907">IFERROR(INDEX(ReferenceCard, MATCH(1, (INDEX(ReferenceCard,,1)=Table1[[#This Row],[SAP No]]) * (INDEX(ReferenceCard,,2)=Table1[[#This Row],[Mould No]]), 0), 4),)</f>
        <v>4</v>
      </c>
      <c r="J907" s="4" cm="1">
        <f t="array" ref="J907">IFERROR(INDEX(ReferenceCard, MATCH(1, (INDEX(ReferenceCard,,1)=Table1[[#This Row],[SAP No]]) * (INDEX(ReferenceCard,,2)=Table1[[#This Row],[Mould No]]), 0), 9),)</f>
        <v>56.5</v>
      </c>
      <c r="K907" s="4" cm="1">
        <f t="array" ref="K907">IFERROR(INDEX(ReferenceCard, MATCH(1, (INDEX(ReferenceCard,,1)=Table1[[#This Row],[SAP No]]) * (INDEX(ReferenceCard,,2)=Table1[[#This Row],[Mould No]]), 0), 7),)</f>
        <v>56.8</v>
      </c>
      <c r="L907">
        <v>9844</v>
      </c>
      <c r="M907">
        <v>0</v>
      </c>
      <c r="N907">
        <v>0</v>
      </c>
      <c r="O907">
        <v>0</v>
      </c>
      <c r="P907">
        <f>Table1[[#This Row],[Shot]]*Table1[[#This Row],[Cav]]</f>
        <v>39376</v>
      </c>
      <c r="Q907">
        <v>0</v>
      </c>
      <c r="R907">
        <f>(Table1[[#This Row],[Part Weight (gm)]]*Table1[[#This Row],[Finish Good]])/1000</f>
        <v>0</v>
      </c>
      <c r="S907">
        <v>0</v>
      </c>
      <c r="T907">
        <f>IF(Table1[[#This Row],[Qty Order]]="Sample","-",IF(Table1[[#This Row],[Qty Order]]="RTFN","-",Table1[[#This Row],[Qty Order]]-Table1[[#This Row],[Qty Accumulate]]))</f>
        <v>0</v>
      </c>
      <c r="U907">
        <f>((Table1[[#This Row],[Shift Output]]*Table1[[#This Row],[Part Weight (gm)]])/1000)+Table1[[#This Row],[Reject Startup (kg)]]+Table1[[#This Row],[Reject Purging (kg)]]+Table1[[#This Row],[Reject Preform (kg)]]</f>
        <v>2236.5567999999998</v>
      </c>
      <c r="V907" s="37">
        <f>(Table1[[#This Row],[Gross Weight (gm)]]-Table1[[#This Row],[Part Weight (gm)]])*Table1[[#This Row],[Shift Output]]/1000</f>
        <v>-11.812799999999889</v>
      </c>
      <c r="W907" s="3">
        <v>0</v>
      </c>
      <c r="X907" s="36">
        <f>Table1[[#This Row],[Reject Startup (kg)]]/Table1[[#This Row],[Material Used]]</f>
        <v>0</v>
      </c>
      <c r="Y907" s="3">
        <v>7</v>
      </c>
      <c r="Z907" s="36">
        <f>Table1[[#This Row],[Reject Prod (kg)]]/Table1[[#This Row],[Material Used]]</f>
        <v>3.1298109665714728E-3</v>
      </c>
      <c r="AA907" s="4">
        <v>28.894960403442301</v>
      </c>
      <c r="AB907" s="5">
        <v>2.2400000000000002</v>
      </c>
      <c r="AC907" s="4" cm="1">
        <f t="array" ref="AC907">IFERROR(INDEX(ReferenceCard, MATCH(1, (INDEX(ReferenceCard,,1)=Table1[[#This Row],[SAP No]]) * (INDEX(ReferenceCard,,2)=Table1[[#This Row],[Mould No]]), 0), 9),)</f>
        <v>56.5</v>
      </c>
      <c r="AD907" s="5">
        <v>0</v>
      </c>
      <c r="AE907" s="5">
        <v>0</v>
      </c>
      <c r="AF907" s="5">
        <v>0</v>
      </c>
      <c r="AG907" s="5">
        <v>8.0199999999999907</v>
      </c>
      <c r="AH907" s="5">
        <v>0.20999999999999899</v>
      </c>
      <c r="AI907" s="5">
        <v>0</v>
      </c>
      <c r="AJ907" s="5">
        <v>0</v>
      </c>
      <c r="AK907" t="s">
        <v>228</v>
      </c>
      <c r="AL907" s="2"/>
      <c r="AM907" s="2"/>
      <c r="AN907" s="3">
        <v>0</v>
      </c>
      <c r="AO907" s="3">
        <v>0</v>
      </c>
      <c r="AP907" s="6">
        <f>((Table1[[#This Row],[Reject Startup (kg)]]+Table1[[#This Row],[Reject Prod (kg)]]+Table1[[#This Row],[Reject Purging (kg)]]+Table1[[#This Row],[Reject Preform (kg)]])/Table1[[#This Row],[Part Weight (gm)]])*1000</f>
        <v>123.23943661971832</v>
      </c>
    </row>
    <row r="908" spans="1:42" x14ac:dyDescent="0.35">
      <c r="A908" s="1">
        <v>45993</v>
      </c>
      <c r="B908">
        <v>2</v>
      </c>
      <c r="C908" t="s">
        <v>7</v>
      </c>
      <c r="D908" t="str" cm="1">
        <f t="array" ref="D908">IFERROR(INDEX(ReferenceCard, MATCH(1, (INDEX(ReferenceCard,,1)=Table1[[#This Row],[SAP No]]) * (INDEX(ReferenceCard,,2)=Table1[[#This Row],[Mould No]]), 0), 6),)</f>
        <v>PET</v>
      </c>
      <c r="E908">
        <v>426555</v>
      </c>
      <c r="F908">
        <v>0</v>
      </c>
      <c r="G908" t="str" cm="1">
        <f t="array" ref="G908">IFERROR(INDEX(ReferenceCard, MATCH(1, (INDEX(ReferenceCard,,1)=Table1[[#This Row],[SAP No]]) * (INDEX(ReferenceCard,,2)=Table1[[#This Row],[Mould No]]), 0), 3),)</f>
        <v>BX38-0330-Z-S-CL-HW</v>
      </c>
      <c r="H908">
        <v>0</v>
      </c>
      <c r="I908" cm="1">
        <f t="array" ref="I908">IFERROR(INDEX(ReferenceCard, MATCH(1, (INDEX(ReferenceCard,,1)=Table1[[#This Row],[SAP No]]) * (INDEX(ReferenceCard,,2)=Table1[[#This Row],[Mould No]]), 0), 4),)</f>
        <v>4</v>
      </c>
      <c r="J908" s="4" cm="1">
        <f t="array" ref="J908">IFERROR(INDEX(ReferenceCard, MATCH(1, (INDEX(ReferenceCard,,1)=Table1[[#This Row],[SAP No]]) * (INDEX(ReferenceCard,,2)=Table1[[#This Row],[Mould No]]), 0), 9),)</f>
        <v>29</v>
      </c>
      <c r="K908" s="4" cm="1">
        <f t="array" ref="K908">IFERROR(INDEX(ReferenceCard, MATCH(1, (INDEX(ReferenceCard,,1)=Table1[[#This Row],[SAP No]]) * (INDEX(ReferenceCard,,2)=Table1[[#This Row],[Mould No]]), 0), 7),)</f>
        <v>29</v>
      </c>
      <c r="L908">
        <v>1534</v>
      </c>
      <c r="M908">
        <v>0</v>
      </c>
      <c r="N908">
        <v>0</v>
      </c>
      <c r="O908">
        <v>0</v>
      </c>
      <c r="P908">
        <f>Table1[[#This Row],[Shot]]*Table1[[#This Row],[Cav]]</f>
        <v>6136</v>
      </c>
      <c r="Q908">
        <v>0</v>
      </c>
      <c r="R908">
        <f>(Table1[[#This Row],[Part Weight (gm)]]*Table1[[#This Row],[Finish Good]])/1000</f>
        <v>0</v>
      </c>
      <c r="S908">
        <v>0</v>
      </c>
      <c r="T908">
        <f>IF(Table1[[#This Row],[Qty Order]]="Sample","-",IF(Table1[[#This Row],[Qty Order]]="RTFN","-",Table1[[#This Row],[Qty Order]]-Table1[[#This Row],[Qty Accumulate]]))</f>
        <v>0</v>
      </c>
      <c r="U908">
        <f>((Table1[[#This Row],[Shift Output]]*Table1[[#This Row],[Part Weight (gm)]])/1000)+Table1[[#This Row],[Reject Startup (kg)]]+Table1[[#This Row],[Reject Purging (kg)]]+Table1[[#This Row],[Reject Preform (kg)]]</f>
        <v>185.94399999999999</v>
      </c>
      <c r="V908" s="37">
        <f>(Table1[[#This Row],[Gross Weight (gm)]]-Table1[[#This Row],[Part Weight (gm)]])*Table1[[#This Row],[Shift Output]]/1000</f>
        <v>0</v>
      </c>
      <c r="W908" s="3">
        <v>8</v>
      </c>
      <c r="X908" s="36">
        <f>Table1[[#This Row],[Reject Startup (kg)]]/Table1[[#This Row],[Material Used]]</f>
        <v>4.3023706062040187E-2</v>
      </c>
      <c r="Y908" s="3">
        <v>0</v>
      </c>
      <c r="Z908" s="36">
        <f>Table1[[#This Row],[Reject Prod (kg)]]/Table1[[#This Row],[Material Used]]</f>
        <v>0</v>
      </c>
      <c r="AA908" s="4">
        <v>0</v>
      </c>
      <c r="AB908" s="5">
        <v>0.59999999999999898</v>
      </c>
      <c r="AC908" s="4" cm="1">
        <f t="array" ref="AC908">IFERROR(INDEX(ReferenceCard, MATCH(1, (INDEX(ReferenceCard,,1)=Table1[[#This Row],[SAP No]]) * (INDEX(ReferenceCard,,2)=Table1[[#This Row],[Mould No]]), 0), 9),)</f>
        <v>29</v>
      </c>
      <c r="AD908" s="5">
        <v>0</v>
      </c>
      <c r="AE908" s="5">
        <v>0</v>
      </c>
      <c r="AF908" s="5">
        <v>0</v>
      </c>
      <c r="AG908" s="5">
        <v>0</v>
      </c>
      <c r="AH908" s="5">
        <v>8.0299999999999905</v>
      </c>
      <c r="AI908" s="5">
        <v>1.85</v>
      </c>
      <c r="AJ908" s="5">
        <v>0</v>
      </c>
      <c r="AL908" s="2"/>
      <c r="AM908" s="2"/>
      <c r="AN908" s="3">
        <v>0</v>
      </c>
      <c r="AO908" s="3">
        <v>0</v>
      </c>
      <c r="AP908" s="6">
        <f>((Table1[[#This Row],[Reject Startup (kg)]]+Table1[[#This Row],[Reject Prod (kg)]]+Table1[[#This Row],[Reject Purging (kg)]]+Table1[[#This Row],[Reject Preform (kg)]])/Table1[[#This Row],[Part Weight (gm)]])*1000</f>
        <v>275.86206896551721</v>
      </c>
    </row>
    <row r="909" spans="1:42" x14ac:dyDescent="0.35">
      <c r="A909" s="1">
        <v>45993</v>
      </c>
      <c r="B909">
        <v>2</v>
      </c>
      <c r="C909" t="s">
        <v>5</v>
      </c>
      <c r="D909" t="str" cm="1">
        <f t="array" ref="D909">IFERROR(INDEX(ReferenceCard, MATCH(1, (INDEX(ReferenceCard,,1)=Table1[[#This Row],[SAP No]]) * (INDEX(ReferenceCard,,2)=Table1[[#This Row],[Mould No]]), 0), 6),)</f>
        <v>PET</v>
      </c>
      <c r="E909">
        <v>543590</v>
      </c>
      <c r="F909">
        <v>0</v>
      </c>
      <c r="G909" t="str" cm="1">
        <f t="array" ref="G909">IFERROR(INDEX(ReferenceCard, MATCH(1, (INDEX(ReferenceCard,,1)=Table1[[#This Row],[SAP No]]) * (INDEX(ReferenceCard,,2)=Table1[[#This Row],[Mould No]]), 0), 3),)</f>
        <v>BC28-0130-R-R-AM</v>
      </c>
      <c r="H909">
        <v>0</v>
      </c>
      <c r="I909" cm="1">
        <f t="array" ref="I909">IFERROR(INDEX(ReferenceCard, MATCH(1, (INDEX(ReferenceCard,,1)=Table1[[#This Row],[SAP No]]) * (INDEX(ReferenceCard,,2)=Table1[[#This Row],[Mould No]]), 0), 4),)</f>
        <v>4</v>
      </c>
      <c r="J909" s="4" cm="1">
        <f t="array" ref="J909">IFERROR(INDEX(ReferenceCard, MATCH(1, (INDEX(ReferenceCard,,1)=Table1[[#This Row],[SAP No]]) * (INDEX(ReferenceCard,,2)=Table1[[#This Row],[Mould No]]), 0), 9),)</f>
        <v>19</v>
      </c>
      <c r="K909" s="4" cm="1">
        <f t="array" ref="K909">IFERROR(INDEX(ReferenceCard, MATCH(1, (INDEX(ReferenceCard,,1)=Table1[[#This Row],[SAP No]]) * (INDEX(ReferenceCard,,2)=Table1[[#This Row],[Mould No]]), 0), 7),)</f>
        <v>19</v>
      </c>
      <c r="L909">
        <v>4021</v>
      </c>
      <c r="M909">
        <v>0</v>
      </c>
      <c r="N909">
        <v>0</v>
      </c>
      <c r="O909">
        <v>0</v>
      </c>
      <c r="P909">
        <f>Table1[[#This Row],[Shot]]*Table1[[#This Row],[Cav]]</f>
        <v>16084</v>
      </c>
      <c r="Q909">
        <v>0</v>
      </c>
      <c r="R909">
        <f>(Table1[[#This Row],[Part Weight (gm)]]*Table1[[#This Row],[Finish Good]])/1000</f>
        <v>0</v>
      </c>
      <c r="S909">
        <v>0</v>
      </c>
      <c r="T909">
        <f>IF(Table1[[#This Row],[Qty Order]]="Sample","-",IF(Table1[[#This Row],[Qty Order]]="RTFN","-",Table1[[#This Row],[Qty Order]]-Table1[[#This Row],[Qty Accumulate]]))</f>
        <v>0</v>
      </c>
      <c r="U909">
        <f>((Table1[[#This Row],[Shift Output]]*Table1[[#This Row],[Part Weight (gm)]])/1000)+Table1[[#This Row],[Reject Startup (kg)]]+Table1[[#This Row],[Reject Purging (kg)]]+Table1[[#This Row],[Reject Preform (kg)]]</f>
        <v>305.596</v>
      </c>
      <c r="V909" s="37">
        <f>(Table1[[#This Row],[Gross Weight (gm)]]-Table1[[#This Row],[Part Weight (gm)]])*Table1[[#This Row],[Shift Output]]/1000</f>
        <v>0</v>
      </c>
      <c r="W909" s="3">
        <v>0</v>
      </c>
      <c r="X909" s="36">
        <f>Table1[[#This Row],[Reject Startup (kg)]]/Table1[[#This Row],[Material Used]]</f>
        <v>0</v>
      </c>
      <c r="Y909" s="3">
        <v>1</v>
      </c>
      <c r="Z909" s="36">
        <f>Table1[[#This Row],[Reject Prod (kg)]]/Table1[[#This Row],[Material Used]]</f>
        <v>3.2722941399756541E-3</v>
      </c>
      <c r="AA909" s="4">
        <v>22.0794353485107</v>
      </c>
      <c r="AB909" s="5">
        <v>10.33</v>
      </c>
      <c r="AC909" s="4" cm="1">
        <f t="array" ref="AC909">IFERROR(INDEX(ReferenceCard, MATCH(1, (INDEX(ReferenceCard,,1)=Table1[[#This Row],[SAP No]]) * (INDEX(ReferenceCard,,2)=Table1[[#This Row],[Mould No]]), 0), 9),)</f>
        <v>19</v>
      </c>
      <c r="AD909" s="5">
        <v>0</v>
      </c>
      <c r="AE909" s="5">
        <v>0</v>
      </c>
      <c r="AF909" s="5">
        <v>0</v>
      </c>
      <c r="AG909" s="5">
        <v>0</v>
      </c>
      <c r="AH909" s="5">
        <v>0.14000000000000001</v>
      </c>
      <c r="AI909" s="5">
        <v>0</v>
      </c>
      <c r="AJ909" s="5">
        <v>0</v>
      </c>
      <c r="AL909" s="2"/>
      <c r="AM909" s="2"/>
      <c r="AN909" s="3">
        <v>0</v>
      </c>
      <c r="AO909" s="3">
        <v>0</v>
      </c>
      <c r="AP909" s="6">
        <f>((Table1[[#This Row],[Reject Startup (kg)]]+Table1[[#This Row],[Reject Prod (kg)]]+Table1[[#This Row],[Reject Purging (kg)]]+Table1[[#This Row],[Reject Preform (kg)]])/Table1[[#This Row],[Part Weight (gm)]])*1000</f>
        <v>52.631578947368418</v>
      </c>
    </row>
    <row r="910" spans="1:42" x14ac:dyDescent="0.35">
      <c r="A910" s="1">
        <v>45993</v>
      </c>
      <c r="B910">
        <v>2</v>
      </c>
      <c r="C910" t="s">
        <v>3</v>
      </c>
      <c r="D910" t="str" cm="1">
        <f t="array" ref="D910">IFERROR(INDEX(ReferenceCard, MATCH(1, (INDEX(ReferenceCard,,1)=Table1[[#This Row],[SAP No]]) * (INDEX(ReferenceCard,,2)=Table1[[#This Row],[Mould No]]), 0), 6),)</f>
        <v>PET</v>
      </c>
      <c r="E910">
        <v>324163</v>
      </c>
      <c r="F910">
        <v>0</v>
      </c>
      <c r="G910" t="str" cm="1">
        <f t="array" ref="G910">IFERROR(INDEX(ReferenceCard, MATCH(1, (INDEX(ReferenceCard,,1)=Table1[[#This Row],[SAP No]]) * (INDEX(ReferenceCard,,2)=Table1[[#This Row],[Mould No]]), 0), 3),)</f>
        <v>BC28-0265-A-Q-CL</v>
      </c>
      <c r="H910">
        <v>0</v>
      </c>
      <c r="I910" cm="1">
        <f t="array" ref="I910">IFERROR(INDEX(ReferenceCard, MATCH(1, (INDEX(ReferenceCard,,1)=Table1[[#This Row],[SAP No]]) * (INDEX(ReferenceCard,,2)=Table1[[#This Row],[Mould No]]), 0), 4),)</f>
        <v>4</v>
      </c>
      <c r="J910" s="4" cm="1">
        <f t="array" ref="J910">IFERROR(INDEX(ReferenceCard, MATCH(1, (INDEX(ReferenceCard,,1)=Table1[[#This Row],[SAP No]]) * (INDEX(ReferenceCard,,2)=Table1[[#This Row],[Mould No]]), 0), 9),)</f>
        <v>24</v>
      </c>
      <c r="K910" s="4" cm="1">
        <f t="array" ref="K910">IFERROR(INDEX(ReferenceCard, MATCH(1, (INDEX(ReferenceCard,,1)=Table1[[#This Row],[SAP No]]) * (INDEX(ReferenceCard,,2)=Table1[[#This Row],[Mould No]]), 0), 7),)</f>
        <v>23.5</v>
      </c>
      <c r="L910">
        <v>3064</v>
      </c>
      <c r="M910">
        <v>0</v>
      </c>
      <c r="N910">
        <v>0</v>
      </c>
      <c r="O910">
        <v>0</v>
      </c>
      <c r="P910">
        <f>Table1[[#This Row],[Shot]]*Table1[[#This Row],[Cav]]</f>
        <v>12256</v>
      </c>
      <c r="Q910">
        <v>0</v>
      </c>
      <c r="R910">
        <f>(Table1[[#This Row],[Part Weight (gm)]]*Table1[[#This Row],[Finish Good]])/1000</f>
        <v>0</v>
      </c>
      <c r="S910">
        <v>0</v>
      </c>
      <c r="T910">
        <f>IF(Table1[[#This Row],[Qty Order]]="Sample","-",IF(Table1[[#This Row],[Qty Order]]="RTFN","-",Table1[[#This Row],[Qty Order]]-Table1[[#This Row],[Qty Accumulate]]))</f>
        <v>0</v>
      </c>
      <c r="U910">
        <f>((Table1[[#This Row],[Shift Output]]*Table1[[#This Row],[Part Weight (gm)]])/1000)+Table1[[#This Row],[Reject Startup (kg)]]+Table1[[#This Row],[Reject Purging (kg)]]+Table1[[#This Row],[Reject Preform (kg)]]</f>
        <v>304.01600000000002</v>
      </c>
      <c r="V910" s="37">
        <f>(Table1[[#This Row],[Gross Weight (gm)]]-Table1[[#This Row],[Part Weight (gm)]])*Table1[[#This Row],[Shift Output]]/1000</f>
        <v>6.1280000000000001</v>
      </c>
      <c r="W910" s="3">
        <v>16</v>
      </c>
      <c r="X910" s="36">
        <f>Table1[[#This Row],[Reject Startup (kg)]]/Table1[[#This Row],[Material Used]]</f>
        <v>5.2628809010052097E-2</v>
      </c>
      <c r="Y910" s="3">
        <v>0</v>
      </c>
      <c r="Z910" s="36">
        <f>Table1[[#This Row],[Reject Prod (kg)]]/Table1[[#This Row],[Material Used]]</f>
        <v>0</v>
      </c>
      <c r="AA910" s="4">
        <v>23.747858047485298</v>
      </c>
      <c r="AB910" s="5">
        <v>2.27999999999999</v>
      </c>
      <c r="AC910" s="4" cm="1">
        <f t="array" ref="AC910">IFERROR(INDEX(ReferenceCard, MATCH(1, (INDEX(ReferenceCard,,1)=Table1[[#This Row],[SAP No]]) * (INDEX(ReferenceCard,,2)=Table1[[#This Row],[Mould No]]), 0), 9),)</f>
        <v>24</v>
      </c>
      <c r="AD910" s="5">
        <v>0</v>
      </c>
      <c r="AE910" s="5">
        <v>1.29</v>
      </c>
      <c r="AF910" s="5">
        <v>0</v>
      </c>
      <c r="AG910" s="5">
        <v>0</v>
      </c>
      <c r="AH910" s="5">
        <v>6.91</v>
      </c>
      <c r="AI910" s="5">
        <v>0</v>
      </c>
      <c r="AJ910" s="5">
        <v>0</v>
      </c>
      <c r="AK910" t="s">
        <v>229</v>
      </c>
      <c r="AL910" s="2" t="s">
        <v>230</v>
      </c>
      <c r="AM910" s="2"/>
      <c r="AN910" s="3"/>
      <c r="AO910" s="3">
        <v>0</v>
      </c>
      <c r="AP910" s="6">
        <f>((Table1[[#This Row],[Reject Startup (kg)]]+Table1[[#This Row],[Reject Prod (kg)]]+Table1[[#This Row],[Reject Purging (kg)]]+Table1[[#This Row],[Reject Preform (kg)]])/Table1[[#This Row],[Part Weight (gm)]])*1000</f>
        <v>680.85106382978722</v>
      </c>
    </row>
    <row r="911" spans="1:42" x14ac:dyDescent="0.35">
      <c r="A911" s="1">
        <v>45993</v>
      </c>
      <c r="B911">
        <v>2</v>
      </c>
      <c r="C911" t="s">
        <v>0</v>
      </c>
      <c r="D911" t="str" cm="1">
        <f t="array" ref="D911">IFERROR(INDEX(ReferenceCard, MATCH(1, (INDEX(ReferenceCard,,1)=Table1[[#This Row],[SAP No]]) * (INDEX(ReferenceCard,,2)=Table1[[#This Row],[Mould No]]), 0), 6),)</f>
        <v>PET</v>
      </c>
      <c r="E911">
        <v>369308</v>
      </c>
      <c r="F911">
        <v>0</v>
      </c>
      <c r="G911" t="str" cm="1">
        <f t="array" ref="G911">IFERROR(INDEX(ReferenceCard, MATCH(1, (INDEX(ReferenceCard,,1)=Table1[[#This Row],[SAP No]]) * (INDEX(ReferenceCard,,2)=Table1[[#This Row],[Mould No]]), 0), 3),)</f>
        <v>BW38-0280-LS-R-RED</v>
      </c>
      <c r="H911">
        <v>0</v>
      </c>
      <c r="I911" cm="1">
        <f t="array" ref="I911">IFERROR(INDEX(ReferenceCard, MATCH(1, (INDEX(ReferenceCard,,1)=Table1[[#This Row],[SAP No]]) * (INDEX(ReferenceCard,,2)=Table1[[#This Row],[Mould No]]), 0), 4),)</f>
        <v>4</v>
      </c>
      <c r="J911" s="4" cm="1">
        <f t="array" ref="J911">IFERROR(INDEX(ReferenceCard, MATCH(1, (INDEX(ReferenceCard,,1)=Table1[[#This Row],[SAP No]]) * (INDEX(ReferenceCard,,2)=Table1[[#This Row],[Mould No]]), 0), 9),)</f>
        <v>31</v>
      </c>
      <c r="K911" s="4" cm="1">
        <f t="array" ref="K911">IFERROR(INDEX(ReferenceCard, MATCH(1, (INDEX(ReferenceCard,,1)=Table1[[#This Row],[SAP No]]) * (INDEX(ReferenceCard,,2)=Table1[[#This Row],[Mould No]]), 0), 7),)</f>
        <v>31</v>
      </c>
      <c r="L911">
        <v>2973</v>
      </c>
      <c r="M911">
        <v>0</v>
      </c>
      <c r="N911">
        <v>0</v>
      </c>
      <c r="O911">
        <v>0</v>
      </c>
      <c r="P911">
        <f>Table1[[#This Row],[Shot]]*Table1[[#This Row],[Cav]]</f>
        <v>11892</v>
      </c>
      <c r="Q911">
        <v>0</v>
      </c>
      <c r="R911">
        <f>(Table1[[#This Row],[Part Weight (gm)]]*Table1[[#This Row],[Finish Good]])/1000</f>
        <v>0</v>
      </c>
      <c r="S911">
        <v>0</v>
      </c>
      <c r="T911">
        <f>IF(Table1[[#This Row],[Qty Order]]="Sample","-",IF(Table1[[#This Row],[Qty Order]]="RTFN","-",Table1[[#This Row],[Qty Order]]-Table1[[#This Row],[Qty Accumulate]]))</f>
        <v>0</v>
      </c>
      <c r="U911">
        <f>((Table1[[#This Row],[Shift Output]]*Table1[[#This Row],[Part Weight (gm)]])/1000)+Table1[[#This Row],[Reject Startup (kg)]]+Table1[[#This Row],[Reject Purging (kg)]]+Table1[[#This Row],[Reject Preform (kg)]]</f>
        <v>370.65199999999999</v>
      </c>
      <c r="V911" s="37">
        <f>(Table1[[#This Row],[Gross Weight (gm)]]-Table1[[#This Row],[Part Weight (gm)]])*Table1[[#This Row],[Shift Output]]/1000</f>
        <v>0</v>
      </c>
      <c r="W911" s="3">
        <v>2</v>
      </c>
      <c r="X911" s="36">
        <f>Table1[[#This Row],[Reject Startup (kg)]]/Table1[[#This Row],[Material Used]]</f>
        <v>5.3958969599516527E-3</v>
      </c>
      <c r="Y911" s="3">
        <v>1</v>
      </c>
      <c r="Z911" s="36">
        <f>Table1[[#This Row],[Reject Prod (kg)]]/Table1[[#This Row],[Material Used]]</f>
        <v>2.6979484799758264E-3</v>
      </c>
      <c r="AA911" s="4">
        <v>29.268980026245099</v>
      </c>
      <c r="AB911" s="5">
        <v>10.42</v>
      </c>
      <c r="AC911" s="4" cm="1">
        <f t="array" ref="AC911">IFERROR(INDEX(ReferenceCard, MATCH(1, (INDEX(ReferenceCard,,1)=Table1[[#This Row],[SAP No]]) * (INDEX(ReferenceCard,,2)=Table1[[#This Row],[Mould No]]), 0), 9),)</f>
        <v>31</v>
      </c>
      <c r="AD911" s="5">
        <v>0</v>
      </c>
      <c r="AE911" s="5">
        <v>0</v>
      </c>
      <c r="AF911" s="5">
        <v>0</v>
      </c>
      <c r="AG911" s="5">
        <v>5.9999999999999901E-2</v>
      </c>
      <c r="AH911" s="5">
        <v>0</v>
      </c>
      <c r="AI911" s="5">
        <v>0</v>
      </c>
      <c r="AJ911" s="5">
        <v>0</v>
      </c>
      <c r="AL911" s="2"/>
      <c r="AM911" s="2"/>
      <c r="AN911" s="3">
        <v>0</v>
      </c>
      <c r="AO911" s="3">
        <v>0</v>
      </c>
      <c r="AP911" s="6">
        <f>((Table1[[#This Row],[Reject Startup (kg)]]+Table1[[#This Row],[Reject Prod (kg)]]+Table1[[#This Row],[Reject Purging (kg)]]+Table1[[#This Row],[Reject Preform (kg)]])/Table1[[#This Row],[Part Weight (gm)]])*1000</f>
        <v>96.774193548387089</v>
      </c>
    </row>
    <row r="912" spans="1:42" x14ac:dyDescent="0.35">
      <c r="A912" s="1">
        <v>45993</v>
      </c>
      <c r="B912">
        <v>1</v>
      </c>
      <c r="C912" t="s">
        <v>0</v>
      </c>
      <c r="D912" t="str" cm="1">
        <f t="array" ref="D912">IFERROR(INDEX(ReferenceCard, MATCH(1, (INDEX(ReferenceCard,,1)=Table1[[#This Row],[SAP No]]) * (INDEX(ReferenceCard,,2)=Table1[[#This Row],[Mould No]]), 0), 6),)</f>
        <v>PET</v>
      </c>
      <c r="E912">
        <v>369308</v>
      </c>
      <c r="F912">
        <v>0</v>
      </c>
      <c r="G912" t="str" cm="1">
        <f t="array" ref="G912">IFERROR(INDEX(ReferenceCard, MATCH(1, (INDEX(ReferenceCard,,1)=Table1[[#This Row],[SAP No]]) * (INDEX(ReferenceCard,,2)=Table1[[#This Row],[Mould No]]), 0), 3),)</f>
        <v>BW38-0280-LS-R-RED</v>
      </c>
      <c r="H912">
        <v>0</v>
      </c>
      <c r="I912" cm="1">
        <f t="array" ref="I912">IFERROR(INDEX(ReferenceCard, MATCH(1, (INDEX(ReferenceCard,,1)=Table1[[#This Row],[SAP No]]) * (INDEX(ReferenceCard,,2)=Table1[[#This Row],[Mould No]]), 0), 4),)</f>
        <v>4</v>
      </c>
      <c r="J912" s="4" cm="1">
        <f t="array" ref="J912">IFERROR(INDEX(ReferenceCard, MATCH(1, (INDEX(ReferenceCard,,1)=Table1[[#This Row],[SAP No]]) * (INDEX(ReferenceCard,,2)=Table1[[#This Row],[Mould No]]), 0), 9),)</f>
        <v>31</v>
      </c>
      <c r="K912" s="4" cm="1">
        <f t="array" ref="K912">IFERROR(INDEX(ReferenceCard, MATCH(1, (INDEX(ReferenceCard,,1)=Table1[[#This Row],[SAP No]]) * (INDEX(ReferenceCard,,2)=Table1[[#This Row],[Mould No]]), 0), 7),)</f>
        <v>31</v>
      </c>
      <c r="L912">
        <v>4049</v>
      </c>
      <c r="M912">
        <v>0</v>
      </c>
      <c r="N912">
        <v>0</v>
      </c>
      <c r="O912">
        <v>0</v>
      </c>
      <c r="P912">
        <f>Table1[[#This Row],[Shot]]*Table1[[#This Row],[Cav]]</f>
        <v>16196</v>
      </c>
      <c r="Q912">
        <v>0</v>
      </c>
      <c r="R912">
        <f>(Table1[[#This Row],[Part Weight (gm)]]*Table1[[#This Row],[Finish Good]])/1000</f>
        <v>0</v>
      </c>
      <c r="S912">
        <v>0</v>
      </c>
      <c r="T912">
        <f>IF(Table1[[#This Row],[Qty Order]]="Sample","-",IF(Table1[[#This Row],[Qty Order]]="RTFN","-",Table1[[#This Row],[Qty Order]]-Table1[[#This Row],[Qty Accumulate]]))</f>
        <v>0</v>
      </c>
      <c r="U912">
        <f>((Table1[[#This Row],[Shift Output]]*Table1[[#This Row],[Part Weight (gm)]])/1000)+Table1[[#This Row],[Reject Startup (kg)]]+Table1[[#This Row],[Reject Purging (kg)]]+Table1[[#This Row],[Reject Preform (kg)]]</f>
        <v>502.07600000000002</v>
      </c>
      <c r="V912" s="37">
        <f>(Table1[[#This Row],[Gross Weight (gm)]]-Table1[[#This Row],[Part Weight (gm)]])*Table1[[#This Row],[Shift Output]]/1000</f>
        <v>0</v>
      </c>
      <c r="W912" s="3">
        <v>0</v>
      </c>
      <c r="X912" s="36">
        <f>Table1[[#This Row],[Reject Startup (kg)]]/Table1[[#This Row],[Material Used]]</f>
        <v>0</v>
      </c>
      <c r="Y912" s="3">
        <v>5</v>
      </c>
      <c r="Z912" s="36">
        <f>Table1[[#This Row],[Reject Prod (kg)]]/Table1[[#This Row],[Material Used]]</f>
        <v>9.9586516782319799E-3</v>
      </c>
      <c r="AA912" s="4">
        <v>30.963851928710898</v>
      </c>
      <c r="AB912" s="5">
        <v>3.8199999999999901</v>
      </c>
      <c r="AC912" s="4" cm="1">
        <f t="array" ref="AC912">IFERROR(INDEX(ReferenceCard, MATCH(1, (INDEX(ReferenceCard,,1)=Table1[[#This Row],[SAP No]]) * (INDEX(ReferenceCard,,2)=Table1[[#This Row],[Mould No]]), 0), 9),)</f>
        <v>31</v>
      </c>
      <c r="AD912" s="5">
        <v>0.04</v>
      </c>
      <c r="AE912" s="5">
        <v>0</v>
      </c>
      <c r="AF912" s="5">
        <v>0</v>
      </c>
      <c r="AG912" s="5">
        <v>9.66</v>
      </c>
      <c r="AH912" s="5">
        <v>0</v>
      </c>
      <c r="AI912" s="5">
        <v>0</v>
      </c>
      <c r="AJ912" s="5">
        <v>0</v>
      </c>
      <c r="AK912" t="s">
        <v>231</v>
      </c>
      <c r="AL912" s="2" t="s">
        <v>232</v>
      </c>
      <c r="AM912" s="2" t="s">
        <v>233</v>
      </c>
      <c r="AN912" s="3"/>
      <c r="AO912" s="3"/>
      <c r="AP912" s="6">
        <f>((Table1[[#This Row],[Reject Startup (kg)]]+Table1[[#This Row],[Reject Prod (kg)]]+Table1[[#This Row],[Reject Purging (kg)]]+Table1[[#This Row],[Reject Preform (kg)]])/Table1[[#This Row],[Part Weight (gm)]])*1000</f>
        <v>161.29032258064515</v>
      </c>
    </row>
    <row r="913" spans="1:42" x14ac:dyDescent="0.35">
      <c r="A913" s="1">
        <v>45993</v>
      </c>
      <c r="B913">
        <v>1</v>
      </c>
      <c r="C913" t="s">
        <v>3</v>
      </c>
      <c r="D913" t="str" cm="1">
        <f t="array" ref="D913">IFERROR(INDEX(ReferenceCard, MATCH(1, (INDEX(ReferenceCard,,1)=Table1[[#This Row],[SAP No]]) * (INDEX(ReferenceCard,,2)=Table1[[#This Row],[Mould No]]), 0), 6),)</f>
        <v>PET</v>
      </c>
      <c r="E913">
        <v>324163</v>
      </c>
      <c r="F913">
        <v>0</v>
      </c>
      <c r="G913" t="str" cm="1">
        <f t="array" ref="G913">IFERROR(INDEX(ReferenceCard, MATCH(1, (INDEX(ReferenceCard,,1)=Table1[[#This Row],[SAP No]]) * (INDEX(ReferenceCard,,2)=Table1[[#This Row],[Mould No]]), 0), 3),)</f>
        <v>BC28-0265-A-Q-CL</v>
      </c>
      <c r="H913">
        <v>0</v>
      </c>
      <c r="I913" cm="1">
        <f t="array" ref="I913">IFERROR(INDEX(ReferenceCard, MATCH(1, (INDEX(ReferenceCard,,1)=Table1[[#This Row],[SAP No]]) * (INDEX(ReferenceCard,,2)=Table1[[#This Row],[Mould No]]), 0), 4),)</f>
        <v>4</v>
      </c>
      <c r="J913" s="4" cm="1">
        <f t="array" ref="J913">IFERROR(INDEX(ReferenceCard, MATCH(1, (INDEX(ReferenceCard,,1)=Table1[[#This Row],[SAP No]]) * (INDEX(ReferenceCard,,2)=Table1[[#This Row],[Mould No]]), 0), 9),)</f>
        <v>24</v>
      </c>
      <c r="K913" s="4" cm="1">
        <f t="array" ref="K913">IFERROR(INDEX(ReferenceCard, MATCH(1, (INDEX(ReferenceCard,,1)=Table1[[#This Row],[SAP No]]) * (INDEX(ReferenceCard,,2)=Table1[[#This Row],[Mould No]]), 0), 7),)</f>
        <v>23.5</v>
      </c>
      <c r="L913">
        <v>1659</v>
      </c>
      <c r="M913">
        <v>0</v>
      </c>
      <c r="N913">
        <v>0</v>
      </c>
      <c r="O913">
        <v>0</v>
      </c>
      <c r="P913">
        <f>Table1[[#This Row],[Shot]]*Table1[[#This Row],[Cav]]</f>
        <v>6636</v>
      </c>
      <c r="Q913">
        <v>0</v>
      </c>
      <c r="R913">
        <f>(Table1[[#This Row],[Part Weight (gm)]]*Table1[[#This Row],[Finish Good]])/1000</f>
        <v>0</v>
      </c>
      <c r="S913">
        <v>0</v>
      </c>
      <c r="T913">
        <f>IF(Table1[[#This Row],[Qty Order]]="Sample","-",IF(Table1[[#This Row],[Qty Order]]="RTFN","-",Table1[[#This Row],[Qty Order]]-Table1[[#This Row],[Qty Accumulate]]))</f>
        <v>0</v>
      </c>
      <c r="U913">
        <f>((Table1[[#This Row],[Shift Output]]*Table1[[#This Row],[Part Weight (gm)]])/1000)+Table1[[#This Row],[Reject Startup (kg)]]+Table1[[#This Row],[Reject Purging (kg)]]+Table1[[#This Row],[Reject Preform (kg)]]</f>
        <v>167.446</v>
      </c>
      <c r="V913" s="37">
        <f>(Table1[[#This Row],[Gross Weight (gm)]]-Table1[[#This Row],[Part Weight (gm)]])*Table1[[#This Row],[Shift Output]]/1000</f>
        <v>3.3180000000000001</v>
      </c>
      <c r="W913" s="3">
        <v>8</v>
      </c>
      <c r="X913" s="36">
        <f>Table1[[#This Row],[Reject Startup (kg)]]/Table1[[#This Row],[Material Used]]</f>
        <v>4.7776596634138767E-2</v>
      </c>
      <c r="Y913" s="3">
        <v>0</v>
      </c>
      <c r="Z913" s="36">
        <f>Table1[[#This Row],[Reject Prod (kg)]]/Table1[[#This Row],[Material Used]]</f>
        <v>0</v>
      </c>
      <c r="AA913" s="4">
        <v>0</v>
      </c>
      <c r="AB913" s="5">
        <v>4.95</v>
      </c>
      <c r="AC913" s="4" cm="1">
        <f t="array" ref="AC913">IFERROR(INDEX(ReferenceCard, MATCH(1, (INDEX(ReferenceCard,,1)=Table1[[#This Row],[SAP No]]) * (INDEX(ReferenceCard,,2)=Table1[[#This Row],[Mould No]]), 0), 9),)</f>
        <v>24</v>
      </c>
      <c r="AD913" s="5">
        <v>0</v>
      </c>
      <c r="AE913" s="5">
        <v>7.46999999999999</v>
      </c>
      <c r="AF913" s="5">
        <v>0</v>
      </c>
      <c r="AG913" s="5">
        <v>0</v>
      </c>
      <c r="AH913" s="5">
        <v>1.1200000000000001</v>
      </c>
      <c r="AI913" s="5">
        <v>0</v>
      </c>
      <c r="AJ913" s="5">
        <v>0</v>
      </c>
      <c r="AK913" t="s">
        <v>234</v>
      </c>
      <c r="AL913" s="2" t="s">
        <v>235</v>
      </c>
      <c r="AM913" s="2"/>
      <c r="AN913" s="3"/>
      <c r="AO913" s="3">
        <v>3.5</v>
      </c>
      <c r="AP913" s="6">
        <f>((Table1[[#This Row],[Reject Startup (kg)]]+Table1[[#This Row],[Reject Prod (kg)]]+Table1[[#This Row],[Reject Purging (kg)]]+Table1[[#This Row],[Reject Preform (kg)]])/Table1[[#This Row],[Part Weight (gm)]])*1000</f>
        <v>489.36170212765956</v>
      </c>
    </row>
    <row r="914" spans="1:42" x14ac:dyDescent="0.35">
      <c r="A914" s="1">
        <v>45993</v>
      </c>
      <c r="B914">
        <v>1</v>
      </c>
      <c r="C914" t="s">
        <v>5</v>
      </c>
      <c r="D914" t="str" cm="1">
        <f t="array" ref="D914">IFERROR(INDEX(ReferenceCard, MATCH(1, (INDEX(ReferenceCard,,1)=Table1[[#This Row],[SAP No]]) * (INDEX(ReferenceCard,,2)=Table1[[#This Row],[Mould No]]), 0), 6),)</f>
        <v>PET</v>
      </c>
      <c r="E914">
        <v>543590</v>
      </c>
      <c r="F914">
        <v>0</v>
      </c>
      <c r="G914" t="str" cm="1">
        <f t="array" ref="G914">IFERROR(INDEX(ReferenceCard, MATCH(1, (INDEX(ReferenceCard,,1)=Table1[[#This Row],[SAP No]]) * (INDEX(ReferenceCard,,2)=Table1[[#This Row],[Mould No]]), 0), 3),)</f>
        <v>BC28-0130-R-R-AM</v>
      </c>
      <c r="H914">
        <v>0</v>
      </c>
      <c r="I914" cm="1">
        <f t="array" ref="I914">IFERROR(INDEX(ReferenceCard, MATCH(1, (INDEX(ReferenceCard,,1)=Table1[[#This Row],[SAP No]]) * (INDEX(ReferenceCard,,2)=Table1[[#This Row],[Mould No]]), 0), 4),)</f>
        <v>4</v>
      </c>
      <c r="J914" s="4" cm="1">
        <f t="array" ref="J914">IFERROR(INDEX(ReferenceCard, MATCH(1, (INDEX(ReferenceCard,,1)=Table1[[#This Row],[SAP No]]) * (INDEX(ReferenceCard,,2)=Table1[[#This Row],[Mould No]]), 0), 9),)</f>
        <v>19</v>
      </c>
      <c r="K914" s="4" cm="1">
        <f t="array" ref="K914">IFERROR(INDEX(ReferenceCard, MATCH(1, (INDEX(ReferenceCard,,1)=Table1[[#This Row],[SAP No]]) * (INDEX(ReferenceCard,,2)=Table1[[#This Row],[Mould No]]), 0), 7),)</f>
        <v>19</v>
      </c>
      <c r="L914">
        <v>2803</v>
      </c>
      <c r="M914">
        <v>0</v>
      </c>
      <c r="N914">
        <v>0</v>
      </c>
      <c r="O914">
        <v>0</v>
      </c>
      <c r="P914">
        <f>Table1[[#This Row],[Shot]]*Table1[[#This Row],[Cav]]</f>
        <v>11212</v>
      </c>
      <c r="Q914">
        <v>0</v>
      </c>
      <c r="R914">
        <f>(Table1[[#This Row],[Part Weight (gm)]]*Table1[[#This Row],[Finish Good]])/1000</f>
        <v>0</v>
      </c>
      <c r="S914">
        <v>0</v>
      </c>
      <c r="T914">
        <f>IF(Table1[[#This Row],[Qty Order]]="Sample","-",IF(Table1[[#This Row],[Qty Order]]="RTFN","-",Table1[[#This Row],[Qty Order]]-Table1[[#This Row],[Qty Accumulate]]))</f>
        <v>0</v>
      </c>
      <c r="U914">
        <f>((Table1[[#This Row],[Shift Output]]*Table1[[#This Row],[Part Weight (gm)]])/1000)+Table1[[#This Row],[Reject Startup (kg)]]+Table1[[#This Row],[Reject Purging (kg)]]+Table1[[#This Row],[Reject Preform (kg)]]</f>
        <v>214.52799999999999</v>
      </c>
      <c r="V914" s="37">
        <f>(Table1[[#This Row],[Gross Weight (gm)]]-Table1[[#This Row],[Part Weight (gm)]])*Table1[[#This Row],[Shift Output]]/1000</f>
        <v>0</v>
      </c>
      <c r="W914" s="3">
        <v>0</v>
      </c>
      <c r="X914" s="36">
        <f>Table1[[#This Row],[Reject Startup (kg)]]/Table1[[#This Row],[Material Used]]</f>
        <v>0</v>
      </c>
      <c r="Y914" s="3">
        <v>3</v>
      </c>
      <c r="Z914" s="36">
        <f>Table1[[#This Row],[Reject Prod (kg)]]/Table1[[#This Row],[Material Used]]</f>
        <v>1.3984188544152745E-2</v>
      </c>
      <c r="AA914" s="4">
        <v>22.064813613891602</v>
      </c>
      <c r="AB914" s="5">
        <v>3.6499999999999901</v>
      </c>
      <c r="AC914" s="4" cm="1">
        <f t="array" ref="AC914">IFERROR(INDEX(ReferenceCard, MATCH(1, (INDEX(ReferenceCard,,1)=Table1[[#This Row],[SAP No]]) * (INDEX(ReferenceCard,,2)=Table1[[#This Row],[Mould No]]), 0), 9),)</f>
        <v>19</v>
      </c>
      <c r="AD914" s="5">
        <v>0</v>
      </c>
      <c r="AE914" s="5">
        <v>0</v>
      </c>
      <c r="AF914" s="5">
        <v>0</v>
      </c>
      <c r="AG914" s="5">
        <v>0</v>
      </c>
      <c r="AH914" s="5">
        <v>9.8800000000000008</v>
      </c>
      <c r="AI914" s="5">
        <v>0</v>
      </c>
      <c r="AJ914" s="5">
        <v>0</v>
      </c>
      <c r="AL914" s="2"/>
      <c r="AM914" s="2"/>
      <c r="AN914" s="3">
        <v>1.5</v>
      </c>
      <c r="AO914" s="3">
        <v>0</v>
      </c>
      <c r="AP914" s="6">
        <f>((Table1[[#This Row],[Reject Startup (kg)]]+Table1[[#This Row],[Reject Prod (kg)]]+Table1[[#This Row],[Reject Purging (kg)]]+Table1[[#This Row],[Reject Preform (kg)]])/Table1[[#This Row],[Part Weight (gm)]])*1000</f>
        <v>236.84210526315789</v>
      </c>
    </row>
    <row r="915" spans="1:42" x14ac:dyDescent="0.35">
      <c r="A915" s="1">
        <v>45993</v>
      </c>
      <c r="B915">
        <v>1</v>
      </c>
      <c r="C915" t="s">
        <v>7</v>
      </c>
      <c r="D915" t="str" cm="1">
        <f t="array" ref="D915">IFERROR(INDEX(ReferenceCard, MATCH(1, (INDEX(ReferenceCard,,1)=Table1[[#This Row],[SAP No]]) * (INDEX(ReferenceCard,,2)=Table1[[#This Row],[Mould No]]), 0), 6),)</f>
        <v>PET</v>
      </c>
      <c r="E915">
        <v>426555</v>
      </c>
      <c r="F915">
        <v>0</v>
      </c>
      <c r="G915" t="str" cm="1">
        <f t="array" ref="G915">IFERROR(INDEX(ReferenceCard, MATCH(1, (INDEX(ReferenceCard,,1)=Table1[[#This Row],[SAP No]]) * (INDEX(ReferenceCard,,2)=Table1[[#This Row],[Mould No]]), 0), 3),)</f>
        <v>BX38-0330-Z-S-CL-HW</v>
      </c>
      <c r="H915">
        <v>0</v>
      </c>
      <c r="I915" cm="1">
        <f t="array" ref="I915">IFERROR(INDEX(ReferenceCard, MATCH(1, (INDEX(ReferenceCard,,1)=Table1[[#This Row],[SAP No]]) * (INDEX(ReferenceCard,,2)=Table1[[#This Row],[Mould No]]), 0), 4),)</f>
        <v>4</v>
      </c>
      <c r="J915" s="4" cm="1">
        <f t="array" ref="J915">IFERROR(INDEX(ReferenceCard, MATCH(1, (INDEX(ReferenceCard,,1)=Table1[[#This Row],[SAP No]]) * (INDEX(ReferenceCard,,2)=Table1[[#This Row],[Mould No]]), 0), 9),)</f>
        <v>29</v>
      </c>
      <c r="K915" s="4" cm="1">
        <f t="array" ref="K915">IFERROR(INDEX(ReferenceCard, MATCH(1, (INDEX(ReferenceCard,,1)=Table1[[#This Row],[SAP No]]) * (INDEX(ReferenceCard,,2)=Table1[[#This Row],[Mould No]]), 0), 7),)</f>
        <v>29</v>
      </c>
      <c r="L915">
        <v>1735</v>
      </c>
      <c r="M915">
        <v>0</v>
      </c>
      <c r="N915">
        <v>0</v>
      </c>
      <c r="O915">
        <v>0</v>
      </c>
      <c r="P915">
        <f>Table1[[#This Row],[Shot]]*Table1[[#This Row],[Cav]]</f>
        <v>6940</v>
      </c>
      <c r="Q915">
        <v>0</v>
      </c>
      <c r="R915">
        <f>(Table1[[#This Row],[Part Weight (gm)]]*Table1[[#This Row],[Finish Good]])/1000</f>
        <v>0</v>
      </c>
      <c r="S915">
        <v>0</v>
      </c>
      <c r="T915">
        <f>IF(Table1[[#This Row],[Qty Order]]="Sample","-",IF(Table1[[#This Row],[Qty Order]]="RTFN","-",Table1[[#This Row],[Qty Order]]-Table1[[#This Row],[Qty Accumulate]]))</f>
        <v>0</v>
      </c>
      <c r="U915">
        <f>((Table1[[#This Row],[Shift Output]]*Table1[[#This Row],[Part Weight (gm)]])/1000)+Table1[[#This Row],[Reject Startup (kg)]]+Table1[[#This Row],[Reject Purging (kg)]]+Table1[[#This Row],[Reject Preform (kg)]]</f>
        <v>232.76</v>
      </c>
      <c r="V915" s="37">
        <f>(Table1[[#This Row],[Gross Weight (gm)]]-Table1[[#This Row],[Part Weight (gm)]])*Table1[[#This Row],[Shift Output]]/1000</f>
        <v>0</v>
      </c>
      <c r="W915" s="3">
        <v>8</v>
      </c>
      <c r="X915" s="36">
        <f>Table1[[#This Row],[Reject Startup (kg)]]/Table1[[#This Row],[Material Used]]</f>
        <v>3.4370166695308471E-2</v>
      </c>
      <c r="Y915" s="3">
        <v>0</v>
      </c>
      <c r="Z915" s="36">
        <f>Table1[[#This Row],[Reject Prod (kg)]]/Table1[[#This Row],[Material Used]]</f>
        <v>0</v>
      </c>
      <c r="AA915" s="4">
        <v>0</v>
      </c>
      <c r="AB915" s="5">
        <v>0.85999999999999899</v>
      </c>
      <c r="AC915" s="4" cm="1">
        <f t="array" ref="AC915">IFERROR(INDEX(ReferenceCard, MATCH(1, (INDEX(ReferenceCard,,1)=Table1[[#This Row],[SAP No]]) * (INDEX(ReferenceCard,,2)=Table1[[#This Row],[Mould No]]), 0), 9),)</f>
        <v>29</v>
      </c>
      <c r="AD915" s="5">
        <v>0</v>
      </c>
      <c r="AE915" s="5">
        <v>0</v>
      </c>
      <c r="AF915" s="5">
        <v>0</v>
      </c>
      <c r="AG915" s="5">
        <v>0</v>
      </c>
      <c r="AH915" s="5">
        <v>8.81</v>
      </c>
      <c r="AI915" s="5">
        <v>3.87</v>
      </c>
      <c r="AJ915" s="5">
        <v>0</v>
      </c>
      <c r="AL915" s="2"/>
      <c r="AM915" s="2"/>
      <c r="AN915" s="3">
        <v>14</v>
      </c>
      <c r="AO915" s="3">
        <v>9.5</v>
      </c>
      <c r="AP915" s="6">
        <f>((Table1[[#This Row],[Reject Startup (kg)]]+Table1[[#This Row],[Reject Prod (kg)]]+Table1[[#This Row],[Reject Purging (kg)]]+Table1[[#This Row],[Reject Preform (kg)]])/Table1[[#This Row],[Part Weight (gm)]])*1000</f>
        <v>1086.2068965517242</v>
      </c>
    </row>
    <row r="916" spans="1:42" x14ac:dyDescent="0.35">
      <c r="A916" s="1">
        <v>45993</v>
      </c>
      <c r="B916">
        <v>1</v>
      </c>
      <c r="C916" t="s">
        <v>9</v>
      </c>
      <c r="D916" t="str" cm="1">
        <f t="array" ref="D916">IFERROR(INDEX(ReferenceCard, MATCH(1, (INDEX(ReferenceCard,,1)=Table1[[#This Row],[SAP No]]) * (INDEX(ReferenceCard,,2)=Table1[[#This Row],[Mould No]]), 0), 6),)</f>
        <v>rPET</v>
      </c>
      <c r="E916">
        <v>593537</v>
      </c>
      <c r="F916">
        <v>0</v>
      </c>
      <c r="G916" t="str" cm="1">
        <f t="array" ref="G916">IFERROR(INDEX(ReferenceCard, MATCH(1, (INDEX(ReferenceCard,,1)=Table1[[#This Row],[SAP No]]) * (INDEX(ReferenceCard,,2)=Table1[[#This Row],[Mould No]]), 0), 3),)</f>
        <v>BX38-1000-RN-R-CL-rPET</v>
      </c>
      <c r="H916">
        <v>0</v>
      </c>
      <c r="I916" cm="1">
        <f t="array" ref="I916">IFERROR(INDEX(ReferenceCard, MATCH(1, (INDEX(ReferenceCard,,1)=Table1[[#This Row],[SAP No]]) * (INDEX(ReferenceCard,,2)=Table1[[#This Row],[Mould No]]), 0), 4),)</f>
        <v>4</v>
      </c>
      <c r="J916" s="4" cm="1">
        <f t="array" ref="J916">IFERROR(INDEX(ReferenceCard, MATCH(1, (INDEX(ReferenceCard,,1)=Table1[[#This Row],[SAP No]]) * (INDEX(ReferenceCard,,2)=Table1[[#This Row],[Mould No]]), 0), 9),)</f>
        <v>56.5</v>
      </c>
      <c r="K916" s="4" cm="1">
        <f t="array" ref="K916">IFERROR(INDEX(ReferenceCard, MATCH(1, (INDEX(ReferenceCard,,1)=Table1[[#This Row],[SAP No]]) * (INDEX(ReferenceCard,,2)=Table1[[#This Row],[Mould No]]), 0), 7),)</f>
        <v>56.8</v>
      </c>
      <c r="L916">
        <v>5566</v>
      </c>
      <c r="M916">
        <v>0</v>
      </c>
      <c r="N916">
        <v>0</v>
      </c>
      <c r="O916">
        <v>0</v>
      </c>
      <c r="P916">
        <f>Table1[[#This Row],[Shot]]*Table1[[#This Row],[Cav]]</f>
        <v>22264</v>
      </c>
      <c r="Q916">
        <v>0</v>
      </c>
      <c r="R916">
        <f>(Table1[[#This Row],[Part Weight (gm)]]*Table1[[#This Row],[Finish Good]])/1000</f>
        <v>0</v>
      </c>
      <c r="S916">
        <v>0</v>
      </c>
      <c r="T916">
        <f>IF(Table1[[#This Row],[Qty Order]]="Sample","-",IF(Table1[[#This Row],[Qty Order]]="RTFN","-",Table1[[#This Row],[Qty Order]]-Table1[[#This Row],[Qty Accumulate]]))</f>
        <v>0</v>
      </c>
      <c r="U916">
        <f>((Table1[[#This Row],[Shift Output]]*Table1[[#This Row],[Part Weight (gm)]])/1000)+Table1[[#This Row],[Reject Startup (kg)]]+Table1[[#This Row],[Reject Purging (kg)]]+Table1[[#This Row],[Reject Preform (kg)]]</f>
        <v>1264.5952</v>
      </c>
      <c r="V916" s="37">
        <f>(Table1[[#This Row],[Gross Weight (gm)]]-Table1[[#This Row],[Part Weight (gm)]])*Table1[[#This Row],[Shift Output]]/1000</f>
        <v>-6.6791999999999367</v>
      </c>
      <c r="W916" s="3">
        <v>0</v>
      </c>
      <c r="X916" s="36">
        <f>Table1[[#This Row],[Reject Startup (kg)]]/Table1[[#This Row],[Material Used]]</f>
        <v>0</v>
      </c>
      <c r="Y916" s="3">
        <v>4</v>
      </c>
      <c r="Z916" s="36">
        <f>Table1[[#This Row],[Reject Prod (kg)]]/Table1[[#This Row],[Material Used]]</f>
        <v>3.1630675175740031E-3</v>
      </c>
      <c r="AA916" s="4">
        <v>28.4349040985107</v>
      </c>
      <c r="AB916" s="5">
        <v>11.33</v>
      </c>
      <c r="AC916" s="4" cm="1">
        <f t="array" ref="AC916">IFERROR(INDEX(ReferenceCard, MATCH(1, (INDEX(ReferenceCard,,1)=Table1[[#This Row],[SAP No]]) * (INDEX(ReferenceCard,,2)=Table1[[#This Row],[Mould No]]), 0), 9),)</f>
        <v>56.5</v>
      </c>
      <c r="AD916" s="5">
        <v>0</v>
      </c>
      <c r="AE916" s="5">
        <v>0</v>
      </c>
      <c r="AF916" s="5">
        <v>0</v>
      </c>
      <c r="AG916" s="5">
        <v>0</v>
      </c>
      <c r="AH916" s="5">
        <v>2.1899999999999902</v>
      </c>
      <c r="AI916" s="5">
        <v>0</v>
      </c>
      <c r="AJ916" s="5">
        <v>0</v>
      </c>
      <c r="AL916" s="2"/>
      <c r="AM916" s="2"/>
      <c r="AN916" s="3">
        <v>0</v>
      </c>
      <c r="AO916" s="3">
        <v>0</v>
      </c>
      <c r="AP916" s="6">
        <f>((Table1[[#This Row],[Reject Startup (kg)]]+Table1[[#This Row],[Reject Prod (kg)]]+Table1[[#This Row],[Reject Purging (kg)]]+Table1[[#This Row],[Reject Preform (kg)]])/Table1[[#This Row],[Part Weight (gm)]])*1000</f>
        <v>70.422535211267615</v>
      </c>
    </row>
    <row r="917" spans="1:42" x14ac:dyDescent="0.35">
      <c r="A917" s="1">
        <v>45993</v>
      </c>
      <c r="B917">
        <v>1</v>
      </c>
      <c r="C917" t="s">
        <v>11</v>
      </c>
      <c r="D917" t="str" cm="1">
        <f t="array" ref="D917">IFERROR(INDEX(ReferenceCard, MATCH(1, (INDEX(ReferenceCard,,1)=Table1[[#This Row],[SAP No]]) * (INDEX(ReferenceCard,,2)=Table1[[#This Row],[Mould No]]), 0), 6),)</f>
        <v>rPET</v>
      </c>
      <c r="E917">
        <v>620994</v>
      </c>
      <c r="F917">
        <v>0</v>
      </c>
      <c r="G917" t="str" cm="1">
        <f t="array" ref="G917">IFERROR(INDEX(ReferenceCard, MATCH(1, (INDEX(ReferenceCard,,1)=Table1[[#This Row],[SAP No]]) * (INDEX(ReferenceCard,,2)=Table1[[#This Row],[Mould No]]), 0), 3),)</f>
        <v>JJ63-0400-SH-S-CL-rPET</v>
      </c>
      <c r="H917">
        <v>0</v>
      </c>
      <c r="I917" cm="1">
        <f t="array" ref="I917">IFERROR(INDEX(ReferenceCard, MATCH(1, (INDEX(ReferenceCard,,1)=Table1[[#This Row],[SAP No]]) * (INDEX(ReferenceCard,,2)=Table1[[#This Row],[Mould No]]), 0), 4),)</f>
        <v>4</v>
      </c>
      <c r="J917" s="4" cm="1">
        <f t="array" ref="J917">IFERROR(INDEX(ReferenceCard, MATCH(1, (INDEX(ReferenceCard,,1)=Table1[[#This Row],[SAP No]]) * (INDEX(ReferenceCard,,2)=Table1[[#This Row],[Mould No]]), 0), 9),)</f>
        <v>32.74</v>
      </c>
      <c r="K917" s="4" cm="1">
        <f t="array" ref="K917">IFERROR(INDEX(ReferenceCard, MATCH(1, (INDEX(ReferenceCard,,1)=Table1[[#This Row],[SAP No]]) * (INDEX(ReferenceCard,,2)=Table1[[#This Row],[Mould No]]), 0), 7),)</f>
        <v>33</v>
      </c>
      <c r="L917">
        <v>5389</v>
      </c>
      <c r="M917">
        <v>0</v>
      </c>
      <c r="N917">
        <v>0</v>
      </c>
      <c r="O917">
        <v>0</v>
      </c>
      <c r="P917">
        <f>Table1[[#This Row],[Shot]]*Table1[[#This Row],[Cav]]</f>
        <v>21556</v>
      </c>
      <c r="Q917">
        <v>0</v>
      </c>
      <c r="R917">
        <f>(Table1[[#This Row],[Part Weight (gm)]]*Table1[[#This Row],[Finish Good]])/1000</f>
        <v>0</v>
      </c>
      <c r="S917">
        <v>0</v>
      </c>
      <c r="T917">
        <f>IF(Table1[[#This Row],[Qty Order]]="Sample","-",IF(Table1[[#This Row],[Qty Order]]="RTFN","-",Table1[[#This Row],[Qty Order]]-Table1[[#This Row],[Qty Accumulate]]))</f>
        <v>0</v>
      </c>
      <c r="U917">
        <f>((Table1[[#This Row],[Shift Output]]*Table1[[#This Row],[Part Weight (gm)]])/1000)+Table1[[#This Row],[Reject Startup (kg)]]+Table1[[#This Row],[Reject Purging (kg)]]+Table1[[#This Row],[Reject Preform (kg)]]</f>
        <v>714.84799999999996</v>
      </c>
      <c r="V917" s="37">
        <f>(Table1[[#This Row],[Gross Weight (gm)]]-Table1[[#This Row],[Part Weight (gm)]])*Table1[[#This Row],[Shift Output]]/1000</f>
        <v>-5.6045599999999567</v>
      </c>
      <c r="W917" s="3">
        <v>0</v>
      </c>
      <c r="X917" s="36">
        <f>Table1[[#This Row],[Reject Startup (kg)]]/Table1[[#This Row],[Material Used]]</f>
        <v>0</v>
      </c>
      <c r="Y917" s="3">
        <v>2</v>
      </c>
      <c r="Z917" s="36">
        <f>Table1[[#This Row],[Reject Prod (kg)]]/Table1[[#This Row],[Material Used]]</f>
        <v>2.7977975737499441E-3</v>
      </c>
      <c r="AA917" s="4">
        <v>24.020828247070298</v>
      </c>
      <c r="AB917" s="5">
        <v>4.1699999999999902</v>
      </c>
      <c r="AC917" s="4" cm="1">
        <f t="array" ref="AC917">IFERROR(INDEX(ReferenceCard, MATCH(1, (INDEX(ReferenceCard,,1)=Table1[[#This Row],[SAP No]]) * (INDEX(ReferenceCard,,2)=Table1[[#This Row],[Mould No]]), 0), 9),)</f>
        <v>32.74</v>
      </c>
      <c r="AD917" s="5">
        <v>0</v>
      </c>
      <c r="AE917" s="5">
        <v>0</v>
      </c>
      <c r="AF917" s="5">
        <v>0</v>
      </c>
      <c r="AG917" s="5">
        <v>0.05</v>
      </c>
      <c r="AH917" s="5">
        <v>9.31</v>
      </c>
      <c r="AI917" s="5">
        <v>0</v>
      </c>
      <c r="AJ917" s="5">
        <v>0</v>
      </c>
      <c r="AL917" s="2"/>
      <c r="AM917" s="2"/>
      <c r="AN917" s="3">
        <v>2</v>
      </c>
      <c r="AO917" s="3">
        <v>1.5</v>
      </c>
      <c r="AP917" s="6">
        <f>((Table1[[#This Row],[Reject Startup (kg)]]+Table1[[#This Row],[Reject Prod (kg)]]+Table1[[#This Row],[Reject Purging (kg)]]+Table1[[#This Row],[Reject Preform (kg)]])/Table1[[#This Row],[Part Weight (gm)]])*1000</f>
        <v>166.66666666666666</v>
      </c>
    </row>
    <row r="918" spans="1:42" x14ac:dyDescent="0.35">
      <c r="A918" s="1">
        <v>45993</v>
      </c>
      <c r="B918">
        <v>1</v>
      </c>
      <c r="C918" t="s">
        <v>14</v>
      </c>
      <c r="D918" t="str" cm="1">
        <f t="array" ref="D918">IFERROR(INDEX(ReferenceCard, MATCH(1, (INDEX(ReferenceCard,,1)=Table1[[#This Row],[SAP No]]) * (INDEX(ReferenceCard,,2)=Table1[[#This Row],[Mould No]]), 0), 6),)</f>
        <v>PET</v>
      </c>
      <c r="E918">
        <v>324165</v>
      </c>
      <c r="F918">
        <v>0</v>
      </c>
      <c r="G918" t="str" cm="1">
        <f t="array" ref="G918">IFERROR(INDEX(ReferenceCard, MATCH(1, (INDEX(ReferenceCard,,1)=Table1[[#This Row],[SAP No]]) * (INDEX(ReferenceCard,,2)=Table1[[#This Row],[Mould No]]), 0), 3),)</f>
        <v>JJ63-0400-SH-S-WH</v>
      </c>
      <c r="H918">
        <v>0</v>
      </c>
      <c r="I918" cm="1">
        <f t="array" ref="I918">IFERROR(INDEX(ReferenceCard, MATCH(1, (INDEX(ReferenceCard,,1)=Table1[[#This Row],[SAP No]]) * (INDEX(ReferenceCard,,2)=Table1[[#This Row],[Mould No]]), 0), 4),)</f>
        <v>4</v>
      </c>
      <c r="J918" s="4" cm="1">
        <f t="array" ref="J918">IFERROR(INDEX(ReferenceCard, MATCH(1, (INDEX(ReferenceCard,,1)=Table1[[#This Row],[SAP No]]) * (INDEX(ReferenceCard,,2)=Table1[[#This Row],[Mould No]]), 0), 9),)</f>
        <v>32.56</v>
      </c>
      <c r="K918" s="4" cm="1">
        <f t="array" ref="K918">IFERROR(INDEX(ReferenceCard, MATCH(1, (INDEX(ReferenceCard,,1)=Table1[[#This Row],[SAP No]]) * (INDEX(ReferenceCard,,2)=Table1[[#This Row],[Mould No]]), 0), 7),)</f>
        <v>33</v>
      </c>
      <c r="L918">
        <v>2418</v>
      </c>
      <c r="M918">
        <v>0</v>
      </c>
      <c r="N918">
        <v>0</v>
      </c>
      <c r="O918">
        <v>0</v>
      </c>
      <c r="P918">
        <f>Table1[[#This Row],[Shot]]*Table1[[#This Row],[Cav]]</f>
        <v>9672</v>
      </c>
      <c r="Q918">
        <v>0</v>
      </c>
      <c r="R918">
        <f>(Table1[[#This Row],[Part Weight (gm)]]*Table1[[#This Row],[Finish Good]])/1000</f>
        <v>0</v>
      </c>
      <c r="S918">
        <v>0</v>
      </c>
      <c r="T918">
        <f>IF(Table1[[#This Row],[Qty Order]]="Sample","-",IF(Table1[[#This Row],[Qty Order]]="RTFN","-",Table1[[#This Row],[Qty Order]]-Table1[[#This Row],[Qty Accumulate]]))</f>
        <v>0</v>
      </c>
      <c r="U918">
        <f>((Table1[[#This Row],[Shift Output]]*Table1[[#This Row],[Part Weight (gm)]])/1000)+Table1[[#This Row],[Reject Startup (kg)]]+Table1[[#This Row],[Reject Purging (kg)]]+Table1[[#This Row],[Reject Preform (kg)]]</f>
        <v>325.37599999999998</v>
      </c>
      <c r="V918" s="37">
        <f>(Table1[[#This Row],[Gross Weight (gm)]]-Table1[[#This Row],[Part Weight (gm)]])*Table1[[#This Row],[Shift Output]]/1000</f>
        <v>-4.2556799999999786</v>
      </c>
      <c r="W918" s="3">
        <v>0</v>
      </c>
      <c r="X918" s="36">
        <f>Table1[[#This Row],[Reject Startup (kg)]]/Table1[[#This Row],[Material Used]]</f>
        <v>0</v>
      </c>
      <c r="Y918" s="3">
        <v>4</v>
      </c>
      <c r="Z918" s="36">
        <f>Table1[[#This Row],[Reject Prod (kg)]]/Table1[[#This Row],[Material Used]]</f>
        <v>1.2293469708890638E-2</v>
      </c>
      <c r="AA918" s="4">
        <v>26.703290939331001</v>
      </c>
      <c r="AB918" s="5">
        <v>3.79</v>
      </c>
      <c r="AC918" s="4" cm="1">
        <f t="array" ref="AC918">IFERROR(INDEX(ReferenceCard, MATCH(1, (INDEX(ReferenceCard,,1)=Table1[[#This Row],[SAP No]]) * (INDEX(ReferenceCard,,2)=Table1[[#This Row],[Mould No]]), 0), 9),)</f>
        <v>32.56</v>
      </c>
      <c r="AD918" s="5">
        <v>0</v>
      </c>
      <c r="AE918" s="5">
        <v>0</v>
      </c>
      <c r="AF918" s="5">
        <v>0</v>
      </c>
      <c r="AG918" s="5">
        <v>1.76</v>
      </c>
      <c r="AH918" s="5">
        <v>7.98</v>
      </c>
      <c r="AI918" s="5">
        <v>0</v>
      </c>
      <c r="AJ918" s="5">
        <v>0</v>
      </c>
      <c r="AL918" s="2"/>
      <c r="AM918" s="2"/>
      <c r="AN918" s="3">
        <v>3.5</v>
      </c>
      <c r="AO918" s="3">
        <v>2.7</v>
      </c>
      <c r="AP918" s="6">
        <f>((Table1[[#This Row],[Reject Startup (kg)]]+Table1[[#This Row],[Reject Prod (kg)]]+Table1[[#This Row],[Reject Purging (kg)]]+Table1[[#This Row],[Reject Preform (kg)]])/Table1[[#This Row],[Part Weight (gm)]])*1000</f>
        <v>309.09090909090907</v>
      </c>
    </row>
    <row r="919" spans="1:42" x14ac:dyDescent="0.35">
      <c r="A919" s="1">
        <v>45993</v>
      </c>
      <c r="B919">
        <v>1</v>
      </c>
      <c r="C919" t="s">
        <v>16</v>
      </c>
      <c r="D919" t="str" cm="1">
        <f t="array" ref="D919">IFERROR(INDEX(ReferenceCard, MATCH(1, (INDEX(ReferenceCard,,1)=Table1[[#This Row],[SAP No]]) * (INDEX(ReferenceCard,,2)=Table1[[#This Row],[Mould No]]), 0), 6),)</f>
        <v>PET</v>
      </c>
      <c r="E919">
        <v>323092</v>
      </c>
      <c r="F919">
        <v>0</v>
      </c>
      <c r="G919" t="str" cm="1">
        <f t="array" ref="G919">IFERROR(INDEX(ReferenceCard, MATCH(1, (INDEX(ReferenceCard,,1)=Table1[[#This Row],[SAP No]]) * (INDEX(ReferenceCard,,2)=Table1[[#This Row],[Mould No]]), 0), 3),)</f>
        <v>BX38-1000-GH-R-CL(GREEN) (ASEM)</v>
      </c>
      <c r="H919">
        <v>0</v>
      </c>
      <c r="I919" cm="1">
        <f t="array" ref="I919">IFERROR(INDEX(ReferenceCard, MATCH(1, (INDEX(ReferenceCard,,1)=Table1[[#This Row],[SAP No]]) * (INDEX(ReferenceCard,,2)=Table1[[#This Row],[Mould No]]), 0), 4),)</f>
        <v>4</v>
      </c>
      <c r="J919" s="4" cm="1">
        <f t="array" ref="J919">IFERROR(INDEX(ReferenceCard, MATCH(1, (INDEX(ReferenceCard,,1)=Table1[[#This Row],[SAP No]]) * (INDEX(ReferenceCard,,2)=Table1[[#This Row],[Mould No]]), 0), 9),)</f>
        <v>48.9</v>
      </c>
      <c r="K919" s="4" cm="1">
        <f t="array" ref="K919">IFERROR(INDEX(ReferenceCard, MATCH(1, (INDEX(ReferenceCard,,1)=Table1[[#This Row],[SAP No]]) * (INDEX(ReferenceCard,,2)=Table1[[#This Row],[Mould No]]), 0), 7),)</f>
        <v>48.9</v>
      </c>
      <c r="L919">
        <v>1964</v>
      </c>
      <c r="M919">
        <v>0</v>
      </c>
      <c r="N919">
        <v>0</v>
      </c>
      <c r="O919">
        <v>0</v>
      </c>
      <c r="P919">
        <f>Table1[[#This Row],[Shot]]*Table1[[#This Row],[Cav]]</f>
        <v>7856</v>
      </c>
      <c r="Q919">
        <v>0</v>
      </c>
      <c r="R919">
        <f>(Table1[[#This Row],[Part Weight (gm)]]*Table1[[#This Row],[Finish Good]])/1000</f>
        <v>0</v>
      </c>
      <c r="S919">
        <v>0</v>
      </c>
      <c r="T919">
        <f>IF(Table1[[#This Row],[Qty Order]]="Sample","-",IF(Table1[[#This Row],[Qty Order]]="RTFN","-",Table1[[#This Row],[Qty Order]]-Table1[[#This Row],[Qty Accumulate]]))</f>
        <v>0</v>
      </c>
      <c r="U919">
        <f>((Table1[[#This Row],[Shift Output]]*Table1[[#This Row],[Part Weight (gm)]])/1000)+Table1[[#This Row],[Reject Startup (kg)]]+Table1[[#This Row],[Reject Purging (kg)]]+Table1[[#This Row],[Reject Preform (kg)]]</f>
        <v>391.65839999999997</v>
      </c>
      <c r="V919" s="37">
        <f>(Table1[[#This Row],[Gross Weight (gm)]]-Table1[[#This Row],[Part Weight (gm)]])*Table1[[#This Row],[Shift Output]]/1000</f>
        <v>0</v>
      </c>
      <c r="W919" s="3">
        <v>4</v>
      </c>
      <c r="X919" s="36">
        <f>Table1[[#This Row],[Reject Startup (kg)]]/Table1[[#This Row],[Material Used]]</f>
        <v>1.0212981516546052E-2</v>
      </c>
      <c r="Y919" s="3">
        <v>2</v>
      </c>
      <c r="Z919" s="36">
        <f>Table1[[#This Row],[Reject Prod (kg)]]/Table1[[#This Row],[Material Used]]</f>
        <v>5.106490758273026E-3</v>
      </c>
      <c r="AA919" s="4">
        <v>29.266902923583899</v>
      </c>
      <c r="AB919" s="5">
        <v>11.05</v>
      </c>
      <c r="AC919" s="4" cm="1">
        <f t="array" ref="AC919">IFERROR(INDEX(ReferenceCard, MATCH(1, (INDEX(ReferenceCard,,1)=Table1[[#This Row],[SAP No]]) * (INDEX(ReferenceCard,,2)=Table1[[#This Row],[Mould No]]), 0), 9),)</f>
        <v>48.9</v>
      </c>
      <c r="AD919" s="5">
        <v>0</v>
      </c>
      <c r="AE919" s="5">
        <v>0</v>
      </c>
      <c r="AF919" s="5">
        <v>0.44</v>
      </c>
      <c r="AG919" s="5">
        <v>2.04</v>
      </c>
      <c r="AH919" s="5">
        <v>0</v>
      </c>
      <c r="AI919" s="5">
        <v>0</v>
      </c>
      <c r="AJ919" s="5">
        <v>0</v>
      </c>
      <c r="AK919" t="s">
        <v>236</v>
      </c>
      <c r="AL919" s="2" t="s">
        <v>237</v>
      </c>
      <c r="AM919" s="2"/>
      <c r="AN919" s="3"/>
      <c r="AO919" s="3">
        <v>3.5</v>
      </c>
      <c r="AP919" s="6">
        <f>((Table1[[#This Row],[Reject Startup (kg)]]+Table1[[#This Row],[Reject Prod (kg)]]+Table1[[#This Row],[Reject Purging (kg)]]+Table1[[#This Row],[Reject Preform (kg)]])/Table1[[#This Row],[Part Weight (gm)]])*1000</f>
        <v>194.27402862985684</v>
      </c>
    </row>
    <row r="920" spans="1:42" x14ac:dyDescent="0.35">
      <c r="A920" s="1">
        <v>45993</v>
      </c>
      <c r="B920">
        <v>1</v>
      </c>
      <c r="C920" t="s">
        <v>23</v>
      </c>
      <c r="D920" t="str" cm="1">
        <f t="array" ref="D920">IFERROR(INDEX(ReferenceCard, MATCH(1, (INDEX(ReferenceCard,,1)=Table1[[#This Row],[SAP No]]) * (INDEX(ReferenceCard,,2)=Table1[[#This Row],[Mould No]]), 0), 6),)</f>
        <v>PPSB520Y</v>
      </c>
      <c r="E920">
        <v>586276</v>
      </c>
      <c r="F920">
        <v>2</v>
      </c>
      <c r="G920" t="str" cm="1">
        <f t="array" ref="G920">IFERROR(INDEX(ReferenceCard, MATCH(1, (INDEX(ReferenceCard,,1)=Table1[[#This Row],[SAP No]]) * (INDEX(ReferenceCard,,2)=Table1[[#This Row],[Mould No]]), 0), 3),)</f>
        <v>BC28-0056-D-APH-LEB-604001-MOLD2</v>
      </c>
      <c r="H920">
        <v>0</v>
      </c>
      <c r="I920" cm="1">
        <f t="array" ref="I920">IFERROR(INDEX(ReferenceCard, MATCH(1, (INDEX(ReferenceCard,,1)=Table1[[#This Row],[SAP No]]) * (INDEX(ReferenceCard,,2)=Table1[[#This Row],[Mould No]]), 0), 4),)</f>
        <v>6</v>
      </c>
      <c r="J920" s="4" cm="1">
        <f t="array" ref="J920">IFERROR(INDEX(ReferenceCard, MATCH(1, (INDEX(ReferenceCard,,1)=Table1[[#This Row],[SAP No]]) * (INDEX(ReferenceCard,,2)=Table1[[#This Row],[Mould No]]), 0), 9),)</f>
        <v>12.3</v>
      </c>
      <c r="K920" s="4" cm="1">
        <f t="array" ref="K920">IFERROR(INDEX(ReferenceCard, MATCH(1, (INDEX(ReferenceCard,,1)=Table1[[#This Row],[SAP No]]) * (INDEX(ReferenceCard,,2)=Table1[[#This Row],[Mould No]]), 0), 7),)</f>
        <v>12.3</v>
      </c>
      <c r="L920">
        <v>13</v>
      </c>
      <c r="M920">
        <v>0</v>
      </c>
      <c r="N920">
        <v>0</v>
      </c>
      <c r="O920">
        <v>0</v>
      </c>
      <c r="P920">
        <f>Table1[[#This Row],[Shot]]*Table1[[#This Row],[Cav]]</f>
        <v>78</v>
      </c>
      <c r="Q920">
        <v>0</v>
      </c>
      <c r="R920">
        <f>(Table1[[#This Row],[Part Weight (gm)]]*Table1[[#This Row],[Finish Good]])/1000</f>
        <v>0</v>
      </c>
      <c r="S920">
        <v>0</v>
      </c>
      <c r="T920">
        <f>IF(Table1[[#This Row],[Qty Order]]="Sample","-",IF(Table1[[#This Row],[Qty Order]]="RTFN","-",Table1[[#This Row],[Qty Order]]-Table1[[#This Row],[Qty Accumulate]]))</f>
        <v>0</v>
      </c>
      <c r="U920">
        <f>((Table1[[#This Row],[Shift Output]]*Table1[[#This Row],[Part Weight (gm)]])/1000)+Table1[[#This Row],[Reject Startup (kg)]]+Table1[[#This Row],[Reject Purging (kg)]]+Table1[[#This Row],[Reject Preform (kg)]]</f>
        <v>0.95940000000000014</v>
      </c>
      <c r="V920" s="37">
        <f>(Table1[[#This Row],[Gross Weight (gm)]]-Table1[[#This Row],[Part Weight (gm)]])*Table1[[#This Row],[Shift Output]]/1000</f>
        <v>0</v>
      </c>
      <c r="W920" s="3">
        <v>0</v>
      </c>
      <c r="X920" s="36">
        <f>Table1[[#This Row],[Reject Startup (kg)]]/Table1[[#This Row],[Material Used]]</f>
        <v>0</v>
      </c>
      <c r="Y920" s="3">
        <v>0</v>
      </c>
      <c r="Z920" s="36">
        <f>Table1[[#This Row],[Reject Prod (kg)]]/Table1[[#This Row],[Material Used]]</f>
        <v>0</v>
      </c>
      <c r="AA920" s="4">
        <v>0</v>
      </c>
      <c r="AB920" s="5">
        <v>7.0000000000000007E-2</v>
      </c>
      <c r="AC920" s="4" cm="1">
        <f t="array" ref="AC920">IFERROR(INDEX(ReferenceCard, MATCH(1, (INDEX(ReferenceCard,,1)=Table1[[#This Row],[SAP No]]) * (INDEX(ReferenceCard,,2)=Table1[[#This Row],[Mould No]]), 0), 9),)</f>
        <v>12.3</v>
      </c>
      <c r="AD920" s="5">
        <v>0</v>
      </c>
      <c r="AE920" s="5">
        <v>0</v>
      </c>
      <c r="AF920" s="5">
        <v>0</v>
      </c>
      <c r="AG920" s="5">
        <v>13.46</v>
      </c>
      <c r="AH920" s="5">
        <v>0</v>
      </c>
      <c r="AI920" s="5">
        <v>0</v>
      </c>
      <c r="AJ920" s="5">
        <v>0</v>
      </c>
      <c r="AL920" s="2"/>
      <c r="AM920" s="2"/>
      <c r="AN920" s="3">
        <v>0</v>
      </c>
      <c r="AO920" s="3">
        <v>0</v>
      </c>
      <c r="AP920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21" spans="1:42" x14ac:dyDescent="0.35">
      <c r="A921" s="1">
        <v>45993</v>
      </c>
      <c r="B921">
        <v>1</v>
      </c>
      <c r="C921" t="s">
        <v>25</v>
      </c>
      <c r="D921" t="str" cm="1">
        <f t="array" ref="D921">IFERROR(INDEX(ReferenceCard, MATCH(1, (INDEX(ReferenceCard,,1)=Table1[[#This Row],[SAP No]]) * (INDEX(ReferenceCard,,2)=Table1[[#This Row],[Mould No]]), 0), 6),)</f>
        <v>PET</v>
      </c>
      <c r="E921">
        <v>323133</v>
      </c>
      <c r="F921">
        <v>0</v>
      </c>
      <c r="G921" t="str" cm="1">
        <f t="array" ref="G921">IFERROR(INDEX(ReferenceCard, MATCH(1, (INDEX(ReferenceCard,,1)=Table1[[#This Row],[SAP No]]) * (INDEX(ReferenceCard,,2)=Table1[[#This Row],[Mould No]]), 0), 3),)</f>
        <v>BX38-2000-RH-R-CL(GREEN) (ASEM)</v>
      </c>
      <c r="H921">
        <v>0</v>
      </c>
      <c r="I921" cm="1">
        <f t="array" ref="I921">IFERROR(INDEX(ReferenceCard, MATCH(1, (INDEX(ReferenceCard,,1)=Table1[[#This Row],[SAP No]]) * (INDEX(ReferenceCard,,2)=Table1[[#This Row],[Mould No]]), 0), 4),)</f>
        <v>4</v>
      </c>
      <c r="J921" s="4" cm="1">
        <f t="array" ref="J921">IFERROR(INDEX(ReferenceCard, MATCH(1, (INDEX(ReferenceCard,,1)=Table1[[#This Row],[SAP No]]) * (INDEX(ReferenceCard,,2)=Table1[[#This Row],[Mould No]]), 0), 9),)</f>
        <v>77</v>
      </c>
      <c r="K921" s="4" cm="1">
        <f t="array" ref="K921">IFERROR(INDEX(ReferenceCard, MATCH(1, (INDEX(ReferenceCard,,1)=Table1[[#This Row],[SAP No]]) * (INDEX(ReferenceCard,,2)=Table1[[#This Row],[Mould No]]), 0), 7),)</f>
        <v>77</v>
      </c>
      <c r="L921">
        <v>3958</v>
      </c>
      <c r="M921">
        <v>0</v>
      </c>
      <c r="N921">
        <v>0</v>
      </c>
      <c r="O921">
        <v>0</v>
      </c>
      <c r="P921">
        <f>Table1[[#This Row],[Shot]]*Table1[[#This Row],[Cav]]</f>
        <v>15832</v>
      </c>
      <c r="Q921">
        <v>0</v>
      </c>
      <c r="R921">
        <f>(Table1[[#This Row],[Part Weight (gm)]]*Table1[[#This Row],[Finish Good]])/1000</f>
        <v>0</v>
      </c>
      <c r="S921">
        <v>0</v>
      </c>
      <c r="T921">
        <f>IF(Table1[[#This Row],[Qty Order]]="Sample","-",IF(Table1[[#This Row],[Qty Order]]="RTFN","-",Table1[[#This Row],[Qty Order]]-Table1[[#This Row],[Qty Accumulate]]))</f>
        <v>0</v>
      </c>
      <c r="U921">
        <f>((Table1[[#This Row],[Shift Output]]*Table1[[#This Row],[Part Weight (gm)]])/1000)+Table1[[#This Row],[Reject Startup (kg)]]+Table1[[#This Row],[Reject Purging (kg)]]+Table1[[#This Row],[Reject Preform (kg)]]</f>
        <v>1241.364</v>
      </c>
      <c r="V921" s="37">
        <f>(Table1[[#This Row],[Gross Weight (gm)]]-Table1[[#This Row],[Part Weight (gm)]])*Table1[[#This Row],[Shift Output]]/1000</f>
        <v>0</v>
      </c>
      <c r="W921" s="3">
        <v>11</v>
      </c>
      <c r="X921" s="36">
        <f>Table1[[#This Row],[Reject Startup (kg)]]/Table1[[#This Row],[Material Used]]</f>
        <v>8.8612203994960382E-3</v>
      </c>
      <c r="Y921" s="3">
        <v>32</v>
      </c>
      <c r="Z921" s="36">
        <f>Table1[[#This Row],[Reject Prod (kg)]]/Table1[[#This Row],[Material Used]]</f>
        <v>2.5778095707624838E-2</v>
      </c>
      <c r="AA921" s="4">
        <v>43.236339569091697</v>
      </c>
      <c r="AB921" s="5">
        <v>2.95</v>
      </c>
      <c r="AC921" s="4" cm="1">
        <f t="array" ref="AC921">IFERROR(INDEX(ReferenceCard, MATCH(1, (INDEX(ReferenceCard,,1)=Table1[[#This Row],[SAP No]]) * (INDEX(ReferenceCard,,2)=Table1[[#This Row],[Mould No]]), 0), 9),)</f>
        <v>77</v>
      </c>
      <c r="AD921" s="5">
        <v>0</v>
      </c>
      <c r="AE921" s="5">
        <v>0</v>
      </c>
      <c r="AF921" s="5">
        <v>0</v>
      </c>
      <c r="AG921" s="5">
        <v>0</v>
      </c>
      <c r="AH921" s="5">
        <v>10.58</v>
      </c>
      <c r="AI921" s="5">
        <v>0</v>
      </c>
      <c r="AJ921" s="5">
        <v>0</v>
      </c>
      <c r="AL921" s="2"/>
      <c r="AM921" s="2"/>
      <c r="AN921" s="3">
        <v>6.5</v>
      </c>
      <c r="AO921" s="3">
        <v>4.7999999999999901</v>
      </c>
      <c r="AP921" s="6">
        <f>((Table1[[#This Row],[Reject Startup (kg)]]+Table1[[#This Row],[Reject Prod (kg)]]+Table1[[#This Row],[Reject Purging (kg)]]+Table1[[#This Row],[Reject Preform (kg)]])/Table1[[#This Row],[Part Weight (gm)]])*1000</f>
        <v>705.19480519480499</v>
      </c>
    </row>
    <row r="922" spans="1:42" x14ac:dyDescent="0.35">
      <c r="A922" s="1">
        <v>45993</v>
      </c>
      <c r="B922">
        <v>1</v>
      </c>
      <c r="C922" t="s">
        <v>27</v>
      </c>
      <c r="D922" t="str" cm="1">
        <f t="array" ref="D922">IFERROR(INDEX(ReferenceCard, MATCH(1, (INDEX(ReferenceCard,,1)=Table1[[#This Row],[SAP No]]) * (INDEX(ReferenceCard,,2)=Table1[[#This Row],[Mould No]]), 0), 6),)</f>
        <v>PPSB520Y</v>
      </c>
      <c r="E922">
        <v>552181</v>
      </c>
      <c r="F922">
        <v>4</v>
      </c>
      <c r="G922" t="str" cm="1">
        <f t="array" ref="G922">IFERROR(INDEX(ReferenceCard, MATCH(1, (INDEX(ReferenceCard,,1)=Table1[[#This Row],[SAP No]]) * (INDEX(ReferenceCard,,2)=Table1[[#This Row],[Mould No]]), 0), 3),)</f>
        <v>BC28-0090-D-APH-5180-3538-PP-6 NOTCHES-MOLD4</v>
      </c>
      <c r="H922">
        <v>0</v>
      </c>
      <c r="I922" cm="1">
        <f t="array" ref="I922">IFERROR(INDEX(ReferenceCard, MATCH(1, (INDEX(ReferenceCard,,1)=Table1[[#This Row],[SAP No]]) * (INDEX(ReferenceCard,,2)=Table1[[#This Row],[Mould No]]), 0), 4),)</f>
        <v>6</v>
      </c>
      <c r="J922" s="4" cm="1">
        <f t="array" ref="J922">IFERROR(INDEX(ReferenceCard, MATCH(1, (INDEX(ReferenceCard,,1)=Table1[[#This Row],[SAP No]]) * (INDEX(ReferenceCard,,2)=Table1[[#This Row],[Mould No]]), 0), 9),)</f>
        <v>18.8</v>
      </c>
      <c r="K922" s="4" cm="1">
        <f t="array" ref="K922">IFERROR(INDEX(ReferenceCard, MATCH(1, (INDEX(ReferenceCard,,1)=Table1[[#This Row],[SAP No]]) * (INDEX(ReferenceCard,,2)=Table1[[#This Row],[Mould No]]), 0), 7),)</f>
        <v>18.8</v>
      </c>
      <c r="L922">
        <v>38</v>
      </c>
      <c r="M922">
        <v>0</v>
      </c>
      <c r="N922">
        <v>0</v>
      </c>
      <c r="O922">
        <v>0</v>
      </c>
      <c r="P922">
        <f>Table1[[#This Row],[Shot]]*Table1[[#This Row],[Cav]]</f>
        <v>228</v>
      </c>
      <c r="Q922">
        <v>0</v>
      </c>
      <c r="R922">
        <f>(Table1[[#This Row],[Part Weight (gm)]]*Table1[[#This Row],[Finish Good]])/1000</f>
        <v>0</v>
      </c>
      <c r="S922">
        <v>0</v>
      </c>
      <c r="T922">
        <f>IF(Table1[[#This Row],[Qty Order]]="Sample","-",IF(Table1[[#This Row],[Qty Order]]="RTFN","-",Table1[[#This Row],[Qty Order]]-Table1[[#This Row],[Qty Accumulate]]))</f>
        <v>0</v>
      </c>
      <c r="U922">
        <f>((Table1[[#This Row],[Shift Output]]*Table1[[#This Row],[Part Weight (gm)]])/1000)+Table1[[#This Row],[Reject Startup (kg)]]+Table1[[#This Row],[Reject Purging (kg)]]+Table1[[#This Row],[Reject Preform (kg)]]</f>
        <v>16.2864</v>
      </c>
      <c r="V922" s="37">
        <f>(Table1[[#This Row],[Gross Weight (gm)]]-Table1[[#This Row],[Part Weight (gm)]])*Table1[[#This Row],[Shift Output]]/1000</f>
        <v>0</v>
      </c>
      <c r="W922" s="3">
        <v>12</v>
      </c>
      <c r="X922" s="36">
        <f>Table1[[#This Row],[Reject Startup (kg)]]/Table1[[#This Row],[Material Used]]</f>
        <v>0.73681108163866782</v>
      </c>
      <c r="Y922" s="3">
        <v>0</v>
      </c>
      <c r="Z922" s="36">
        <f>Table1[[#This Row],[Reject Prod (kg)]]/Table1[[#This Row],[Material Used]]</f>
        <v>0</v>
      </c>
      <c r="AA922" s="4">
        <v>0</v>
      </c>
      <c r="AB922" s="5">
        <v>0.28000000000000003</v>
      </c>
      <c r="AC922" s="4" cm="1">
        <f t="array" ref="AC922">IFERROR(INDEX(ReferenceCard, MATCH(1, (INDEX(ReferenceCard,,1)=Table1[[#This Row],[SAP No]]) * (INDEX(ReferenceCard,,2)=Table1[[#This Row],[Mould No]]), 0), 9),)</f>
        <v>18.8</v>
      </c>
      <c r="AD922" s="5">
        <v>0</v>
      </c>
      <c r="AE922" s="5">
        <v>0</v>
      </c>
      <c r="AF922" s="5">
        <v>0</v>
      </c>
      <c r="AG922" s="5">
        <v>0</v>
      </c>
      <c r="AH922" s="5">
        <v>13.26</v>
      </c>
      <c r="AI922" s="5">
        <v>0</v>
      </c>
      <c r="AJ922" s="5">
        <v>0</v>
      </c>
      <c r="AL922" s="2"/>
      <c r="AM922" s="2"/>
      <c r="AN922" s="3">
        <v>0</v>
      </c>
      <c r="AO922" s="3">
        <v>0</v>
      </c>
      <c r="AP922" s="6">
        <f>((Table1[[#This Row],[Reject Startup (kg)]]+Table1[[#This Row],[Reject Prod (kg)]]+Table1[[#This Row],[Reject Purging (kg)]]+Table1[[#This Row],[Reject Preform (kg)]])/Table1[[#This Row],[Part Weight (gm)]])*1000</f>
        <v>638.29787234042544</v>
      </c>
    </row>
    <row r="923" spans="1:42" x14ac:dyDescent="0.35">
      <c r="A923" s="1">
        <v>45993</v>
      </c>
      <c r="B923">
        <v>1</v>
      </c>
      <c r="C923" t="s">
        <v>29</v>
      </c>
      <c r="D923" t="str" cm="1">
        <f t="array" ref="D923">IFERROR(INDEX(ReferenceCard, MATCH(1, (INDEX(ReferenceCard,,1)=Table1[[#This Row],[SAP No]]) * (INDEX(ReferenceCard,,2)=Table1[[#This Row],[Mould No]]), 0), 6),)</f>
        <v>PET</v>
      </c>
      <c r="E923">
        <v>620599</v>
      </c>
      <c r="F923">
        <v>0</v>
      </c>
      <c r="G923" t="str" cm="1">
        <f t="array" ref="G923">IFERROR(INDEX(ReferenceCard, MATCH(1, (INDEX(ReferenceCard,,1)=Table1[[#This Row],[SAP No]]) * (INDEX(ReferenceCard,,2)=Table1[[#This Row],[Mould No]]), 0), 3),)</f>
        <v>BC28-0750-K4-R-CL (55g)</v>
      </c>
      <c r="H923">
        <v>0</v>
      </c>
      <c r="I923" cm="1">
        <f t="array" ref="I923">IFERROR(INDEX(ReferenceCard, MATCH(1, (INDEX(ReferenceCard,,1)=Table1[[#This Row],[SAP No]]) * (INDEX(ReferenceCard,,2)=Table1[[#This Row],[Mould No]]), 0), 4),)</f>
        <v>4</v>
      </c>
      <c r="J923" s="4" cm="1">
        <f t="array" ref="J923">IFERROR(INDEX(ReferenceCard, MATCH(1, (INDEX(ReferenceCard,,1)=Table1[[#This Row],[SAP No]]) * (INDEX(ReferenceCard,,2)=Table1[[#This Row],[Mould No]]), 0), 9),)</f>
        <v>55</v>
      </c>
      <c r="K923" s="4" cm="1">
        <f t="array" ref="K923">IFERROR(INDEX(ReferenceCard, MATCH(1, (INDEX(ReferenceCard,,1)=Table1[[#This Row],[SAP No]]) * (INDEX(ReferenceCard,,2)=Table1[[#This Row],[Mould No]]), 0), 7),)</f>
        <v>55</v>
      </c>
      <c r="L923">
        <v>2353</v>
      </c>
      <c r="M923">
        <v>0</v>
      </c>
      <c r="N923">
        <v>0</v>
      </c>
      <c r="O923">
        <v>0</v>
      </c>
      <c r="P923">
        <f>Table1[[#This Row],[Shot]]*Table1[[#This Row],[Cav]]</f>
        <v>9412</v>
      </c>
      <c r="Q923">
        <v>0</v>
      </c>
      <c r="R923">
        <f>(Table1[[#This Row],[Part Weight (gm)]]*Table1[[#This Row],[Finish Good]])/1000</f>
        <v>0</v>
      </c>
      <c r="S923">
        <v>0</v>
      </c>
      <c r="T923">
        <f>IF(Table1[[#This Row],[Qty Order]]="Sample","-",IF(Table1[[#This Row],[Qty Order]]="RTFN","-",Table1[[#This Row],[Qty Order]]-Table1[[#This Row],[Qty Accumulate]]))</f>
        <v>0</v>
      </c>
      <c r="U923">
        <f>((Table1[[#This Row],[Shift Output]]*Table1[[#This Row],[Part Weight (gm)]])/1000)+Table1[[#This Row],[Reject Startup (kg)]]+Table1[[#This Row],[Reject Purging (kg)]]+Table1[[#This Row],[Reject Preform (kg)]]</f>
        <v>517.66</v>
      </c>
      <c r="V923" s="37">
        <f>(Table1[[#This Row],[Gross Weight (gm)]]-Table1[[#This Row],[Part Weight (gm)]])*Table1[[#This Row],[Shift Output]]/1000</f>
        <v>0</v>
      </c>
      <c r="W923" s="3">
        <v>0</v>
      </c>
      <c r="X923" s="36">
        <f>Table1[[#This Row],[Reject Startup (kg)]]/Table1[[#This Row],[Material Used]]</f>
        <v>0</v>
      </c>
      <c r="Y923" s="3">
        <v>22</v>
      </c>
      <c r="Z923" s="36">
        <f>Table1[[#This Row],[Reject Prod (kg)]]/Table1[[#This Row],[Material Used]]</f>
        <v>4.2498937526561836E-2</v>
      </c>
      <c r="AA923" s="4">
        <v>27.506034851074201</v>
      </c>
      <c r="AB923" s="5">
        <v>3.6499999999999901</v>
      </c>
      <c r="AC923" s="4" cm="1">
        <f t="array" ref="AC923">IFERROR(INDEX(ReferenceCard, MATCH(1, (INDEX(ReferenceCard,,1)=Table1[[#This Row],[SAP No]]) * (INDEX(ReferenceCard,,2)=Table1[[#This Row],[Mould No]]), 0), 9),)</f>
        <v>55</v>
      </c>
      <c r="AD923" s="5">
        <v>0</v>
      </c>
      <c r="AE923" s="5">
        <v>0</v>
      </c>
      <c r="AF923" s="5">
        <v>0</v>
      </c>
      <c r="AG923" s="5">
        <v>0</v>
      </c>
      <c r="AH923" s="5">
        <v>9.8800000000000008</v>
      </c>
      <c r="AI923" s="5">
        <v>0</v>
      </c>
      <c r="AJ923" s="5">
        <v>0</v>
      </c>
      <c r="AL923" s="2"/>
      <c r="AM923" s="2"/>
      <c r="AN923" s="3">
        <v>0</v>
      </c>
      <c r="AO923" s="3">
        <v>0</v>
      </c>
      <c r="AP923" s="6">
        <f>((Table1[[#This Row],[Reject Startup (kg)]]+Table1[[#This Row],[Reject Prod (kg)]]+Table1[[#This Row],[Reject Purging (kg)]]+Table1[[#This Row],[Reject Preform (kg)]])/Table1[[#This Row],[Part Weight (gm)]])*1000</f>
        <v>400</v>
      </c>
    </row>
    <row r="924" spans="1:42" x14ac:dyDescent="0.35">
      <c r="A924" s="1">
        <v>45993</v>
      </c>
      <c r="B924">
        <v>1</v>
      </c>
      <c r="C924" t="s">
        <v>31</v>
      </c>
      <c r="D924" t="str" cm="1">
        <f t="array" ref="D924">IFERROR(INDEX(ReferenceCard, MATCH(1, (INDEX(ReferenceCard,,1)=Table1[[#This Row],[SAP No]]) * (INDEX(ReferenceCard,,2)=Table1[[#This Row],[Mould No]]), 0), 6),)</f>
        <v>PPSB520Y</v>
      </c>
      <c r="E924">
        <v>586276</v>
      </c>
      <c r="F924">
        <v>4</v>
      </c>
      <c r="G924" t="str" cm="1">
        <f t="array" ref="G924">IFERROR(INDEX(ReferenceCard, MATCH(1, (INDEX(ReferenceCard,,1)=Table1[[#This Row],[SAP No]]) * (INDEX(ReferenceCard,,2)=Table1[[#This Row],[Mould No]]), 0), 3),)</f>
        <v>BC28-0056-D-APH-LEB-604001-MOLD4</v>
      </c>
      <c r="H924">
        <v>0</v>
      </c>
      <c r="I924" cm="1">
        <f t="array" ref="I924">IFERROR(INDEX(ReferenceCard, MATCH(1, (INDEX(ReferenceCard,,1)=Table1[[#This Row],[SAP No]]) * (INDEX(ReferenceCard,,2)=Table1[[#This Row],[Mould No]]), 0), 4),)</f>
        <v>6</v>
      </c>
      <c r="J924" s="4" cm="1">
        <f t="array" ref="J924">IFERROR(INDEX(ReferenceCard, MATCH(1, (INDEX(ReferenceCard,,1)=Table1[[#This Row],[SAP No]]) * (INDEX(ReferenceCard,,2)=Table1[[#This Row],[Mould No]]), 0), 9),)</f>
        <v>12.3</v>
      </c>
      <c r="K924" s="4" cm="1">
        <f t="array" ref="K924">IFERROR(INDEX(ReferenceCard, MATCH(1, (INDEX(ReferenceCard,,1)=Table1[[#This Row],[SAP No]]) * (INDEX(ReferenceCard,,2)=Table1[[#This Row],[Mould No]]), 0), 7),)</f>
        <v>12.3</v>
      </c>
      <c r="L924">
        <v>2908</v>
      </c>
      <c r="M924">
        <v>0</v>
      </c>
      <c r="N924">
        <v>0</v>
      </c>
      <c r="O924">
        <v>0</v>
      </c>
      <c r="P924">
        <f>Table1[[#This Row],[Shot]]*Table1[[#This Row],[Cav]]</f>
        <v>17448</v>
      </c>
      <c r="Q924">
        <v>0</v>
      </c>
      <c r="R924">
        <f>(Table1[[#This Row],[Part Weight (gm)]]*Table1[[#This Row],[Finish Good]])/1000</f>
        <v>0</v>
      </c>
      <c r="S924">
        <v>0</v>
      </c>
      <c r="T924">
        <f>IF(Table1[[#This Row],[Qty Order]]="Sample","-",IF(Table1[[#This Row],[Qty Order]]="RTFN","-",Table1[[#This Row],[Qty Order]]-Table1[[#This Row],[Qty Accumulate]]))</f>
        <v>0</v>
      </c>
      <c r="U924">
        <f>((Table1[[#This Row],[Shift Output]]*Table1[[#This Row],[Part Weight (gm)]])/1000)+Table1[[#This Row],[Reject Startup (kg)]]+Table1[[#This Row],[Reject Purging (kg)]]+Table1[[#This Row],[Reject Preform (kg)]]</f>
        <v>214.61040000000003</v>
      </c>
      <c r="V924" s="37">
        <f>(Table1[[#This Row],[Gross Weight (gm)]]-Table1[[#This Row],[Part Weight (gm)]])*Table1[[#This Row],[Shift Output]]/1000</f>
        <v>0</v>
      </c>
      <c r="W924" s="3">
        <v>0</v>
      </c>
      <c r="X924" s="36">
        <f>Table1[[#This Row],[Reject Startup (kg)]]/Table1[[#This Row],[Material Used]]</f>
        <v>0</v>
      </c>
      <c r="Y924" s="3">
        <v>1</v>
      </c>
      <c r="Z924" s="36">
        <f>Table1[[#This Row],[Reject Prod (kg)]]/Table1[[#This Row],[Material Used]]</f>
        <v>4.659606431002411E-3</v>
      </c>
      <c r="AA924" s="4">
        <v>26.3149509429931</v>
      </c>
      <c r="AB924" s="5">
        <v>13.5299999999999</v>
      </c>
      <c r="AC924" s="4" cm="1">
        <f t="array" ref="AC924">IFERROR(INDEX(ReferenceCard, MATCH(1, (INDEX(ReferenceCard,,1)=Table1[[#This Row],[SAP No]]) * (INDEX(ReferenceCard,,2)=Table1[[#This Row],[Mould No]]), 0), 9),)</f>
        <v>12.3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L924" s="2"/>
      <c r="AM924" s="2"/>
      <c r="AN924" s="3">
        <v>0</v>
      </c>
      <c r="AO924" s="3">
        <v>0</v>
      </c>
      <c r="AP924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925" spans="1:42" x14ac:dyDescent="0.35">
      <c r="A925" s="1">
        <v>45993</v>
      </c>
      <c r="B925">
        <v>1</v>
      </c>
      <c r="C925" t="s">
        <v>33</v>
      </c>
      <c r="D925" t="str" cm="1">
        <f t="array" ref="D925">IFERROR(INDEX(ReferenceCard, MATCH(1, (INDEX(ReferenceCard,,1)=Table1[[#This Row],[SAP No]]) * (INDEX(ReferenceCard,,2)=Table1[[#This Row],[Mould No]]), 0), 6),)</f>
        <v>PET</v>
      </c>
      <c r="E925">
        <v>541381</v>
      </c>
      <c r="F925">
        <v>0</v>
      </c>
      <c r="G925" t="str" cm="1">
        <f t="array" ref="G925">IFERROR(INDEX(ReferenceCard, MATCH(1, (INDEX(ReferenceCard,,1)=Table1[[#This Row],[SAP No]]) * (INDEX(ReferenceCard,,2)=Table1[[#This Row],[Mould No]]), 0), 3),)</f>
        <v>BC28-1200-K-R-CL</v>
      </c>
      <c r="H925">
        <v>0</v>
      </c>
      <c r="I925" cm="1">
        <f t="array" ref="I925">IFERROR(INDEX(ReferenceCard, MATCH(1, (INDEX(ReferenceCard,,1)=Table1[[#This Row],[SAP No]]) * (INDEX(ReferenceCard,,2)=Table1[[#This Row],[Mould No]]), 0), 4),)</f>
        <v>4</v>
      </c>
      <c r="J925" s="4" cm="1">
        <f t="array" ref="J925">IFERROR(INDEX(ReferenceCard, MATCH(1, (INDEX(ReferenceCard,,1)=Table1[[#This Row],[SAP No]]) * (INDEX(ReferenceCard,,2)=Table1[[#This Row],[Mould No]]), 0), 9),)</f>
        <v>55</v>
      </c>
      <c r="K925" s="4" cm="1">
        <f t="array" ref="K925">IFERROR(INDEX(ReferenceCard, MATCH(1, (INDEX(ReferenceCard,,1)=Table1[[#This Row],[SAP No]]) * (INDEX(ReferenceCard,,2)=Table1[[#This Row],[Mould No]]), 0), 7),)</f>
        <v>55</v>
      </c>
      <c r="L925">
        <v>136</v>
      </c>
      <c r="M925">
        <v>0</v>
      </c>
      <c r="N925">
        <v>0</v>
      </c>
      <c r="O925">
        <v>0</v>
      </c>
      <c r="P925">
        <f>Table1[[#This Row],[Shot]]*Table1[[#This Row],[Cav]]</f>
        <v>544</v>
      </c>
      <c r="Q925">
        <v>0</v>
      </c>
      <c r="R925">
        <f>(Table1[[#This Row],[Part Weight (gm)]]*Table1[[#This Row],[Finish Good]])/1000</f>
        <v>0</v>
      </c>
      <c r="S925">
        <v>0</v>
      </c>
      <c r="T925">
        <f>IF(Table1[[#This Row],[Qty Order]]="Sample","-",IF(Table1[[#This Row],[Qty Order]]="RTFN","-",Table1[[#This Row],[Qty Order]]-Table1[[#This Row],[Qty Accumulate]]))</f>
        <v>0</v>
      </c>
      <c r="U925">
        <f>((Table1[[#This Row],[Shift Output]]*Table1[[#This Row],[Part Weight (gm)]])/1000)+Table1[[#This Row],[Reject Startup (kg)]]+Table1[[#This Row],[Reject Purging (kg)]]+Table1[[#This Row],[Reject Preform (kg)]]</f>
        <v>29.92</v>
      </c>
      <c r="V925" s="37">
        <f>(Table1[[#This Row],[Gross Weight (gm)]]-Table1[[#This Row],[Part Weight (gm)]])*Table1[[#This Row],[Shift Output]]/1000</f>
        <v>0</v>
      </c>
      <c r="W925" s="3">
        <v>0</v>
      </c>
      <c r="X925" s="36">
        <f>Table1[[#This Row],[Reject Startup (kg)]]/Table1[[#This Row],[Material Used]]</f>
        <v>0</v>
      </c>
      <c r="Y925" s="3">
        <v>7</v>
      </c>
      <c r="Z925" s="36">
        <f>Table1[[#This Row],[Reject Prod (kg)]]/Table1[[#This Row],[Material Used]]</f>
        <v>0.23395721925133689</v>
      </c>
      <c r="AA925" s="4">
        <v>0</v>
      </c>
      <c r="AB925" s="5">
        <v>0.75</v>
      </c>
      <c r="AC925" s="4" cm="1">
        <f t="array" ref="AC925">IFERROR(INDEX(ReferenceCard, MATCH(1, (INDEX(ReferenceCard,,1)=Table1[[#This Row],[SAP No]]) * (INDEX(ReferenceCard,,2)=Table1[[#This Row],[Mould No]]), 0), 9),)</f>
        <v>55</v>
      </c>
      <c r="AD925" s="5">
        <v>0</v>
      </c>
      <c r="AE925" s="5">
        <v>0</v>
      </c>
      <c r="AF925" s="5">
        <v>0</v>
      </c>
      <c r="AG925" s="5">
        <v>0</v>
      </c>
      <c r="AH925" s="5">
        <v>12.7899999999999</v>
      </c>
      <c r="AI925" s="5">
        <v>0</v>
      </c>
      <c r="AJ925" s="5">
        <v>0</v>
      </c>
      <c r="AL925" s="2"/>
      <c r="AM925" s="2"/>
      <c r="AN925" s="3">
        <v>0</v>
      </c>
      <c r="AO925" s="3">
        <v>0</v>
      </c>
      <c r="AP925" s="6">
        <f>((Table1[[#This Row],[Reject Startup (kg)]]+Table1[[#This Row],[Reject Prod (kg)]]+Table1[[#This Row],[Reject Purging (kg)]]+Table1[[#This Row],[Reject Preform (kg)]])/Table1[[#This Row],[Part Weight (gm)]])*1000</f>
        <v>127.27272727272727</v>
      </c>
    </row>
    <row r="926" spans="1:42" x14ac:dyDescent="0.35">
      <c r="A926" s="1">
        <v>45993</v>
      </c>
      <c r="B926">
        <v>1</v>
      </c>
      <c r="C926" t="s">
        <v>35</v>
      </c>
      <c r="D926" t="str" cm="1">
        <f t="array" ref="D926">IFERROR(INDEX(ReferenceCard, MATCH(1, (INDEX(ReferenceCard,,1)=Table1[[#This Row],[SAP No]]) * (INDEX(ReferenceCard,,2)=Table1[[#This Row],[Mould No]]), 0), 6),)</f>
        <v>PPSB520Y</v>
      </c>
      <c r="E926">
        <v>552181</v>
      </c>
      <c r="F926">
        <v>1</v>
      </c>
      <c r="G926" t="str" cm="1">
        <f t="array" ref="G926">IFERROR(INDEX(ReferenceCard, MATCH(1, (INDEX(ReferenceCard,,1)=Table1[[#This Row],[SAP No]]) * (INDEX(ReferenceCard,,2)=Table1[[#This Row],[Mould No]]), 0), 3),)</f>
        <v>BC28-0090-D-APH-5180-3538-PP-6 NOTCHES-MOLD1</v>
      </c>
      <c r="H926">
        <v>0</v>
      </c>
      <c r="I926" cm="1">
        <f t="array" ref="I926">IFERROR(INDEX(ReferenceCard, MATCH(1, (INDEX(ReferenceCard,,1)=Table1[[#This Row],[SAP No]]) * (INDEX(ReferenceCard,,2)=Table1[[#This Row],[Mould No]]), 0), 4),)</f>
        <v>6</v>
      </c>
      <c r="J926" s="4" cm="1">
        <f t="array" ref="J926">IFERROR(INDEX(ReferenceCard, MATCH(1, (INDEX(ReferenceCard,,1)=Table1[[#This Row],[SAP No]]) * (INDEX(ReferenceCard,,2)=Table1[[#This Row],[Mould No]]), 0), 9),)</f>
        <v>18.8</v>
      </c>
      <c r="K926" s="4" cm="1">
        <f t="array" ref="K926">IFERROR(INDEX(ReferenceCard, MATCH(1, (INDEX(ReferenceCard,,1)=Table1[[#This Row],[SAP No]]) * (INDEX(ReferenceCard,,2)=Table1[[#This Row],[Mould No]]), 0), 7),)</f>
        <v>18.8</v>
      </c>
      <c r="L926">
        <v>2460</v>
      </c>
      <c r="M926">
        <v>0</v>
      </c>
      <c r="N926">
        <v>0</v>
      </c>
      <c r="O926">
        <v>0</v>
      </c>
      <c r="P926">
        <f>Table1[[#This Row],[Shot]]*Table1[[#This Row],[Cav]]</f>
        <v>14760</v>
      </c>
      <c r="Q926">
        <v>0</v>
      </c>
      <c r="R926">
        <f>(Table1[[#This Row],[Part Weight (gm)]]*Table1[[#This Row],[Finish Good]])/1000</f>
        <v>0</v>
      </c>
      <c r="S926">
        <v>0</v>
      </c>
      <c r="T926">
        <f>IF(Table1[[#This Row],[Qty Order]]="Sample","-",IF(Table1[[#This Row],[Qty Order]]="RTFN","-",Table1[[#This Row],[Qty Order]]-Table1[[#This Row],[Qty Accumulate]]))</f>
        <v>0</v>
      </c>
      <c r="U926">
        <f>((Table1[[#This Row],[Shift Output]]*Table1[[#This Row],[Part Weight (gm)]])/1000)+Table1[[#This Row],[Reject Startup (kg)]]+Table1[[#This Row],[Reject Purging (kg)]]+Table1[[#This Row],[Reject Preform (kg)]]</f>
        <v>277.488</v>
      </c>
      <c r="V926" s="37">
        <f>(Table1[[#This Row],[Gross Weight (gm)]]-Table1[[#This Row],[Part Weight (gm)]])*Table1[[#This Row],[Shift Output]]/1000</f>
        <v>0</v>
      </c>
      <c r="W926" s="3">
        <v>0</v>
      </c>
      <c r="X926" s="36">
        <f>Table1[[#This Row],[Reject Startup (kg)]]/Table1[[#This Row],[Material Used]]</f>
        <v>0</v>
      </c>
      <c r="Y926" s="3">
        <v>3</v>
      </c>
      <c r="Z926" s="36">
        <f>Table1[[#This Row],[Reject Prod (kg)]]/Table1[[#This Row],[Material Used]]</f>
        <v>1.0811278325549213E-2</v>
      </c>
      <c r="AA926" s="4">
        <v>31.8820266723632</v>
      </c>
      <c r="AB926" s="5">
        <v>11.74</v>
      </c>
      <c r="AC926" s="4" cm="1">
        <f t="array" ref="AC926">IFERROR(INDEX(ReferenceCard, MATCH(1, (INDEX(ReferenceCard,,1)=Table1[[#This Row],[SAP No]]) * (INDEX(ReferenceCard,,2)=Table1[[#This Row],[Mould No]]), 0), 9),)</f>
        <v>18.8</v>
      </c>
      <c r="AD926" s="5">
        <v>0</v>
      </c>
      <c r="AE926" s="5">
        <v>0</v>
      </c>
      <c r="AF926" s="5">
        <v>0</v>
      </c>
      <c r="AG926" s="5">
        <v>0</v>
      </c>
      <c r="AH926" s="5">
        <v>1.8</v>
      </c>
      <c r="AI926" s="5">
        <v>0</v>
      </c>
      <c r="AJ926" s="5">
        <v>0</v>
      </c>
      <c r="AL926" s="2"/>
      <c r="AM926" s="2"/>
      <c r="AN926" s="3">
        <v>0</v>
      </c>
      <c r="AO926" s="3">
        <v>0</v>
      </c>
      <c r="AP926" s="6">
        <f>((Table1[[#This Row],[Reject Startup (kg)]]+Table1[[#This Row],[Reject Prod (kg)]]+Table1[[#This Row],[Reject Purging (kg)]]+Table1[[#This Row],[Reject Preform (kg)]])/Table1[[#This Row],[Part Weight (gm)]])*1000</f>
        <v>159.57446808510636</v>
      </c>
    </row>
    <row r="927" spans="1:42" x14ac:dyDescent="0.35">
      <c r="A927" s="1">
        <v>45993</v>
      </c>
      <c r="B927">
        <v>1</v>
      </c>
      <c r="C927" t="s">
        <v>18</v>
      </c>
      <c r="D927" t="str" cm="1">
        <f t="array" ref="D927">IFERROR(INDEX(ReferenceCard, MATCH(1, (INDEX(ReferenceCard,,1)=Table1[[#This Row],[SAP No]]) * (INDEX(ReferenceCard,,2)=Table1[[#This Row],[Mould No]]), 0), 6),)</f>
        <v>PPSB520Y</v>
      </c>
      <c r="E927">
        <v>555979</v>
      </c>
      <c r="F927">
        <v>4</v>
      </c>
      <c r="G927" t="str" cm="1">
        <f t="array" ref="G927">IFERROR(INDEX(ReferenceCard, MATCH(1, (INDEX(ReferenceCard,,1)=Table1[[#This Row],[SAP No]]) * (INDEX(ReferenceCard,,2)=Table1[[#This Row],[Mould No]]), 0), 3),)</f>
        <v>BC28-0170-D-APH-5180-3539-PP-6 NOTCHES-MOLD4</v>
      </c>
      <c r="H927">
        <v>0</v>
      </c>
      <c r="I927" cm="1">
        <f t="array" ref="I927">IFERROR(INDEX(ReferenceCard, MATCH(1, (INDEX(ReferenceCard,,1)=Table1[[#This Row],[SAP No]]) * (INDEX(ReferenceCard,,2)=Table1[[#This Row],[Mould No]]), 0), 4),)</f>
        <v>6</v>
      </c>
      <c r="J927" s="4" cm="1">
        <f t="array" ref="J927">IFERROR(INDEX(ReferenceCard, MATCH(1, (INDEX(ReferenceCard,,1)=Table1[[#This Row],[SAP No]]) * (INDEX(ReferenceCard,,2)=Table1[[#This Row],[Mould No]]), 0), 9),)</f>
        <v>28</v>
      </c>
      <c r="K927" s="4" cm="1">
        <f t="array" ref="K927">IFERROR(INDEX(ReferenceCard, MATCH(1, (INDEX(ReferenceCard,,1)=Table1[[#This Row],[SAP No]]) * (INDEX(ReferenceCard,,2)=Table1[[#This Row],[Mould No]]), 0), 7),)</f>
        <v>28</v>
      </c>
      <c r="L927">
        <v>0</v>
      </c>
      <c r="M927">
        <v>0</v>
      </c>
      <c r="N927">
        <v>0</v>
      </c>
      <c r="O927">
        <v>0</v>
      </c>
      <c r="P927">
        <f>Table1[[#This Row],[Shot]]*Table1[[#This Row],[Cav]]</f>
        <v>0</v>
      </c>
      <c r="Q927">
        <v>0</v>
      </c>
      <c r="R927">
        <f>(Table1[[#This Row],[Part Weight (gm)]]*Table1[[#This Row],[Finish Good]])/1000</f>
        <v>0</v>
      </c>
      <c r="S927">
        <v>0</v>
      </c>
      <c r="T927">
        <f>IF(Table1[[#This Row],[Qty Order]]="Sample","-",IF(Table1[[#This Row],[Qty Order]]="RTFN","-",Table1[[#This Row],[Qty Order]]-Table1[[#This Row],[Qty Accumulate]]))</f>
        <v>0</v>
      </c>
      <c r="U927">
        <f>((Table1[[#This Row],[Shift Output]]*Table1[[#This Row],[Part Weight (gm)]])/1000)+Table1[[#This Row],[Reject Startup (kg)]]+Table1[[#This Row],[Reject Purging (kg)]]+Table1[[#This Row],[Reject Preform (kg)]]</f>
        <v>7</v>
      </c>
      <c r="V927" s="37">
        <f>(Table1[[#This Row],[Gross Weight (gm)]]-Table1[[#This Row],[Part Weight (gm)]])*Table1[[#This Row],[Shift Output]]/1000</f>
        <v>0</v>
      </c>
      <c r="W927" s="3">
        <v>7</v>
      </c>
      <c r="X927" s="36">
        <f>Table1[[#This Row],[Reject Startup (kg)]]/Table1[[#This Row],[Material Used]]</f>
        <v>1</v>
      </c>
      <c r="Y927" s="3">
        <v>0</v>
      </c>
      <c r="Z927" s="36">
        <f>Table1[[#This Row],[Reject Prod (kg)]]/Table1[[#This Row],[Material Used]]</f>
        <v>0</v>
      </c>
      <c r="AA927" s="4">
        <v>0</v>
      </c>
      <c r="AB927" s="5">
        <v>0</v>
      </c>
      <c r="AC927" s="4" cm="1">
        <f t="array" ref="AC927">IFERROR(INDEX(ReferenceCard, MATCH(1, (INDEX(ReferenceCard,,1)=Table1[[#This Row],[SAP No]]) * (INDEX(ReferenceCard,,2)=Table1[[#This Row],[Mould No]]), 0), 9),)</f>
        <v>28</v>
      </c>
      <c r="AD927" s="5">
        <v>0</v>
      </c>
      <c r="AE927" s="5">
        <v>0</v>
      </c>
      <c r="AF927" s="5">
        <v>0</v>
      </c>
      <c r="AG927" s="5">
        <v>0</v>
      </c>
      <c r="AH927" s="5">
        <v>12</v>
      </c>
      <c r="AI927" s="5">
        <v>0</v>
      </c>
      <c r="AJ927" s="5">
        <v>0</v>
      </c>
      <c r="AK927" t="s">
        <v>238</v>
      </c>
      <c r="AL927" s="2"/>
      <c r="AM927" s="2"/>
      <c r="AN927" s="3">
        <v>0</v>
      </c>
      <c r="AO927" s="3">
        <v>0</v>
      </c>
      <c r="AP927" s="6">
        <f>((Table1[[#This Row],[Reject Startup (kg)]]+Table1[[#This Row],[Reject Prod (kg)]]+Table1[[#This Row],[Reject Purging (kg)]]+Table1[[#This Row],[Reject Preform (kg)]])/Table1[[#This Row],[Part Weight (gm)]])*1000</f>
        <v>250</v>
      </c>
    </row>
    <row r="928" spans="1:42" x14ac:dyDescent="0.35">
      <c r="A928" s="1">
        <v>45992</v>
      </c>
      <c r="B928">
        <v>2</v>
      </c>
      <c r="C928" t="s">
        <v>18</v>
      </c>
      <c r="D928" t="str" cm="1">
        <f t="array" ref="D928">IFERROR(INDEX(ReferenceCard, MATCH(1, (INDEX(ReferenceCard,,1)=Table1[[#This Row],[SAP No]]) * (INDEX(ReferenceCard,,2)=Table1[[#This Row],[Mould No]]), 0), 6),)</f>
        <v>PPSB520Y</v>
      </c>
      <c r="E928">
        <v>555979</v>
      </c>
      <c r="F928">
        <v>4</v>
      </c>
      <c r="G928" t="str" cm="1">
        <f t="array" ref="G928">IFERROR(INDEX(ReferenceCard, MATCH(1, (INDEX(ReferenceCard,,1)=Table1[[#This Row],[SAP No]]) * (INDEX(ReferenceCard,,2)=Table1[[#This Row],[Mould No]]), 0), 3),)</f>
        <v>BC28-0170-D-APH-5180-3539-PP-6 NOTCHES-MOLD4</v>
      </c>
      <c r="H928">
        <v>0</v>
      </c>
      <c r="I928" cm="1">
        <f t="array" ref="I928">IFERROR(INDEX(ReferenceCard, MATCH(1, (INDEX(ReferenceCard,,1)=Table1[[#This Row],[SAP No]]) * (INDEX(ReferenceCard,,2)=Table1[[#This Row],[Mould No]]), 0), 4),)</f>
        <v>6</v>
      </c>
      <c r="J928" s="4" cm="1">
        <f t="array" ref="J928">IFERROR(INDEX(ReferenceCard, MATCH(1, (INDEX(ReferenceCard,,1)=Table1[[#This Row],[SAP No]]) * (INDEX(ReferenceCard,,2)=Table1[[#This Row],[Mould No]]), 0), 9),)</f>
        <v>28</v>
      </c>
      <c r="K928" s="4" cm="1">
        <f t="array" ref="K928">IFERROR(INDEX(ReferenceCard, MATCH(1, (INDEX(ReferenceCard,,1)=Table1[[#This Row],[SAP No]]) * (INDEX(ReferenceCard,,2)=Table1[[#This Row],[Mould No]]), 0), 7),)</f>
        <v>28</v>
      </c>
      <c r="L928">
        <v>0</v>
      </c>
      <c r="M928">
        <v>0</v>
      </c>
      <c r="N928">
        <v>0</v>
      </c>
      <c r="O928">
        <v>0</v>
      </c>
      <c r="P928">
        <f>Table1[[#This Row],[Shot]]*Table1[[#This Row],[Cav]]</f>
        <v>0</v>
      </c>
      <c r="Q928">
        <v>0</v>
      </c>
      <c r="R928">
        <f>(Table1[[#This Row],[Part Weight (gm)]]*Table1[[#This Row],[Finish Good]])/1000</f>
        <v>0</v>
      </c>
      <c r="S928">
        <v>0</v>
      </c>
      <c r="T928">
        <f>IF(Table1[[#This Row],[Qty Order]]="Sample","-",IF(Table1[[#This Row],[Qty Order]]="RTFN","-",Table1[[#This Row],[Qty Order]]-Table1[[#This Row],[Qty Accumulate]]))</f>
        <v>0</v>
      </c>
      <c r="U928">
        <f>((Table1[[#This Row],[Shift Output]]*Table1[[#This Row],[Part Weight (gm)]])/1000)+Table1[[#This Row],[Reject Startup (kg)]]+Table1[[#This Row],[Reject Purging (kg)]]+Table1[[#This Row],[Reject Preform (kg)]]</f>
        <v>7</v>
      </c>
      <c r="V928" s="37">
        <f>(Table1[[#This Row],[Gross Weight (gm)]]-Table1[[#This Row],[Part Weight (gm)]])*Table1[[#This Row],[Shift Output]]/1000</f>
        <v>0</v>
      </c>
      <c r="W928" s="3">
        <v>7</v>
      </c>
      <c r="X928" s="36">
        <f>Table1[[#This Row],[Reject Startup (kg)]]/Table1[[#This Row],[Material Used]]</f>
        <v>1</v>
      </c>
      <c r="Y928" s="3">
        <v>0</v>
      </c>
      <c r="Z928" s="36">
        <f>Table1[[#This Row],[Reject Prod (kg)]]/Table1[[#This Row],[Material Used]]</f>
        <v>0</v>
      </c>
      <c r="AA928" s="4">
        <v>0</v>
      </c>
      <c r="AB928" s="5">
        <v>0</v>
      </c>
      <c r="AC928" s="4" cm="1">
        <f t="array" ref="AC928">IFERROR(INDEX(ReferenceCard, MATCH(1, (INDEX(ReferenceCard,,1)=Table1[[#This Row],[SAP No]]) * (INDEX(ReferenceCard,,2)=Table1[[#This Row],[Mould No]]), 0), 9),)</f>
        <v>28</v>
      </c>
      <c r="AD928" s="5">
        <v>0</v>
      </c>
      <c r="AE928" s="5">
        <v>0</v>
      </c>
      <c r="AF928" s="5">
        <v>0</v>
      </c>
      <c r="AG928" s="5">
        <v>0</v>
      </c>
      <c r="AH928" s="5">
        <v>12</v>
      </c>
      <c r="AI928" s="5">
        <v>0</v>
      </c>
      <c r="AJ928" s="5">
        <v>0</v>
      </c>
      <c r="AK928" t="s">
        <v>225</v>
      </c>
      <c r="AL928" s="2"/>
      <c r="AM928" s="2"/>
      <c r="AN928" s="3">
        <v>0</v>
      </c>
      <c r="AO928" s="3">
        <v>0</v>
      </c>
      <c r="AP928" s="6">
        <f>((Table1[[#This Row],[Reject Startup (kg)]]+Table1[[#This Row],[Reject Prod (kg)]]+Table1[[#This Row],[Reject Purging (kg)]]+Table1[[#This Row],[Reject Preform (kg)]])/Table1[[#This Row],[Part Weight (gm)]])*1000</f>
        <v>250</v>
      </c>
    </row>
    <row r="929" spans="1:42" x14ac:dyDescent="0.35">
      <c r="A929" s="1">
        <v>45992</v>
      </c>
      <c r="B929">
        <v>2</v>
      </c>
      <c r="C929" t="s">
        <v>35</v>
      </c>
      <c r="D929" t="str" cm="1">
        <f t="array" ref="D929">IFERROR(INDEX(ReferenceCard, MATCH(1, (INDEX(ReferenceCard,,1)=Table1[[#This Row],[SAP No]]) * (INDEX(ReferenceCard,,2)=Table1[[#This Row],[Mould No]]), 0), 6),)</f>
        <v>PPSB520Y</v>
      </c>
      <c r="E929">
        <v>552181</v>
      </c>
      <c r="F929">
        <v>1</v>
      </c>
      <c r="G929" t="str" cm="1">
        <f t="array" ref="G929">IFERROR(INDEX(ReferenceCard, MATCH(1, (INDEX(ReferenceCard,,1)=Table1[[#This Row],[SAP No]]) * (INDEX(ReferenceCard,,2)=Table1[[#This Row],[Mould No]]), 0), 3),)</f>
        <v>BC28-0090-D-APH-5180-3538-PP-6 NOTCHES-MOLD1</v>
      </c>
      <c r="H929">
        <v>0</v>
      </c>
      <c r="I929" cm="1">
        <f t="array" ref="I929">IFERROR(INDEX(ReferenceCard, MATCH(1, (INDEX(ReferenceCard,,1)=Table1[[#This Row],[SAP No]]) * (INDEX(ReferenceCard,,2)=Table1[[#This Row],[Mould No]]), 0), 4),)</f>
        <v>6</v>
      </c>
      <c r="J929" s="4" cm="1">
        <f t="array" ref="J929">IFERROR(INDEX(ReferenceCard, MATCH(1, (INDEX(ReferenceCard,,1)=Table1[[#This Row],[SAP No]]) * (INDEX(ReferenceCard,,2)=Table1[[#This Row],[Mould No]]), 0), 9),)</f>
        <v>18.8</v>
      </c>
      <c r="K929" s="4" cm="1">
        <f t="array" ref="K929">IFERROR(INDEX(ReferenceCard, MATCH(1, (INDEX(ReferenceCard,,1)=Table1[[#This Row],[SAP No]]) * (INDEX(ReferenceCard,,2)=Table1[[#This Row],[Mould No]]), 0), 7),)</f>
        <v>18.8</v>
      </c>
      <c r="L929">
        <v>1300</v>
      </c>
      <c r="M929">
        <v>0</v>
      </c>
      <c r="N929">
        <v>0</v>
      </c>
      <c r="O929">
        <v>0</v>
      </c>
      <c r="P929">
        <f>Table1[[#This Row],[Shot]]*Table1[[#This Row],[Cav]]</f>
        <v>7800</v>
      </c>
      <c r="Q929">
        <v>0</v>
      </c>
      <c r="R929">
        <f>(Table1[[#This Row],[Part Weight (gm)]]*Table1[[#This Row],[Finish Good]])/1000</f>
        <v>0</v>
      </c>
      <c r="S929">
        <v>0</v>
      </c>
      <c r="T929">
        <f>IF(Table1[[#This Row],[Qty Order]]="Sample","-",IF(Table1[[#This Row],[Qty Order]]="RTFN","-",Table1[[#This Row],[Qty Order]]-Table1[[#This Row],[Qty Accumulate]]))</f>
        <v>0</v>
      </c>
      <c r="U929">
        <f>((Table1[[#This Row],[Shift Output]]*Table1[[#This Row],[Part Weight (gm)]])/1000)+Table1[[#This Row],[Reject Startup (kg)]]+Table1[[#This Row],[Reject Purging (kg)]]+Table1[[#This Row],[Reject Preform (kg)]]</f>
        <v>146.63999999999999</v>
      </c>
      <c r="V929" s="37">
        <f>(Table1[[#This Row],[Gross Weight (gm)]]-Table1[[#This Row],[Part Weight (gm)]])*Table1[[#This Row],[Shift Output]]/1000</f>
        <v>0</v>
      </c>
      <c r="W929" s="3">
        <v>0</v>
      </c>
      <c r="X929" s="36">
        <f>Table1[[#This Row],[Reject Startup (kg)]]/Table1[[#This Row],[Material Used]]</f>
        <v>0</v>
      </c>
      <c r="Y929" s="3">
        <v>0</v>
      </c>
      <c r="Z929" s="36">
        <f>Table1[[#This Row],[Reject Prod (kg)]]/Table1[[#This Row],[Material Used]]</f>
        <v>0</v>
      </c>
      <c r="AA929" s="4">
        <v>32.066490173339801</v>
      </c>
      <c r="AB929" s="5">
        <v>11.1</v>
      </c>
      <c r="AC929" s="4" cm="1">
        <f t="array" ref="AC929">IFERROR(INDEX(ReferenceCard, MATCH(1, (INDEX(ReferenceCard,,1)=Table1[[#This Row],[SAP No]]) * (INDEX(ReferenceCard,,2)=Table1[[#This Row],[Mould No]]), 0), 9),)</f>
        <v>18.8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L929" s="2"/>
      <c r="AM929" s="2"/>
      <c r="AN929" s="3">
        <v>0</v>
      </c>
      <c r="AO929" s="3">
        <v>0</v>
      </c>
      <c r="AP929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30" spans="1:42" x14ac:dyDescent="0.35">
      <c r="A930" s="1">
        <v>45992</v>
      </c>
      <c r="B930">
        <v>2</v>
      </c>
      <c r="C930" t="s">
        <v>33</v>
      </c>
      <c r="D930" t="str" cm="1">
        <f t="array" ref="D930">IFERROR(INDEX(ReferenceCard, MATCH(1, (INDEX(ReferenceCard,,1)=Table1[[#This Row],[SAP No]]) * (INDEX(ReferenceCard,,2)=Table1[[#This Row],[Mould No]]), 0), 6),)</f>
        <v>PET</v>
      </c>
      <c r="E930">
        <v>541381</v>
      </c>
      <c r="F930">
        <v>0</v>
      </c>
      <c r="G930" t="str" cm="1">
        <f t="array" ref="G930">IFERROR(INDEX(ReferenceCard, MATCH(1, (INDEX(ReferenceCard,,1)=Table1[[#This Row],[SAP No]]) * (INDEX(ReferenceCard,,2)=Table1[[#This Row],[Mould No]]), 0), 3),)</f>
        <v>BC28-1200-K-R-CL</v>
      </c>
      <c r="H930">
        <v>0</v>
      </c>
      <c r="I930" cm="1">
        <f t="array" ref="I930">IFERROR(INDEX(ReferenceCard, MATCH(1, (INDEX(ReferenceCard,,1)=Table1[[#This Row],[SAP No]]) * (INDEX(ReferenceCard,,2)=Table1[[#This Row],[Mould No]]), 0), 4),)</f>
        <v>4</v>
      </c>
      <c r="J930" s="4" cm="1">
        <f t="array" ref="J930">IFERROR(INDEX(ReferenceCard, MATCH(1, (INDEX(ReferenceCard,,1)=Table1[[#This Row],[SAP No]]) * (INDEX(ReferenceCard,,2)=Table1[[#This Row],[Mould No]]), 0), 9),)</f>
        <v>55</v>
      </c>
      <c r="K930" s="4" cm="1">
        <f t="array" ref="K930">IFERROR(INDEX(ReferenceCard, MATCH(1, (INDEX(ReferenceCard,,1)=Table1[[#This Row],[SAP No]]) * (INDEX(ReferenceCard,,2)=Table1[[#This Row],[Mould No]]), 0), 7),)</f>
        <v>55</v>
      </c>
      <c r="L930">
        <v>207</v>
      </c>
      <c r="M930">
        <v>0</v>
      </c>
      <c r="N930">
        <v>0</v>
      </c>
      <c r="O930">
        <v>0</v>
      </c>
      <c r="P930">
        <f>Table1[[#This Row],[Shot]]*Table1[[#This Row],[Cav]]</f>
        <v>828</v>
      </c>
      <c r="Q930">
        <v>0</v>
      </c>
      <c r="R930">
        <f>(Table1[[#This Row],[Part Weight (gm)]]*Table1[[#This Row],[Finish Good]])/1000</f>
        <v>0</v>
      </c>
      <c r="S930">
        <v>0</v>
      </c>
      <c r="T930">
        <f>IF(Table1[[#This Row],[Qty Order]]="Sample","-",IF(Table1[[#This Row],[Qty Order]]="RTFN","-",Table1[[#This Row],[Qty Order]]-Table1[[#This Row],[Qty Accumulate]]))</f>
        <v>0</v>
      </c>
      <c r="U930">
        <f>((Table1[[#This Row],[Shift Output]]*Table1[[#This Row],[Part Weight (gm)]])/1000)+Table1[[#This Row],[Reject Startup (kg)]]+Table1[[#This Row],[Reject Purging (kg)]]+Table1[[#This Row],[Reject Preform (kg)]]</f>
        <v>45.54</v>
      </c>
      <c r="V930" s="37">
        <f>(Table1[[#This Row],[Gross Weight (gm)]]-Table1[[#This Row],[Part Weight (gm)]])*Table1[[#This Row],[Shift Output]]/1000</f>
        <v>0</v>
      </c>
      <c r="W930" s="3">
        <v>0</v>
      </c>
      <c r="X930" s="36">
        <f>Table1[[#This Row],[Reject Startup (kg)]]/Table1[[#This Row],[Material Used]]</f>
        <v>0</v>
      </c>
      <c r="Y930" s="3">
        <v>29</v>
      </c>
      <c r="Z930" s="36">
        <f>Table1[[#This Row],[Reject Prod (kg)]]/Table1[[#This Row],[Material Used]]</f>
        <v>0.63680281071585421</v>
      </c>
      <c r="AA930" s="4">
        <v>37.767040252685497</v>
      </c>
      <c r="AB930" s="5">
        <v>1.62</v>
      </c>
      <c r="AC930" s="4" cm="1">
        <f t="array" ref="AC930">IFERROR(INDEX(ReferenceCard, MATCH(1, (INDEX(ReferenceCard,,1)=Table1[[#This Row],[SAP No]]) * (INDEX(ReferenceCard,,2)=Table1[[#This Row],[Mould No]]), 0), 9),)</f>
        <v>55</v>
      </c>
      <c r="AD930" s="5">
        <v>0</v>
      </c>
      <c r="AE930" s="5">
        <v>0</v>
      </c>
      <c r="AF930" s="5">
        <v>0</v>
      </c>
      <c r="AG930" s="5">
        <v>0</v>
      </c>
      <c r="AH930" s="5">
        <v>9.4700000000000006</v>
      </c>
      <c r="AI930" s="5">
        <v>0</v>
      </c>
      <c r="AJ930" s="5">
        <v>0</v>
      </c>
      <c r="AL930" s="2"/>
      <c r="AM930" s="2"/>
      <c r="AN930" s="3">
        <v>0</v>
      </c>
      <c r="AO930" s="3">
        <v>0</v>
      </c>
      <c r="AP930" s="6">
        <f>((Table1[[#This Row],[Reject Startup (kg)]]+Table1[[#This Row],[Reject Prod (kg)]]+Table1[[#This Row],[Reject Purging (kg)]]+Table1[[#This Row],[Reject Preform (kg)]])/Table1[[#This Row],[Part Weight (gm)]])*1000</f>
        <v>527.27272727272725</v>
      </c>
    </row>
    <row r="931" spans="1:42" x14ac:dyDescent="0.35">
      <c r="A931" s="1">
        <v>45992</v>
      </c>
      <c r="B931">
        <v>2</v>
      </c>
      <c r="C931" t="s">
        <v>31</v>
      </c>
      <c r="D931" t="str" cm="1">
        <f t="array" ref="D931">IFERROR(INDEX(ReferenceCard, MATCH(1, (INDEX(ReferenceCard,,1)=Table1[[#This Row],[SAP No]]) * (INDEX(ReferenceCard,,2)=Table1[[#This Row],[Mould No]]), 0), 6),)</f>
        <v>PPSB520Y</v>
      </c>
      <c r="E931">
        <v>586276</v>
      </c>
      <c r="F931">
        <v>4</v>
      </c>
      <c r="G931" t="str" cm="1">
        <f t="array" ref="G931">IFERROR(INDEX(ReferenceCard, MATCH(1, (INDEX(ReferenceCard,,1)=Table1[[#This Row],[SAP No]]) * (INDEX(ReferenceCard,,2)=Table1[[#This Row],[Mould No]]), 0), 3),)</f>
        <v>BC28-0056-D-APH-LEB-604001-MOLD4</v>
      </c>
      <c r="H931">
        <v>0</v>
      </c>
      <c r="I931" cm="1">
        <f t="array" ref="I931">IFERROR(INDEX(ReferenceCard, MATCH(1, (INDEX(ReferenceCard,,1)=Table1[[#This Row],[SAP No]]) * (INDEX(ReferenceCard,,2)=Table1[[#This Row],[Mould No]]), 0), 4),)</f>
        <v>6</v>
      </c>
      <c r="J931" s="4" cm="1">
        <f t="array" ref="J931">IFERROR(INDEX(ReferenceCard, MATCH(1, (INDEX(ReferenceCard,,1)=Table1[[#This Row],[SAP No]]) * (INDEX(ReferenceCard,,2)=Table1[[#This Row],[Mould No]]), 0), 9),)</f>
        <v>12.3</v>
      </c>
      <c r="K931" s="4" cm="1">
        <f t="array" ref="K931">IFERROR(INDEX(ReferenceCard, MATCH(1, (INDEX(ReferenceCard,,1)=Table1[[#This Row],[SAP No]]) * (INDEX(ReferenceCard,,2)=Table1[[#This Row],[Mould No]]), 0), 7),)</f>
        <v>12.3</v>
      </c>
      <c r="L931">
        <v>1636</v>
      </c>
      <c r="M931">
        <v>0</v>
      </c>
      <c r="N931">
        <v>0</v>
      </c>
      <c r="O931">
        <v>0</v>
      </c>
      <c r="P931">
        <f>Table1[[#This Row],[Shot]]*Table1[[#This Row],[Cav]]</f>
        <v>9816</v>
      </c>
      <c r="Q931">
        <v>0</v>
      </c>
      <c r="R931">
        <f>(Table1[[#This Row],[Part Weight (gm)]]*Table1[[#This Row],[Finish Good]])/1000</f>
        <v>0</v>
      </c>
      <c r="S931">
        <v>0</v>
      </c>
      <c r="T931">
        <f>IF(Table1[[#This Row],[Qty Order]]="Sample","-",IF(Table1[[#This Row],[Qty Order]]="RTFN","-",Table1[[#This Row],[Qty Order]]-Table1[[#This Row],[Qty Accumulate]]))</f>
        <v>0</v>
      </c>
      <c r="U931">
        <f>((Table1[[#This Row],[Shift Output]]*Table1[[#This Row],[Part Weight (gm)]])/1000)+Table1[[#This Row],[Reject Startup (kg)]]+Table1[[#This Row],[Reject Purging (kg)]]+Table1[[#This Row],[Reject Preform (kg)]]</f>
        <v>120.7368</v>
      </c>
      <c r="V931" s="37">
        <f>(Table1[[#This Row],[Gross Weight (gm)]]-Table1[[#This Row],[Part Weight (gm)]])*Table1[[#This Row],[Shift Output]]/1000</f>
        <v>0</v>
      </c>
      <c r="W931" s="3">
        <v>0</v>
      </c>
      <c r="X931" s="36">
        <f>Table1[[#This Row],[Reject Startup (kg)]]/Table1[[#This Row],[Material Used]]</f>
        <v>0</v>
      </c>
      <c r="Y931" s="3">
        <v>1</v>
      </c>
      <c r="Z931" s="36">
        <f>Table1[[#This Row],[Reject Prod (kg)]]/Table1[[#This Row],[Material Used]]</f>
        <v>8.2824789128086874E-3</v>
      </c>
      <c r="AA931" s="4">
        <v>26.399013519287099</v>
      </c>
      <c r="AB931" s="5">
        <v>11.1</v>
      </c>
      <c r="AC931" s="4" cm="1">
        <f t="array" ref="AC931">IFERROR(INDEX(ReferenceCard, MATCH(1, (INDEX(ReferenceCard,,1)=Table1[[#This Row],[SAP No]]) * (INDEX(ReferenceCard,,2)=Table1[[#This Row],[Mould No]]), 0), 9),)</f>
        <v>12.3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L931" s="2"/>
      <c r="AM931" s="2"/>
      <c r="AN931" s="3">
        <v>0</v>
      </c>
      <c r="AO931" s="3">
        <v>0</v>
      </c>
      <c r="AP931" s="6">
        <f>((Table1[[#This Row],[Reject Startup (kg)]]+Table1[[#This Row],[Reject Prod (kg)]]+Table1[[#This Row],[Reject Purging (kg)]]+Table1[[#This Row],[Reject Preform (kg)]])/Table1[[#This Row],[Part Weight (gm)]])*1000</f>
        <v>81.300813008130078</v>
      </c>
    </row>
    <row r="932" spans="1:42" x14ac:dyDescent="0.35">
      <c r="A932" s="1">
        <v>45992</v>
      </c>
      <c r="B932">
        <v>2</v>
      </c>
      <c r="C932" t="s">
        <v>29</v>
      </c>
      <c r="D932" t="str" cm="1">
        <f t="array" ref="D932">IFERROR(INDEX(ReferenceCard, MATCH(1, (INDEX(ReferenceCard,,1)=Table1[[#This Row],[SAP No]]) * (INDEX(ReferenceCard,,2)=Table1[[#This Row],[Mould No]]), 0), 6),)</f>
        <v>PET</v>
      </c>
      <c r="E932">
        <v>620599</v>
      </c>
      <c r="F932">
        <v>0</v>
      </c>
      <c r="G932" t="str" cm="1">
        <f t="array" ref="G932">IFERROR(INDEX(ReferenceCard, MATCH(1, (INDEX(ReferenceCard,,1)=Table1[[#This Row],[SAP No]]) * (INDEX(ReferenceCard,,2)=Table1[[#This Row],[Mould No]]), 0), 3),)</f>
        <v>BC28-0750-K4-R-CL (55g)</v>
      </c>
      <c r="H932">
        <v>0</v>
      </c>
      <c r="I932" cm="1">
        <f t="array" ref="I932">IFERROR(INDEX(ReferenceCard, MATCH(1, (INDEX(ReferenceCard,,1)=Table1[[#This Row],[SAP No]]) * (INDEX(ReferenceCard,,2)=Table1[[#This Row],[Mould No]]), 0), 4),)</f>
        <v>4</v>
      </c>
      <c r="J932" s="4" cm="1">
        <f t="array" ref="J932">IFERROR(INDEX(ReferenceCard, MATCH(1, (INDEX(ReferenceCard,,1)=Table1[[#This Row],[SAP No]]) * (INDEX(ReferenceCard,,2)=Table1[[#This Row],[Mould No]]), 0), 9),)</f>
        <v>55</v>
      </c>
      <c r="K932" s="4" cm="1">
        <f t="array" ref="K932">IFERROR(INDEX(ReferenceCard, MATCH(1, (INDEX(ReferenceCard,,1)=Table1[[#This Row],[SAP No]]) * (INDEX(ReferenceCard,,2)=Table1[[#This Row],[Mould No]]), 0), 7),)</f>
        <v>55</v>
      </c>
      <c r="L932">
        <v>1533</v>
      </c>
      <c r="M932">
        <v>0</v>
      </c>
      <c r="N932">
        <v>0</v>
      </c>
      <c r="O932">
        <v>0</v>
      </c>
      <c r="P932">
        <f>Table1[[#This Row],[Shot]]*Table1[[#This Row],[Cav]]</f>
        <v>6132</v>
      </c>
      <c r="Q932">
        <v>0</v>
      </c>
      <c r="R932">
        <f>(Table1[[#This Row],[Part Weight (gm)]]*Table1[[#This Row],[Finish Good]])/1000</f>
        <v>0</v>
      </c>
      <c r="S932">
        <v>0</v>
      </c>
      <c r="T932">
        <f>IF(Table1[[#This Row],[Qty Order]]="Sample","-",IF(Table1[[#This Row],[Qty Order]]="RTFN","-",Table1[[#This Row],[Qty Order]]-Table1[[#This Row],[Qty Accumulate]]))</f>
        <v>0</v>
      </c>
      <c r="U932">
        <f>((Table1[[#This Row],[Shift Output]]*Table1[[#This Row],[Part Weight (gm)]])/1000)+Table1[[#This Row],[Reject Startup (kg)]]+Table1[[#This Row],[Reject Purging (kg)]]+Table1[[#This Row],[Reject Preform (kg)]]</f>
        <v>337.26</v>
      </c>
      <c r="V932" s="37">
        <f>(Table1[[#This Row],[Gross Weight (gm)]]-Table1[[#This Row],[Part Weight (gm)]])*Table1[[#This Row],[Shift Output]]/1000</f>
        <v>0</v>
      </c>
      <c r="W932" s="3">
        <v>0</v>
      </c>
      <c r="X932" s="36">
        <f>Table1[[#This Row],[Reject Startup (kg)]]/Table1[[#This Row],[Material Used]]</f>
        <v>0</v>
      </c>
      <c r="Y932" s="3">
        <v>3</v>
      </c>
      <c r="Z932" s="36">
        <f>Table1[[#This Row],[Reject Prod (kg)]]/Table1[[#This Row],[Material Used]]</f>
        <v>8.8952143746664301E-3</v>
      </c>
      <c r="AA932" s="4">
        <v>27.116554260253899</v>
      </c>
      <c r="AB932" s="5">
        <v>11.07</v>
      </c>
      <c r="AC932" s="4" cm="1">
        <f t="array" ref="AC932">IFERROR(INDEX(ReferenceCard, MATCH(1, (INDEX(ReferenceCard,,1)=Table1[[#This Row],[SAP No]]) * (INDEX(ReferenceCard,,2)=Table1[[#This Row],[Mould No]]), 0), 9),)</f>
        <v>55</v>
      </c>
      <c r="AD932" s="5">
        <v>0</v>
      </c>
      <c r="AE932" s="5">
        <v>0</v>
      </c>
      <c r="AF932" s="5">
        <v>0</v>
      </c>
      <c r="AG932" s="5">
        <v>0</v>
      </c>
      <c r="AH932" s="5">
        <v>0.02</v>
      </c>
      <c r="AI932" s="5">
        <v>0</v>
      </c>
      <c r="AJ932" s="5">
        <v>0</v>
      </c>
      <c r="AL932" s="2"/>
      <c r="AM932" s="2"/>
      <c r="AN932" s="3">
        <v>0</v>
      </c>
      <c r="AO932" s="3">
        <v>0</v>
      </c>
      <c r="AP932" s="6">
        <f>((Table1[[#This Row],[Reject Startup (kg)]]+Table1[[#This Row],[Reject Prod (kg)]]+Table1[[#This Row],[Reject Purging (kg)]]+Table1[[#This Row],[Reject Preform (kg)]])/Table1[[#This Row],[Part Weight (gm)]])*1000</f>
        <v>54.54545454545454</v>
      </c>
    </row>
    <row r="933" spans="1:42" x14ac:dyDescent="0.35">
      <c r="A933" s="1">
        <v>45992</v>
      </c>
      <c r="B933">
        <v>2</v>
      </c>
      <c r="C933" t="s">
        <v>27</v>
      </c>
      <c r="D933" t="str" cm="1">
        <f t="array" ref="D933">IFERROR(INDEX(ReferenceCard, MATCH(1, (INDEX(ReferenceCard,,1)=Table1[[#This Row],[SAP No]]) * (INDEX(ReferenceCard,,2)=Table1[[#This Row],[Mould No]]), 0), 6),)</f>
        <v>PPSB520Y</v>
      </c>
      <c r="E933">
        <v>552181</v>
      </c>
      <c r="F933">
        <v>4</v>
      </c>
      <c r="G933" t="str" cm="1">
        <f t="array" ref="G933">IFERROR(INDEX(ReferenceCard, MATCH(1, (INDEX(ReferenceCard,,1)=Table1[[#This Row],[SAP No]]) * (INDEX(ReferenceCard,,2)=Table1[[#This Row],[Mould No]]), 0), 3),)</f>
        <v>BC28-0090-D-APH-5180-3538-PP-6 NOTCHES-MOLD4</v>
      </c>
      <c r="H933">
        <v>0</v>
      </c>
      <c r="I933" cm="1">
        <f t="array" ref="I933">IFERROR(INDEX(ReferenceCard, MATCH(1, (INDEX(ReferenceCard,,1)=Table1[[#This Row],[SAP No]]) * (INDEX(ReferenceCard,,2)=Table1[[#This Row],[Mould No]]), 0), 4),)</f>
        <v>6</v>
      </c>
      <c r="J933" s="4" cm="1">
        <f t="array" ref="J933">IFERROR(INDEX(ReferenceCard, MATCH(1, (INDEX(ReferenceCard,,1)=Table1[[#This Row],[SAP No]]) * (INDEX(ReferenceCard,,2)=Table1[[#This Row],[Mould No]]), 0), 9),)</f>
        <v>18.8</v>
      </c>
      <c r="K933" s="4" cm="1">
        <f t="array" ref="K933">IFERROR(INDEX(ReferenceCard, MATCH(1, (INDEX(ReferenceCard,,1)=Table1[[#This Row],[SAP No]]) * (INDEX(ReferenceCard,,2)=Table1[[#This Row],[Mould No]]), 0), 7),)</f>
        <v>18.8</v>
      </c>
      <c r="L933">
        <v>802</v>
      </c>
      <c r="M933">
        <v>0</v>
      </c>
      <c r="N933">
        <v>0</v>
      </c>
      <c r="O933">
        <v>0</v>
      </c>
      <c r="P933">
        <f>Table1[[#This Row],[Shot]]*Table1[[#This Row],[Cav]]</f>
        <v>4812</v>
      </c>
      <c r="Q933">
        <v>0</v>
      </c>
      <c r="R933">
        <f>(Table1[[#This Row],[Part Weight (gm)]]*Table1[[#This Row],[Finish Good]])/1000</f>
        <v>0</v>
      </c>
      <c r="S933">
        <v>0</v>
      </c>
      <c r="T933">
        <f>IF(Table1[[#This Row],[Qty Order]]="Sample","-",IF(Table1[[#This Row],[Qty Order]]="RTFN","-",Table1[[#This Row],[Qty Order]]-Table1[[#This Row],[Qty Accumulate]]))</f>
        <v>0</v>
      </c>
      <c r="U933">
        <f>((Table1[[#This Row],[Shift Output]]*Table1[[#This Row],[Part Weight (gm)]])/1000)+Table1[[#This Row],[Reject Startup (kg)]]+Table1[[#This Row],[Reject Purging (kg)]]+Table1[[#This Row],[Reject Preform (kg)]]</f>
        <v>90.465600000000009</v>
      </c>
      <c r="V933" s="37">
        <f>(Table1[[#This Row],[Gross Weight (gm)]]-Table1[[#This Row],[Part Weight (gm)]])*Table1[[#This Row],[Shift Output]]/1000</f>
        <v>0</v>
      </c>
      <c r="W933" s="3">
        <v>0</v>
      </c>
      <c r="X933" s="36">
        <f>Table1[[#This Row],[Reject Startup (kg)]]/Table1[[#This Row],[Material Used]]</f>
        <v>0</v>
      </c>
      <c r="Y933" s="3">
        <v>6</v>
      </c>
      <c r="Z933" s="36">
        <f>Table1[[#This Row],[Reject Prod (kg)]]/Table1[[#This Row],[Material Used]]</f>
        <v>6.6323552820077458E-2</v>
      </c>
      <c r="AA933" s="4">
        <v>0</v>
      </c>
      <c r="AB933" s="5">
        <v>0.51</v>
      </c>
      <c r="AC933" s="4" cm="1">
        <f t="array" ref="AC933">IFERROR(INDEX(ReferenceCard, MATCH(1, (INDEX(ReferenceCard,,1)=Table1[[#This Row],[SAP No]]) * (INDEX(ReferenceCard,,2)=Table1[[#This Row],[Mould No]]), 0), 9),)</f>
        <v>18.8</v>
      </c>
      <c r="AD933" s="5">
        <v>0</v>
      </c>
      <c r="AE933" s="5">
        <v>0</v>
      </c>
      <c r="AF933" s="5">
        <v>0</v>
      </c>
      <c r="AG933" s="5">
        <v>0</v>
      </c>
      <c r="AH933" s="5">
        <v>10.59</v>
      </c>
      <c r="AI933" s="5">
        <v>0</v>
      </c>
      <c r="AJ933" s="5">
        <v>0</v>
      </c>
      <c r="AL933" s="2"/>
      <c r="AM933" s="2"/>
      <c r="AN933" s="3">
        <v>0</v>
      </c>
      <c r="AO933" s="3">
        <v>0</v>
      </c>
      <c r="AP933" s="6">
        <f>((Table1[[#This Row],[Reject Startup (kg)]]+Table1[[#This Row],[Reject Prod (kg)]]+Table1[[#This Row],[Reject Purging (kg)]]+Table1[[#This Row],[Reject Preform (kg)]])/Table1[[#This Row],[Part Weight (gm)]])*1000</f>
        <v>319.14893617021272</v>
      </c>
    </row>
    <row r="934" spans="1:42" x14ac:dyDescent="0.35">
      <c r="A934" s="1">
        <v>45992</v>
      </c>
      <c r="B934">
        <v>2</v>
      </c>
      <c r="C934" t="s">
        <v>25</v>
      </c>
      <c r="D934" t="str" cm="1">
        <f t="array" ref="D934">IFERROR(INDEX(ReferenceCard, MATCH(1, (INDEX(ReferenceCard,,1)=Table1[[#This Row],[SAP No]]) * (INDEX(ReferenceCard,,2)=Table1[[#This Row],[Mould No]]), 0), 6),)</f>
        <v>PET</v>
      </c>
      <c r="E934">
        <v>323133</v>
      </c>
      <c r="F934">
        <v>0</v>
      </c>
      <c r="G934" t="str" cm="1">
        <f t="array" ref="G934">IFERROR(INDEX(ReferenceCard, MATCH(1, (INDEX(ReferenceCard,,1)=Table1[[#This Row],[SAP No]]) * (INDEX(ReferenceCard,,2)=Table1[[#This Row],[Mould No]]), 0), 3),)</f>
        <v>BX38-2000-RH-R-CL(GREEN) (ASEM)</v>
      </c>
      <c r="H934">
        <v>0</v>
      </c>
      <c r="I934" cm="1">
        <f t="array" ref="I934">IFERROR(INDEX(ReferenceCard, MATCH(1, (INDEX(ReferenceCard,,1)=Table1[[#This Row],[SAP No]]) * (INDEX(ReferenceCard,,2)=Table1[[#This Row],[Mould No]]), 0), 4),)</f>
        <v>4</v>
      </c>
      <c r="J934" s="4" cm="1">
        <f t="array" ref="J934">IFERROR(INDEX(ReferenceCard, MATCH(1, (INDEX(ReferenceCard,,1)=Table1[[#This Row],[SAP No]]) * (INDEX(ReferenceCard,,2)=Table1[[#This Row],[Mould No]]), 0), 9),)</f>
        <v>77</v>
      </c>
      <c r="K934" s="4" cm="1">
        <f t="array" ref="K934">IFERROR(INDEX(ReferenceCard, MATCH(1, (INDEX(ReferenceCard,,1)=Table1[[#This Row],[SAP No]]) * (INDEX(ReferenceCard,,2)=Table1[[#This Row],[Mould No]]), 0), 7),)</f>
        <v>77</v>
      </c>
      <c r="L934">
        <v>1035</v>
      </c>
      <c r="M934">
        <v>0</v>
      </c>
      <c r="N934">
        <v>0</v>
      </c>
      <c r="O934">
        <v>0</v>
      </c>
      <c r="P934">
        <f>Table1[[#This Row],[Shot]]*Table1[[#This Row],[Cav]]</f>
        <v>4140</v>
      </c>
      <c r="Q934">
        <v>0</v>
      </c>
      <c r="R934">
        <f>(Table1[[#This Row],[Part Weight (gm)]]*Table1[[#This Row],[Finish Good]])/1000</f>
        <v>0</v>
      </c>
      <c r="S934">
        <v>0</v>
      </c>
      <c r="T934">
        <f>IF(Table1[[#This Row],[Qty Order]]="Sample","-",IF(Table1[[#This Row],[Qty Order]]="RTFN","-",Table1[[#This Row],[Qty Order]]-Table1[[#This Row],[Qty Accumulate]]))</f>
        <v>0</v>
      </c>
      <c r="U934">
        <f>((Table1[[#This Row],[Shift Output]]*Table1[[#This Row],[Part Weight (gm)]])/1000)+Table1[[#This Row],[Reject Startup (kg)]]+Table1[[#This Row],[Reject Purging (kg)]]+Table1[[#This Row],[Reject Preform (kg)]]</f>
        <v>318.77999999999997</v>
      </c>
      <c r="V934" s="37">
        <f>(Table1[[#This Row],[Gross Weight (gm)]]-Table1[[#This Row],[Part Weight (gm)]])*Table1[[#This Row],[Shift Output]]/1000</f>
        <v>0</v>
      </c>
      <c r="W934" s="3">
        <v>0</v>
      </c>
      <c r="X934" s="36">
        <f>Table1[[#This Row],[Reject Startup (kg)]]/Table1[[#This Row],[Material Used]]</f>
        <v>0</v>
      </c>
      <c r="Y934" s="3">
        <v>10</v>
      </c>
      <c r="Z934" s="36">
        <f>Table1[[#This Row],[Reject Prod (kg)]]/Table1[[#This Row],[Material Used]]</f>
        <v>3.1369596586987895E-2</v>
      </c>
      <c r="AA934" s="4">
        <v>37.6007080078125</v>
      </c>
      <c r="AB934" s="5">
        <v>0.58999999999999897</v>
      </c>
      <c r="AC934" s="4" cm="1">
        <f t="array" ref="AC934">IFERROR(INDEX(ReferenceCard, MATCH(1, (INDEX(ReferenceCard,,1)=Table1[[#This Row],[SAP No]]) * (INDEX(ReferenceCard,,2)=Table1[[#This Row],[Mould No]]), 0), 9),)</f>
        <v>77</v>
      </c>
      <c r="AD934" s="5">
        <v>0</v>
      </c>
      <c r="AE934" s="5">
        <v>0</v>
      </c>
      <c r="AF934" s="5">
        <v>0</v>
      </c>
      <c r="AG934" s="5">
        <v>3.4399999999999902</v>
      </c>
      <c r="AH934" s="5">
        <v>7.07</v>
      </c>
      <c r="AI934" s="5">
        <v>0</v>
      </c>
      <c r="AJ934" s="5">
        <v>0</v>
      </c>
      <c r="AL934" s="2"/>
      <c r="AM934" s="2"/>
      <c r="AN934" s="3">
        <v>0</v>
      </c>
      <c r="AO934" s="3">
        <v>0</v>
      </c>
      <c r="AP934" s="6">
        <f>((Table1[[#This Row],[Reject Startup (kg)]]+Table1[[#This Row],[Reject Prod (kg)]]+Table1[[#This Row],[Reject Purging (kg)]]+Table1[[#This Row],[Reject Preform (kg)]])/Table1[[#This Row],[Part Weight (gm)]])*1000</f>
        <v>129.87012987012986</v>
      </c>
    </row>
    <row r="935" spans="1:42" x14ac:dyDescent="0.35">
      <c r="A935" s="1">
        <v>45992</v>
      </c>
      <c r="B935">
        <v>2</v>
      </c>
      <c r="C935" t="s">
        <v>23</v>
      </c>
      <c r="D935" t="str" cm="1">
        <f t="array" ref="D935">IFERROR(INDEX(ReferenceCard, MATCH(1, (INDEX(ReferenceCard,,1)=Table1[[#This Row],[SAP No]]) * (INDEX(ReferenceCard,,2)=Table1[[#This Row],[Mould No]]), 0), 6),)</f>
        <v>PPSB520Y</v>
      </c>
      <c r="E935">
        <v>586276</v>
      </c>
      <c r="F935">
        <v>2</v>
      </c>
      <c r="G935" t="str" cm="1">
        <f t="array" ref="G935">IFERROR(INDEX(ReferenceCard, MATCH(1, (INDEX(ReferenceCard,,1)=Table1[[#This Row],[SAP No]]) * (INDEX(ReferenceCard,,2)=Table1[[#This Row],[Mould No]]), 0), 3),)</f>
        <v>BC28-0056-D-APH-LEB-604001-MOLD2</v>
      </c>
      <c r="H935">
        <v>0</v>
      </c>
      <c r="I935" cm="1">
        <f t="array" ref="I935">IFERROR(INDEX(ReferenceCard, MATCH(1, (INDEX(ReferenceCard,,1)=Table1[[#This Row],[SAP No]]) * (INDEX(ReferenceCard,,2)=Table1[[#This Row],[Mould No]]), 0), 4),)</f>
        <v>6</v>
      </c>
      <c r="J935" s="4" cm="1">
        <f t="array" ref="J935">IFERROR(INDEX(ReferenceCard, MATCH(1, (INDEX(ReferenceCard,,1)=Table1[[#This Row],[SAP No]]) * (INDEX(ReferenceCard,,2)=Table1[[#This Row],[Mould No]]), 0), 9),)</f>
        <v>12.3</v>
      </c>
      <c r="K935" s="4" cm="1">
        <f t="array" ref="K935">IFERROR(INDEX(ReferenceCard, MATCH(1, (INDEX(ReferenceCard,,1)=Table1[[#This Row],[SAP No]]) * (INDEX(ReferenceCard,,2)=Table1[[#This Row],[Mould No]]), 0), 7),)</f>
        <v>12.3</v>
      </c>
      <c r="L935">
        <v>0</v>
      </c>
      <c r="M935">
        <v>0</v>
      </c>
      <c r="N935">
        <v>0</v>
      </c>
      <c r="O935">
        <v>0</v>
      </c>
      <c r="P935">
        <f>Table1[[#This Row],[Shot]]*Table1[[#This Row],[Cav]]</f>
        <v>0</v>
      </c>
      <c r="Q935">
        <v>0</v>
      </c>
      <c r="R935">
        <f>(Table1[[#This Row],[Part Weight (gm)]]*Table1[[#This Row],[Finish Good]])/1000</f>
        <v>0</v>
      </c>
      <c r="S935">
        <v>0</v>
      </c>
      <c r="T935">
        <f>IF(Table1[[#This Row],[Qty Order]]="Sample","-",IF(Table1[[#This Row],[Qty Order]]="RTFN","-",Table1[[#This Row],[Qty Order]]-Table1[[#This Row],[Qty Accumulate]]))</f>
        <v>0</v>
      </c>
      <c r="U935">
        <f>((Table1[[#This Row],[Shift Output]]*Table1[[#This Row],[Part Weight (gm)]])/1000)+Table1[[#This Row],[Reject Startup (kg)]]+Table1[[#This Row],[Reject Purging (kg)]]+Table1[[#This Row],[Reject Preform (kg)]]</f>
        <v>0</v>
      </c>
      <c r="V935" s="37">
        <f>(Table1[[#This Row],[Gross Weight (gm)]]-Table1[[#This Row],[Part Weight (gm)]])*Table1[[#This Row],[Shift Output]]/1000</f>
        <v>0</v>
      </c>
      <c r="W935" s="3">
        <v>0</v>
      </c>
      <c r="X935" s="36" t="e">
        <f>Table1[[#This Row],[Reject Startup (kg)]]/Table1[[#This Row],[Material Used]]</f>
        <v>#DIV/0!</v>
      </c>
      <c r="Y935" s="3">
        <v>0</v>
      </c>
      <c r="Z935" s="36" t="e">
        <f>Table1[[#This Row],[Reject Prod (kg)]]/Table1[[#This Row],[Material Used]]</f>
        <v>#DIV/0!</v>
      </c>
      <c r="AA935" s="4">
        <v>0</v>
      </c>
      <c r="AB935" s="5">
        <v>0</v>
      </c>
      <c r="AC935" s="4" cm="1">
        <f t="array" ref="AC935">IFERROR(INDEX(ReferenceCard, MATCH(1, (INDEX(ReferenceCard,,1)=Table1[[#This Row],[SAP No]]) * (INDEX(ReferenceCard,,2)=Table1[[#This Row],[Mould No]]), 0), 9),)</f>
        <v>12.3</v>
      </c>
      <c r="AD935" s="5">
        <v>0</v>
      </c>
      <c r="AE935" s="5">
        <v>0</v>
      </c>
      <c r="AF935" s="5">
        <v>0</v>
      </c>
      <c r="AG935" s="5">
        <v>11.1</v>
      </c>
      <c r="AH935" s="5">
        <v>0</v>
      </c>
      <c r="AI935" s="5">
        <v>0</v>
      </c>
      <c r="AJ935" s="5">
        <v>0</v>
      </c>
      <c r="AL935" s="2"/>
      <c r="AM935" s="2"/>
      <c r="AN935" s="3">
        <v>0</v>
      </c>
      <c r="AO935" s="3">
        <v>0</v>
      </c>
      <c r="AP935" s="6">
        <f>((Table1[[#This Row],[Reject Startup (kg)]]+Table1[[#This Row],[Reject Prod (kg)]]+Table1[[#This Row],[Reject Purging (kg)]]+Table1[[#This Row],[Reject Preform (kg)]])/Table1[[#This Row],[Part Weight (gm)]])*1000</f>
        <v>0</v>
      </c>
    </row>
    <row r="936" spans="1:42" x14ac:dyDescent="0.35">
      <c r="A936" s="1">
        <v>45992</v>
      </c>
      <c r="B936">
        <v>2</v>
      </c>
      <c r="C936" t="s">
        <v>16</v>
      </c>
      <c r="D936" t="str" cm="1">
        <f t="array" ref="D936">IFERROR(INDEX(ReferenceCard, MATCH(1, (INDEX(ReferenceCard,,1)=Table1[[#This Row],[SAP No]]) * (INDEX(ReferenceCard,,2)=Table1[[#This Row],[Mould No]]), 0), 6),)</f>
        <v>PET</v>
      </c>
      <c r="E936">
        <v>323092</v>
      </c>
      <c r="F936">
        <v>0</v>
      </c>
      <c r="G936" t="str" cm="1">
        <f t="array" ref="G936">IFERROR(INDEX(ReferenceCard, MATCH(1, (INDEX(ReferenceCard,,1)=Table1[[#This Row],[SAP No]]) * (INDEX(ReferenceCard,,2)=Table1[[#This Row],[Mould No]]), 0), 3),)</f>
        <v>BX38-1000-GH-R-CL(GREEN) (ASEM)</v>
      </c>
      <c r="H936">
        <v>0</v>
      </c>
      <c r="I936" cm="1">
        <f t="array" ref="I936">IFERROR(INDEX(ReferenceCard, MATCH(1, (INDEX(ReferenceCard,,1)=Table1[[#This Row],[SAP No]]) * (INDEX(ReferenceCard,,2)=Table1[[#This Row],[Mould No]]), 0), 4),)</f>
        <v>4</v>
      </c>
      <c r="J936" s="4" cm="1">
        <f t="array" ref="J936">IFERROR(INDEX(ReferenceCard, MATCH(1, (INDEX(ReferenceCard,,1)=Table1[[#This Row],[SAP No]]) * (INDEX(ReferenceCard,,2)=Table1[[#This Row],[Mould No]]), 0), 9),)</f>
        <v>48.9</v>
      </c>
      <c r="K936" s="4" cm="1">
        <f t="array" ref="K936">IFERROR(INDEX(ReferenceCard, MATCH(1, (INDEX(ReferenceCard,,1)=Table1[[#This Row],[SAP No]]) * (INDEX(ReferenceCard,,2)=Table1[[#This Row],[Mould No]]), 0), 7),)</f>
        <v>48.9</v>
      </c>
      <c r="L936">
        <v>1450</v>
      </c>
      <c r="M936">
        <v>0</v>
      </c>
      <c r="N936">
        <v>0</v>
      </c>
      <c r="O936">
        <v>0</v>
      </c>
      <c r="P936">
        <f>Table1[[#This Row],[Shot]]*Table1[[#This Row],[Cav]]</f>
        <v>5800</v>
      </c>
      <c r="Q936">
        <v>0</v>
      </c>
      <c r="R936">
        <f>(Table1[[#This Row],[Part Weight (gm)]]*Table1[[#This Row],[Finish Good]])/1000</f>
        <v>0</v>
      </c>
      <c r="S936">
        <v>0</v>
      </c>
      <c r="T936">
        <f>IF(Table1[[#This Row],[Qty Order]]="Sample","-",IF(Table1[[#This Row],[Qty Order]]="RTFN","-",Table1[[#This Row],[Qty Order]]-Table1[[#This Row],[Qty Accumulate]]))</f>
        <v>0</v>
      </c>
      <c r="U936">
        <f>((Table1[[#This Row],[Shift Output]]*Table1[[#This Row],[Part Weight (gm)]])/1000)+Table1[[#This Row],[Reject Startup (kg)]]+Table1[[#This Row],[Reject Purging (kg)]]+Table1[[#This Row],[Reject Preform (kg)]]</f>
        <v>283.62</v>
      </c>
      <c r="V936" s="37">
        <f>(Table1[[#This Row],[Gross Weight (gm)]]-Table1[[#This Row],[Part Weight (gm)]])*Table1[[#This Row],[Shift Output]]/1000</f>
        <v>0</v>
      </c>
      <c r="W936" s="3">
        <v>0</v>
      </c>
      <c r="X936" s="36">
        <f>Table1[[#This Row],[Reject Startup (kg)]]/Table1[[#This Row],[Material Used]]</f>
        <v>0</v>
      </c>
      <c r="Y936" s="3">
        <v>1</v>
      </c>
      <c r="Z936" s="36">
        <f>Table1[[#This Row],[Reject Prod (kg)]]/Table1[[#This Row],[Material Used]]</f>
        <v>3.5258444397433183E-3</v>
      </c>
      <c r="AA936" s="4">
        <v>29.738367080688398</v>
      </c>
      <c r="AB936" s="5">
        <v>0</v>
      </c>
      <c r="AC936" s="4" cm="1">
        <f t="array" ref="AC936">IFERROR(INDEX(ReferenceCard, MATCH(1, (INDEX(ReferenceCard,,1)=Table1[[#This Row],[SAP No]]) * (INDEX(ReferenceCard,,2)=Table1[[#This Row],[Mould No]]), 0), 9),)</f>
        <v>48.9</v>
      </c>
      <c r="AD936" s="5">
        <v>0</v>
      </c>
      <c r="AE936" s="5">
        <v>0</v>
      </c>
      <c r="AF936" s="5">
        <v>0</v>
      </c>
      <c r="AG936" s="5">
        <v>0</v>
      </c>
      <c r="AH936" s="5">
        <v>11.1</v>
      </c>
      <c r="AI936" s="5">
        <v>0</v>
      </c>
      <c r="AJ936" s="5">
        <v>0</v>
      </c>
      <c r="AL936" s="2"/>
      <c r="AM936" s="2"/>
      <c r="AN936" s="3">
        <v>0</v>
      </c>
      <c r="AO936" s="3">
        <v>0</v>
      </c>
      <c r="AP936" s="6">
        <f>((Table1[[#This Row],[Reject Startup (kg)]]+Table1[[#This Row],[Reject Prod (kg)]]+Table1[[#This Row],[Reject Purging (kg)]]+Table1[[#This Row],[Reject Preform (kg)]])/Table1[[#This Row],[Part Weight (gm)]])*1000</f>
        <v>20.449897750511248</v>
      </c>
    </row>
    <row r="937" spans="1:42" x14ac:dyDescent="0.35">
      <c r="A937" s="1">
        <v>45992</v>
      </c>
      <c r="B937">
        <v>2</v>
      </c>
      <c r="C937" t="s">
        <v>14</v>
      </c>
      <c r="D937" t="str" cm="1">
        <f t="array" ref="D937">IFERROR(INDEX(ReferenceCard, MATCH(1, (INDEX(ReferenceCard,,1)=Table1[[#This Row],[SAP No]]) * (INDEX(ReferenceCard,,2)=Table1[[#This Row],[Mould No]]), 0), 6),)</f>
        <v>PET</v>
      </c>
      <c r="E937">
        <v>324165</v>
      </c>
      <c r="F937">
        <v>0</v>
      </c>
      <c r="G937" t="str" cm="1">
        <f t="array" ref="G937">IFERROR(INDEX(ReferenceCard, MATCH(1, (INDEX(ReferenceCard,,1)=Table1[[#This Row],[SAP No]]) * (INDEX(ReferenceCard,,2)=Table1[[#This Row],[Mould No]]), 0), 3),)</f>
        <v>JJ63-0400-SH-S-WH</v>
      </c>
      <c r="H937">
        <v>0</v>
      </c>
      <c r="I937" cm="1">
        <f t="array" ref="I937">IFERROR(INDEX(ReferenceCard, MATCH(1, (INDEX(ReferenceCard,,1)=Table1[[#This Row],[SAP No]]) * (INDEX(ReferenceCard,,2)=Table1[[#This Row],[Mould No]]), 0), 4),)</f>
        <v>4</v>
      </c>
      <c r="J937" s="4" cm="1">
        <f t="array" ref="J937">IFERROR(INDEX(ReferenceCard, MATCH(1, (INDEX(ReferenceCard,,1)=Table1[[#This Row],[SAP No]]) * (INDEX(ReferenceCard,,2)=Table1[[#This Row],[Mould No]]), 0), 9),)</f>
        <v>32.56</v>
      </c>
      <c r="K937" s="4" cm="1">
        <f t="array" ref="K937">IFERROR(INDEX(ReferenceCard, MATCH(1, (INDEX(ReferenceCard,,1)=Table1[[#This Row],[SAP No]]) * (INDEX(ReferenceCard,,2)=Table1[[#This Row],[Mould No]]), 0), 7),)</f>
        <v>33</v>
      </c>
      <c r="L937">
        <v>1301</v>
      </c>
      <c r="M937">
        <v>0</v>
      </c>
      <c r="N937">
        <v>0</v>
      </c>
      <c r="O937">
        <v>0</v>
      </c>
      <c r="P937">
        <f>Table1[[#This Row],[Shot]]*Table1[[#This Row],[Cav]]</f>
        <v>5204</v>
      </c>
      <c r="Q937">
        <v>0</v>
      </c>
      <c r="R937">
        <f>(Table1[[#This Row],[Part Weight (gm)]]*Table1[[#This Row],[Finish Good]])/1000</f>
        <v>0</v>
      </c>
      <c r="S937">
        <v>0</v>
      </c>
      <c r="T937">
        <f>IF(Table1[[#This Row],[Qty Order]]="Sample","-",IF(Table1[[#This Row],[Qty Order]]="RTFN","-",Table1[[#This Row],[Qty Order]]-Table1[[#This Row],[Qty Accumulate]]))</f>
        <v>0</v>
      </c>
      <c r="U937">
        <f>((Table1[[#This Row],[Shift Output]]*Table1[[#This Row],[Part Weight (gm)]])/1000)+Table1[[#This Row],[Reject Startup (kg)]]+Table1[[#This Row],[Reject Purging (kg)]]+Table1[[#This Row],[Reject Preform (kg)]]</f>
        <v>171.732</v>
      </c>
      <c r="V937" s="37">
        <f>(Table1[[#This Row],[Gross Weight (gm)]]-Table1[[#This Row],[Part Weight (gm)]])*Table1[[#This Row],[Shift Output]]/1000</f>
        <v>-2.2897599999999882</v>
      </c>
      <c r="W937" s="3">
        <v>0</v>
      </c>
      <c r="X937" s="36">
        <f>Table1[[#This Row],[Reject Startup (kg)]]/Table1[[#This Row],[Material Used]]</f>
        <v>0</v>
      </c>
      <c r="Y937" s="3">
        <v>6</v>
      </c>
      <c r="Z937" s="36">
        <f>Table1[[#This Row],[Reject Prod (kg)]]/Table1[[#This Row],[Material Used]]</f>
        <v>3.4938159457759764E-2</v>
      </c>
      <c r="AA937" s="4">
        <v>27.1505622863769</v>
      </c>
      <c r="AB937" s="5">
        <v>2.85</v>
      </c>
      <c r="AC937" s="4" cm="1">
        <f t="array" ref="AC937">IFERROR(INDEX(ReferenceCard, MATCH(1, (INDEX(ReferenceCard,,1)=Table1[[#This Row],[SAP No]]) * (INDEX(ReferenceCard,,2)=Table1[[#This Row],[Mould No]]), 0), 9),)</f>
        <v>32.56</v>
      </c>
      <c r="AD937" s="5">
        <v>0</v>
      </c>
      <c r="AE937" s="5">
        <v>0</v>
      </c>
      <c r="AF937" s="5">
        <v>0</v>
      </c>
      <c r="AG937" s="5">
        <v>2.8599999999999901</v>
      </c>
      <c r="AH937" s="5">
        <v>5.3899999999999899</v>
      </c>
      <c r="AI937" s="5">
        <v>0</v>
      </c>
      <c r="AJ937" s="5">
        <v>0</v>
      </c>
      <c r="AL937" s="2"/>
      <c r="AM937" s="2"/>
      <c r="AN937" s="3">
        <v>0</v>
      </c>
      <c r="AO937" s="3">
        <v>0</v>
      </c>
      <c r="AP937" s="6">
        <f>((Table1[[#This Row],[Reject Startup (kg)]]+Table1[[#This Row],[Reject Prod (kg)]]+Table1[[#This Row],[Reject Purging (kg)]]+Table1[[#This Row],[Reject Preform (kg)]])/Table1[[#This Row],[Part Weight (gm)]])*1000</f>
        <v>181.81818181818181</v>
      </c>
    </row>
    <row r="938" spans="1:42" x14ac:dyDescent="0.35">
      <c r="A938" s="1">
        <v>45992</v>
      </c>
      <c r="B938">
        <v>2</v>
      </c>
      <c r="C938" t="s">
        <v>11</v>
      </c>
      <c r="D938" t="str" cm="1">
        <f t="array" ref="D938">IFERROR(INDEX(ReferenceCard, MATCH(1, (INDEX(ReferenceCard,,1)=Table1[[#This Row],[SAP No]]) * (INDEX(ReferenceCard,,2)=Table1[[#This Row],[Mould No]]), 0), 6),)</f>
        <v>rPET</v>
      </c>
      <c r="E938">
        <v>620994</v>
      </c>
      <c r="F938">
        <v>0</v>
      </c>
      <c r="G938" t="str" cm="1">
        <f t="array" ref="G938">IFERROR(INDEX(ReferenceCard, MATCH(1, (INDEX(ReferenceCard,,1)=Table1[[#This Row],[SAP No]]) * (INDEX(ReferenceCard,,2)=Table1[[#This Row],[Mould No]]), 0), 3),)</f>
        <v>JJ63-0400-SH-S-CL-rPET</v>
      </c>
      <c r="H938">
        <v>0</v>
      </c>
      <c r="I938" cm="1">
        <f t="array" ref="I938">IFERROR(INDEX(ReferenceCard, MATCH(1, (INDEX(ReferenceCard,,1)=Table1[[#This Row],[SAP No]]) * (INDEX(ReferenceCard,,2)=Table1[[#This Row],[Mould No]]), 0), 4),)</f>
        <v>4</v>
      </c>
      <c r="J938" s="4" cm="1">
        <f t="array" ref="J938">IFERROR(INDEX(ReferenceCard, MATCH(1, (INDEX(ReferenceCard,,1)=Table1[[#This Row],[SAP No]]) * (INDEX(ReferenceCard,,2)=Table1[[#This Row],[Mould No]]), 0), 9),)</f>
        <v>32.74</v>
      </c>
      <c r="K938" s="4" cm="1">
        <f t="array" ref="K938">IFERROR(INDEX(ReferenceCard, MATCH(1, (INDEX(ReferenceCard,,1)=Table1[[#This Row],[SAP No]]) * (INDEX(ReferenceCard,,2)=Table1[[#This Row],[Mould No]]), 0), 7),)</f>
        <v>33</v>
      </c>
      <c r="L938">
        <v>1774</v>
      </c>
      <c r="M938">
        <v>0</v>
      </c>
      <c r="N938">
        <v>0</v>
      </c>
      <c r="O938">
        <v>0</v>
      </c>
      <c r="P938">
        <f>Table1[[#This Row],[Shot]]*Table1[[#This Row],[Cav]]</f>
        <v>7096</v>
      </c>
      <c r="Q938">
        <v>0</v>
      </c>
      <c r="R938">
        <f>(Table1[[#This Row],[Part Weight (gm)]]*Table1[[#This Row],[Finish Good]])/1000</f>
        <v>0</v>
      </c>
      <c r="S938">
        <v>0</v>
      </c>
      <c r="T938">
        <f>IF(Table1[[#This Row],[Qty Order]]="Sample","-",IF(Table1[[#This Row],[Qty Order]]="RTFN","-",Table1[[#This Row],[Qty Order]]-Table1[[#This Row],[Qty Accumulate]]))</f>
        <v>0</v>
      </c>
      <c r="U938">
        <f>((Table1[[#This Row],[Shift Output]]*Table1[[#This Row],[Part Weight (gm)]])/1000)+Table1[[#This Row],[Reject Startup (kg)]]+Table1[[#This Row],[Reject Purging (kg)]]+Table1[[#This Row],[Reject Preform (kg)]]</f>
        <v>234.16800000000001</v>
      </c>
      <c r="V938" s="37">
        <f>(Table1[[#This Row],[Gross Weight (gm)]]-Table1[[#This Row],[Part Weight (gm)]])*Table1[[#This Row],[Shift Output]]/1000</f>
        <v>-1.8449599999999859</v>
      </c>
      <c r="W938" s="3">
        <v>0</v>
      </c>
      <c r="X938" s="36">
        <f>Table1[[#This Row],[Reject Startup (kg)]]/Table1[[#This Row],[Material Used]]</f>
        <v>0</v>
      </c>
      <c r="Y938" s="3">
        <v>1</v>
      </c>
      <c r="Z938" s="36">
        <f>Table1[[#This Row],[Reject Prod (kg)]]/Table1[[#This Row],[Material Used]]</f>
        <v>4.2704383177889381E-3</v>
      </c>
      <c r="AA938" s="4">
        <v>23.9010105133056</v>
      </c>
      <c r="AB938" s="5">
        <v>3.27999999999999</v>
      </c>
      <c r="AC938" s="4" cm="1">
        <f t="array" ref="AC938">IFERROR(INDEX(ReferenceCard, MATCH(1, (INDEX(ReferenceCard,,1)=Table1[[#This Row],[SAP No]]) * (INDEX(ReferenceCard,,2)=Table1[[#This Row],[Mould No]]), 0), 9),)</f>
        <v>32.74</v>
      </c>
      <c r="AD938" s="5">
        <v>0</v>
      </c>
      <c r="AE938" s="5">
        <v>0</v>
      </c>
      <c r="AF938" s="5">
        <v>0</v>
      </c>
      <c r="AG938" s="5">
        <v>0</v>
      </c>
      <c r="AH938" s="5">
        <v>7.82</v>
      </c>
      <c r="AI938" s="5">
        <v>0</v>
      </c>
      <c r="AJ938" s="5">
        <v>0</v>
      </c>
      <c r="AL938" s="2"/>
      <c r="AM938" s="2"/>
      <c r="AN938" s="3">
        <v>0</v>
      </c>
      <c r="AO938" s="3">
        <v>0</v>
      </c>
      <c r="AP938" s="6">
        <f>((Table1[[#This Row],[Reject Startup (kg)]]+Table1[[#This Row],[Reject Prod (kg)]]+Table1[[#This Row],[Reject Purging (kg)]]+Table1[[#This Row],[Reject Preform (kg)]])/Table1[[#This Row],[Part Weight (gm)]])*1000</f>
        <v>30.303030303030305</v>
      </c>
    </row>
    <row r="939" spans="1:42" x14ac:dyDescent="0.35">
      <c r="A939" s="1">
        <v>45992</v>
      </c>
      <c r="B939">
        <v>2</v>
      </c>
      <c r="C939" t="s">
        <v>9</v>
      </c>
      <c r="D939" t="str" cm="1">
        <f t="array" ref="D939">IFERROR(INDEX(ReferenceCard, MATCH(1, (INDEX(ReferenceCard,,1)=Table1[[#This Row],[SAP No]]) * (INDEX(ReferenceCard,,2)=Table1[[#This Row],[Mould No]]), 0), 6),)</f>
        <v>rPET</v>
      </c>
      <c r="E939">
        <v>593537</v>
      </c>
      <c r="F939">
        <v>0</v>
      </c>
      <c r="G939" t="str" cm="1">
        <f t="array" ref="G939">IFERROR(INDEX(ReferenceCard, MATCH(1, (INDEX(ReferenceCard,,1)=Table1[[#This Row],[SAP No]]) * (INDEX(ReferenceCard,,2)=Table1[[#This Row],[Mould No]]), 0), 3),)</f>
        <v>BX38-1000-RN-R-CL-rPET</v>
      </c>
      <c r="H939">
        <v>0</v>
      </c>
      <c r="I939" cm="1">
        <f t="array" ref="I939">IFERROR(INDEX(ReferenceCard, MATCH(1, (INDEX(ReferenceCard,,1)=Table1[[#This Row],[SAP No]]) * (INDEX(ReferenceCard,,2)=Table1[[#This Row],[Mould No]]), 0), 4),)</f>
        <v>4</v>
      </c>
      <c r="J939" s="4" cm="1">
        <f t="array" ref="J939">IFERROR(INDEX(ReferenceCard, MATCH(1, (INDEX(ReferenceCard,,1)=Table1[[#This Row],[SAP No]]) * (INDEX(ReferenceCard,,2)=Table1[[#This Row],[Mould No]]), 0), 9),)</f>
        <v>56.5</v>
      </c>
      <c r="K939" s="4" cm="1">
        <f t="array" ref="K939">IFERROR(INDEX(ReferenceCard, MATCH(1, (INDEX(ReferenceCard,,1)=Table1[[#This Row],[SAP No]]) * (INDEX(ReferenceCard,,2)=Table1[[#This Row],[Mould No]]), 0), 7),)</f>
        <v>56.8</v>
      </c>
      <c r="L939">
        <v>1519</v>
      </c>
      <c r="M939">
        <v>0</v>
      </c>
      <c r="N939">
        <v>0</v>
      </c>
      <c r="O939">
        <v>0</v>
      </c>
      <c r="P939">
        <f>Table1[[#This Row],[Shot]]*Table1[[#This Row],[Cav]]</f>
        <v>6076</v>
      </c>
      <c r="Q939">
        <v>0</v>
      </c>
      <c r="R939">
        <f>(Table1[[#This Row],[Part Weight (gm)]]*Table1[[#This Row],[Finish Good]])/1000</f>
        <v>0</v>
      </c>
      <c r="S939">
        <v>0</v>
      </c>
      <c r="T939">
        <f>IF(Table1[[#This Row],[Qty Order]]="Sample","-",IF(Table1[[#This Row],[Qty Order]]="RTFN","-",Table1[[#This Row],[Qty Order]]-Table1[[#This Row],[Qty Accumulate]]))</f>
        <v>0</v>
      </c>
      <c r="U939">
        <f>((Table1[[#This Row],[Shift Output]]*Table1[[#This Row],[Part Weight (gm)]])/1000)+Table1[[#This Row],[Reject Startup (kg)]]+Table1[[#This Row],[Reject Purging (kg)]]+Table1[[#This Row],[Reject Preform (kg)]]</f>
        <v>345.11680000000001</v>
      </c>
      <c r="V939" s="37">
        <f>(Table1[[#This Row],[Gross Weight (gm)]]-Table1[[#This Row],[Part Weight (gm)]])*Table1[[#This Row],[Shift Output]]/1000</f>
        <v>-1.8227999999999827</v>
      </c>
      <c r="W939" s="3">
        <v>0</v>
      </c>
      <c r="X939" s="36">
        <f>Table1[[#This Row],[Reject Startup (kg)]]/Table1[[#This Row],[Material Used]]</f>
        <v>0</v>
      </c>
      <c r="Y939" s="3">
        <v>1</v>
      </c>
      <c r="Z939" s="36">
        <f>Table1[[#This Row],[Reject Prod (kg)]]/Table1[[#This Row],[Material Used]]</f>
        <v>2.8975697502990291E-3</v>
      </c>
      <c r="AA939" s="4">
        <v>28.428916931152301</v>
      </c>
      <c r="AB939" s="5">
        <v>11.1</v>
      </c>
      <c r="AC939" s="4" cm="1">
        <f t="array" ref="AC939">IFERROR(INDEX(ReferenceCard, MATCH(1, (INDEX(ReferenceCard,,1)=Table1[[#This Row],[SAP No]]) * (INDEX(ReferenceCard,,2)=Table1[[#This Row],[Mould No]]), 0), 9),)</f>
        <v>56.5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L939" s="2"/>
      <c r="AM939" s="2"/>
      <c r="AN939" s="3">
        <v>0</v>
      </c>
      <c r="AO939" s="3">
        <v>0</v>
      </c>
      <c r="AP939" s="6">
        <f>((Table1[[#This Row],[Reject Startup (kg)]]+Table1[[#This Row],[Reject Prod (kg)]]+Table1[[#This Row],[Reject Purging (kg)]]+Table1[[#This Row],[Reject Preform (kg)]])/Table1[[#This Row],[Part Weight (gm)]])*1000</f>
        <v>17.605633802816904</v>
      </c>
    </row>
    <row r="940" spans="1:42" x14ac:dyDescent="0.35">
      <c r="A940" s="1">
        <v>45992</v>
      </c>
      <c r="B940">
        <v>2</v>
      </c>
      <c r="C940" t="s">
        <v>7</v>
      </c>
      <c r="D940" t="str" cm="1">
        <f t="array" ref="D940">IFERROR(INDEX(ReferenceCard, MATCH(1, (INDEX(ReferenceCard,,1)=Table1[[#This Row],[SAP No]]) * (INDEX(ReferenceCard,,2)=Table1[[#This Row],[Mould No]]), 0), 6),)</f>
        <v>PET</v>
      </c>
      <c r="E940">
        <v>426555</v>
      </c>
      <c r="F940">
        <v>0</v>
      </c>
      <c r="G940" t="str" cm="1">
        <f t="array" ref="G940">IFERROR(INDEX(ReferenceCard, MATCH(1, (INDEX(ReferenceCard,,1)=Table1[[#This Row],[SAP No]]) * (INDEX(ReferenceCard,,2)=Table1[[#This Row],[Mould No]]), 0), 3),)</f>
        <v>BX38-0330-Z-S-CL-HW</v>
      </c>
      <c r="H940">
        <v>0</v>
      </c>
      <c r="I940" cm="1">
        <f t="array" ref="I940">IFERROR(INDEX(ReferenceCard, MATCH(1, (INDEX(ReferenceCard,,1)=Table1[[#This Row],[SAP No]]) * (INDEX(ReferenceCard,,2)=Table1[[#This Row],[Mould No]]), 0), 4),)</f>
        <v>4</v>
      </c>
      <c r="J940" s="4" cm="1">
        <f t="array" ref="J940">IFERROR(INDEX(ReferenceCard, MATCH(1, (INDEX(ReferenceCard,,1)=Table1[[#This Row],[SAP No]]) * (INDEX(ReferenceCard,,2)=Table1[[#This Row],[Mould No]]), 0), 9),)</f>
        <v>29</v>
      </c>
      <c r="K940" s="4" cm="1">
        <f t="array" ref="K940">IFERROR(INDEX(ReferenceCard, MATCH(1, (INDEX(ReferenceCard,,1)=Table1[[#This Row],[SAP No]]) * (INDEX(ReferenceCard,,2)=Table1[[#This Row],[Mould No]]), 0), 7),)</f>
        <v>29</v>
      </c>
      <c r="L940">
        <v>0</v>
      </c>
      <c r="M940">
        <v>0</v>
      </c>
      <c r="N940">
        <v>0</v>
      </c>
      <c r="O940">
        <v>0</v>
      </c>
      <c r="P940">
        <f>Table1[[#This Row],[Shot]]*Table1[[#This Row],[Cav]]</f>
        <v>0</v>
      </c>
      <c r="Q940">
        <v>0</v>
      </c>
      <c r="R940">
        <f>(Table1[[#This Row],[Part Weight (gm)]]*Table1[[#This Row],[Finish Good]])/1000</f>
        <v>0</v>
      </c>
      <c r="S940">
        <v>0</v>
      </c>
      <c r="T940">
        <f>IF(Table1[[#This Row],[Qty Order]]="Sample","-",IF(Table1[[#This Row],[Qty Order]]="RTFN","-",Table1[[#This Row],[Qty Order]]-Table1[[#This Row],[Qty Accumulate]]))</f>
        <v>0</v>
      </c>
      <c r="U940">
        <f>((Table1[[#This Row],[Shift Output]]*Table1[[#This Row],[Part Weight (gm)]])/1000)+Table1[[#This Row],[Reject Startup (kg)]]+Table1[[#This Row],[Reject Purging (kg)]]+Table1[[#This Row],[Reject Preform (kg)]]</f>
        <v>7</v>
      </c>
      <c r="V940" s="37">
        <f>(Table1[[#This Row],[Gross Weight (gm)]]-Table1[[#This Row],[Part Weight (gm)]])*Table1[[#This Row],[Shift Output]]/1000</f>
        <v>0</v>
      </c>
      <c r="W940" s="3">
        <v>7</v>
      </c>
      <c r="X940" s="36">
        <f>Table1[[#This Row],[Reject Startup (kg)]]/Table1[[#This Row],[Material Used]]</f>
        <v>1</v>
      </c>
      <c r="Y940" s="3">
        <v>0</v>
      </c>
      <c r="Z940" s="36">
        <f>Table1[[#This Row],[Reject Prod (kg)]]/Table1[[#This Row],[Material Used]]</f>
        <v>0</v>
      </c>
      <c r="AA940" s="4">
        <v>0</v>
      </c>
      <c r="AB940" s="5">
        <v>0.88</v>
      </c>
      <c r="AC940" s="4" cm="1">
        <f t="array" ref="AC940">IFERROR(INDEX(ReferenceCard, MATCH(1, (INDEX(ReferenceCard,,1)=Table1[[#This Row],[SAP No]]) * (INDEX(ReferenceCard,,2)=Table1[[#This Row],[Mould No]]), 0), 9),)</f>
        <v>29</v>
      </c>
      <c r="AD940" s="5">
        <v>0</v>
      </c>
      <c r="AE940" s="5">
        <v>0</v>
      </c>
      <c r="AF940" s="5">
        <v>2.1299999999999901</v>
      </c>
      <c r="AG940" s="5">
        <v>0</v>
      </c>
      <c r="AH940" s="5">
        <v>7.8399999999999901</v>
      </c>
      <c r="AI940" s="5">
        <v>0.23999999999999899</v>
      </c>
      <c r="AJ940" s="5">
        <v>0</v>
      </c>
      <c r="AK940" t="s">
        <v>239</v>
      </c>
      <c r="AL940" s="2" t="s">
        <v>240</v>
      </c>
      <c r="AM940" s="2"/>
      <c r="AN940" s="3"/>
      <c r="AO940" s="3">
        <v>0</v>
      </c>
      <c r="AP940" s="6">
        <f>((Table1[[#This Row],[Reject Startup (kg)]]+Table1[[#This Row],[Reject Prod (kg)]]+Table1[[#This Row],[Reject Purging (kg)]]+Table1[[#This Row],[Reject Preform (kg)]])/Table1[[#This Row],[Part Weight (gm)]])*1000</f>
        <v>241.37931034482759</v>
      </c>
    </row>
    <row r="941" spans="1:42" x14ac:dyDescent="0.35">
      <c r="A941" s="1">
        <v>45992</v>
      </c>
      <c r="B941">
        <v>2</v>
      </c>
      <c r="C941" t="s">
        <v>5</v>
      </c>
      <c r="D941" t="str" cm="1">
        <f t="array" ref="D941">IFERROR(INDEX(ReferenceCard, MATCH(1, (INDEX(ReferenceCard,,1)=Table1[[#This Row],[SAP No]]) * (INDEX(ReferenceCard,,2)=Table1[[#This Row],[Mould No]]), 0), 6),)</f>
        <v>PET</v>
      </c>
      <c r="E941">
        <v>543590</v>
      </c>
      <c r="F941">
        <v>0</v>
      </c>
      <c r="G941" t="str" cm="1">
        <f t="array" ref="G941">IFERROR(INDEX(ReferenceCard, MATCH(1, (INDEX(ReferenceCard,,1)=Table1[[#This Row],[SAP No]]) * (INDEX(ReferenceCard,,2)=Table1[[#This Row],[Mould No]]), 0), 3),)</f>
        <v>BC28-0130-R-R-AM</v>
      </c>
      <c r="H941">
        <v>0</v>
      </c>
      <c r="I941" cm="1">
        <f t="array" ref="I941">IFERROR(INDEX(ReferenceCard, MATCH(1, (INDEX(ReferenceCard,,1)=Table1[[#This Row],[SAP No]]) * (INDEX(ReferenceCard,,2)=Table1[[#This Row],[Mould No]]), 0), 4),)</f>
        <v>4</v>
      </c>
      <c r="J941" s="4" cm="1">
        <f t="array" ref="J941">IFERROR(INDEX(ReferenceCard, MATCH(1, (INDEX(ReferenceCard,,1)=Table1[[#This Row],[SAP No]]) * (INDEX(ReferenceCard,,2)=Table1[[#This Row],[Mould No]]), 0), 9),)</f>
        <v>19</v>
      </c>
      <c r="K941" s="4" cm="1">
        <f t="array" ref="K941">IFERROR(INDEX(ReferenceCard, MATCH(1, (INDEX(ReferenceCard,,1)=Table1[[#This Row],[SAP No]]) * (INDEX(ReferenceCard,,2)=Table1[[#This Row],[Mould No]]), 0), 7),)</f>
        <v>19</v>
      </c>
      <c r="L941">
        <v>1616</v>
      </c>
      <c r="M941">
        <v>0</v>
      </c>
      <c r="N941">
        <v>0</v>
      </c>
      <c r="O941">
        <v>0</v>
      </c>
      <c r="P941">
        <f>Table1[[#This Row],[Shot]]*Table1[[#This Row],[Cav]]</f>
        <v>6464</v>
      </c>
      <c r="Q941">
        <v>0</v>
      </c>
      <c r="R941">
        <f>(Table1[[#This Row],[Part Weight (gm)]]*Table1[[#This Row],[Finish Good]])/1000</f>
        <v>0</v>
      </c>
      <c r="S941">
        <v>0</v>
      </c>
      <c r="T941">
        <f>IF(Table1[[#This Row],[Qty Order]]="Sample","-",IF(Table1[[#This Row],[Qty Order]]="RTFN","-",Table1[[#This Row],[Qty Order]]-Table1[[#This Row],[Qty Accumulate]]))</f>
        <v>0</v>
      </c>
      <c r="U941">
        <f>((Table1[[#This Row],[Shift Output]]*Table1[[#This Row],[Part Weight (gm)]])/1000)+Table1[[#This Row],[Reject Startup (kg)]]+Table1[[#This Row],[Reject Purging (kg)]]+Table1[[#This Row],[Reject Preform (kg)]]</f>
        <v>122.816</v>
      </c>
      <c r="V941" s="37">
        <f>(Table1[[#This Row],[Gross Weight (gm)]]-Table1[[#This Row],[Part Weight (gm)]])*Table1[[#This Row],[Shift Output]]/1000</f>
        <v>0</v>
      </c>
      <c r="W941" s="3">
        <v>0</v>
      </c>
      <c r="X941" s="36">
        <f>Table1[[#This Row],[Reject Startup (kg)]]/Table1[[#This Row],[Material Used]]</f>
        <v>0</v>
      </c>
      <c r="Y941" s="3">
        <v>5</v>
      </c>
      <c r="Z941" s="36">
        <f>Table1[[#This Row],[Reject Prod (kg)]]/Table1[[#This Row],[Material Used]]</f>
        <v>4.0711307972902552E-2</v>
      </c>
      <c r="AA941" s="4">
        <v>22.502962112426701</v>
      </c>
      <c r="AB941" s="5">
        <v>10.1199999999999</v>
      </c>
      <c r="AC941" s="4" cm="1">
        <f t="array" ref="AC941">IFERROR(INDEX(ReferenceCard, MATCH(1, (INDEX(ReferenceCard,,1)=Table1[[#This Row],[SAP No]]) * (INDEX(ReferenceCard,,2)=Table1[[#This Row],[Mould No]]), 0), 9),)</f>
        <v>19</v>
      </c>
      <c r="AD941" s="5">
        <v>0</v>
      </c>
      <c r="AE941" s="5">
        <v>0</v>
      </c>
      <c r="AF941" s="5">
        <v>0</v>
      </c>
      <c r="AG941" s="5">
        <v>0</v>
      </c>
      <c r="AH941" s="5">
        <v>0.97999999999999898</v>
      </c>
      <c r="AI941" s="5">
        <v>0</v>
      </c>
      <c r="AJ941" s="5">
        <v>0</v>
      </c>
      <c r="AL941" s="2"/>
      <c r="AM941" s="2"/>
      <c r="AN941" s="3">
        <v>0</v>
      </c>
      <c r="AO941" s="3">
        <v>0</v>
      </c>
      <c r="AP941" s="6">
        <f>((Table1[[#This Row],[Reject Startup (kg)]]+Table1[[#This Row],[Reject Prod (kg)]]+Table1[[#This Row],[Reject Purging (kg)]]+Table1[[#This Row],[Reject Preform (kg)]])/Table1[[#This Row],[Part Weight (gm)]])*1000</f>
        <v>263.15789473684208</v>
      </c>
    </row>
    <row r="942" spans="1:42" x14ac:dyDescent="0.35">
      <c r="A942" s="1">
        <v>45992</v>
      </c>
      <c r="B942">
        <v>2</v>
      </c>
      <c r="C942" t="s">
        <v>3</v>
      </c>
      <c r="D942" t="str" cm="1">
        <f t="array" ref="D942">IFERROR(INDEX(ReferenceCard, MATCH(1, (INDEX(ReferenceCard,,1)=Table1[[#This Row],[SAP No]]) * (INDEX(ReferenceCard,,2)=Table1[[#This Row],[Mould No]]), 0), 6),)</f>
        <v>PET</v>
      </c>
      <c r="E942">
        <v>324163</v>
      </c>
      <c r="F942">
        <v>0</v>
      </c>
      <c r="G942" t="str" cm="1">
        <f t="array" ref="G942">IFERROR(INDEX(ReferenceCard, MATCH(1, (INDEX(ReferenceCard,,1)=Table1[[#This Row],[SAP No]]) * (INDEX(ReferenceCard,,2)=Table1[[#This Row],[Mould No]]), 0), 3),)</f>
        <v>BC28-0265-A-Q-CL</v>
      </c>
      <c r="H942">
        <v>0</v>
      </c>
      <c r="I942" cm="1">
        <f t="array" ref="I942">IFERROR(INDEX(ReferenceCard, MATCH(1, (INDEX(ReferenceCard,,1)=Table1[[#This Row],[SAP No]]) * (INDEX(ReferenceCard,,2)=Table1[[#This Row],[Mould No]]), 0), 4),)</f>
        <v>4</v>
      </c>
      <c r="J942" s="4" cm="1">
        <f t="array" ref="J942">IFERROR(INDEX(ReferenceCard, MATCH(1, (INDEX(ReferenceCard,,1)=Table1[[#This Row],[SAP No]]) * (INDEX(ReferenceCard,,2)=Table1[[#This Row],[Mould No]]), 0), 9),)</f>
        <v>24</v>
      </c>
      <c r="K942" s="4" cm="1">
        <f t="array" ref="K942">IFERROR(INDEX(ReferenceCard, MATCH(1, (INDEX(ReferenceCard,,1)=Table1[[#This Row],[SAP No]]) * (INDEX(ReferenceCard,,2)=Table1[[#This Row],[Mould No]]), 0), 7),)</f>
        <v>23.5</v>
      </c>
      <c r="L942">
        <v>1972</v>
      </c>
      <c r="M942">
        <v>0</v>
      </c>
      <c r="N942">
        <v>0</v>
      </c>
      <c r="O942">
        <v>0</v>
      </c>
      <c r="P942">
        <f>Table1[[#This Row],[Shot]]*Table1[[#This Row],[Cav]]</f>
        <v>7888</v>
      </c>
      <c r="Q942">
        <v>0</v>
      </c>
      <c r="R942">
        <f>(Table1[[#This Row],[Part Weight (gm)]]*Table1[[#This Row],[Finish Good]])/1000</f>
        <v>0</v>
      </c>
      <c r="S942">
        <v>0</v>
      </c>
      <c r="T942">
        <f>IF(Table1[[#This Row],[Qty Order]]="Sample","-",IF(Table1[[#This Row],[Qty Order]]="RTFN","-",Table1[[#This Row],[Qty Order]]-Table1[[#This Row],[Qty Accumulate]]))</f>
        <v>0</v>
      </c>
      <c r="U942">
        <f>((Table1[[#This Row],[Shift Output]]*Table1[[#This Row],[Part Weight (gm)]])/1000)+Table1[[#This Row],[Reject Startup (kg)]]+Table1[[#This Row],[Reject Purging (kg)]]+Table1[[#This Row],[Reject Preform (kg)]]</f>
        <v>185.36799999999999</v>
      </c>
      <c r="V942" s="37">
        <f>(Table1[[#This Row],[Gross Weight (gm)]]-Table1[[#This Row],[Part Weight (gm)]])*Table1[[#This Row],[Shift Output]]/1000</f>
        <v>3.944</v>
      </c>
      <c r="W942" s="3">
        <v>0</v>
      </c>
      <c r="X942" s="36">
        <f>Table1[[#This Row],[Reject Startup (kg)]]/Table1[[#This Row],[Material Used]]</f>
        <v>0</v>
      </c>
      <c r="Y942" s="3">
        <v>1</v>
      </c>
      <c r="Z942" s="36">
        <f>Table1[[#This Row],[Reject Prod (kg)]]/Table1[[#This Row],[Material Used]]</f>
        <v>5.3946743774545766E-3</v>
      </c>
      <c r="AA942" s="4">
        <v>23.543535232543899</v>
      </c>
      <c r="AB942" s="5">
        <v>11.1</v>
      </c>
      <c r="AC942" s="4" cm="1">
        <f t="array" ref="AC942">IFERROR(INDEX(ReferenceCard, MATCH(1, (INDEX(ReferenceCard,,1)=Table1[[#This Row],[SAP No]]) * (INDEX(ReferenceCard,,2)=Table1[[#This Row],[Mould No]]), 0), 9),)</f>
        <v>24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L942" s="2"/>
      <c r="AM942" s="2"/>
      <c r="AN942" s="3">
        <v>0</v>
      </c>
      <c r="AO942" s="3">
        <v>0</v>
      </c>
      <c r="AP942" s="6">
        <f>((Table1[[#This Row],[Reject Startup (kg)]]+Table1[[#This Row],[Reject Prod (kg)]]+Table1[[#This Row],[Reject Purging (kg)]]+Table1[[#This Row],[Reject Preform (kg)]])/Table1[[#This Row],[Part Weight (gm)]])*1000</f>
        <v>42.553191489361701</v>
      </c>
    </row>
    <row r="943" spans="1:42" x14ac:dyDescent="0.35">
      <c r="A943" s="1">
        <v>45992</v>
      </c>
      <c r="B943">
        <v>2</v>
      </c>
      <c r="C943" t="s">
        <v>0</v>
      </c>
      <c r="D943" t="str" cm="1">
        <f t="array" ref="D943">IFERROR(INDEX(ReferenceCard, MATCH(1, (INDEX(ReferenceCard,,1)=Table1[[#This Row],[SAP No]]) * (INDEX(ReferenceCard,,2)=Table1[[#This Row],[Mould No]]), 0), 6),)</f>
        <v>PET</v>
      </c>
      <c r="E943">
        <v>369308</v>
      </c>
      <c r="F943">
        <v>0</v>
      </c>
      <c r="G943" t="str" cm="1">
        <f t="array" ref="G943">IFERROR(INDEX(ReferenceCard, MATCH(1, (INDEX(ReferenceCard,,1)=Table1[[#This Row],[SAP No]]) * (INDEX(ReferenceCard,,2)=Table1[[#This Row],[Mould No]]), 0), 3),)</f>
        <v>BW38-0280-LS-R-RED</v>
      </c>
      <c r="H943">
        <v>0</v>
      </c>
      <c r="I943" cm="1">
        <f t="array" ref="I943">IFERROR(INDEX(ReferenceCard, MATCH(1, (INDEX(ReferenceCard,,1)=Table1[[#This Row],[SAP No]]) * (INDEX(ReferenceCard,,2)=Table1[[#This Row],[Mould No]]), 0), 4),)</f>
        <v>4</v>
      </c>
      <c r="J943" s="4" cm="1">
        <f t="array" ref="J943">IFERROR(INDEX(ReferenceCard, MATCH(1, (INDEX(ReferenceCard,,1)=Table1[[#This Row],[SAP No]]) * (INDEX(ReferenceCard,,2)=Table1[[#This Row],[Mould No]]), 0), 9),)</f>
        <v>31</v>
      </c>
      <c r="K943" s="4" cm="1">
        <f t="array" ref="K943">IFERROR(INDEX(ReferenceCard, MATCH(1, (INDEX(ReferenceCard,,1)=Table1[[#This Row],[SAP No]]) * (INDEX(ReferenceCard,,2)=Table1[[#This Row],[Mould No]]), 0), 7),)</f>
        <v>31</v>
      </c>
      <c r="L943">
        <v>1721</v>
      </c>
      <c r="M943">
        <v>0</v>
      </c>
      <c r="N943">
        <v>0</v>
      </c>
      <c r="O943">
        <v>0</v>
      </c>
      <c r="P943">
        <f>Table1[[#This Row],[Shot]]*Table1[[#This Row],[Cav]]</f>
        <v>6884</v>
      </c>
      <c r="Q943">
        <v>0</v>
      </c>
      <c r="R943">
        <f>(Table1[[#This Row],[Part Weight (gm)]]*Table1[[#This Row],[Finish Good]])/1000</f>
        <v>0</v>
      </c>
      <c r="S943">
        <v>0</v>
      </c>
      <c r="T943">
        <f>IF(Table1[[#This Row],[Qty Order]]="Sample","-",IF(Table1[[#This Row],[Qty Order]]="RTFN","-",Table1[[#This Row],[Qty Order]]-Table1[[#This Row],[Qty Accumulate]]))</f>
        <v>0</v>
      </c>
      <c r="U943">
        <f>((Table1[[#This Row],[Shift Output]]*Table1[[#This Row],[Part Weight (gm)]])/1000)+Table1[[#This Row],[Reject Startup (kg)]]+Table1[[#This Row],[Reject Purging (kg)]]+Table1[[#This Row],[Reject Preform (kg)]]</f>
        <v>213.404</v>
      </c>
      <c r="V943" s="37">
        <f>(Table1[[#This Row],[Gross Weight (gm)]]-Table1[[#This Row],[Part Weight (gm)]])*Table1[[#This Row],[Shift Output]]/1000</f>
        <v>0</v>
      </c>
      <c r="W943" s="3">
        <v>0</v>
      </c>
      <c r="X943" s="36">
        <f>Table1[[#This Row],[Reject Startup (kg)]]/Table1[[#This Row],[Material Used]]</f>
        <v>0</v>
      </c>
      <c r="Y943" s="3">
        <v>1</v>
      </c>
      <c r="Z943" s="36">
        <f>Table1[[#This Row],[Reject Prod (kg)]]/Table1[[#This Row],[Material Used]]</f>
        <v>4.6859477797979417E-3</v>
      </c>
      <c r="AA943" s="4">
        <v>26.958957672119102</v>
      </c>
      <c r="AB943" s="5">
        <v>11.1</v>
      </c>
      <c r="AC943" s="4" cm="1">
        <f t="array" ref="AC943">IFERROR(INDEX(ReferenceCard, MATCH(1, (INDEX(ReferenceCard,,1)=Table1[[#This Row],[SAP No]]) * (INDEX(ReferenceCard,,2)=Table1[[#This Row],[Mould No]]), 0), 9),)</f>
        <v>31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L943" s="2"/>
      <c r="AM943" s="2"/>
      <c r="AN943" s="3">
        <v>0</v>
      </c>
      <c r="AO943" s="3">
        <v>0</v>
      </c>
      <c r="AP943" s="6">
        <f>((Table1[[#This Row],[Reject Startup (kg)]]+Table1[[#This Row],[Reject Prod (kg)]]+Table1[[#This Row],[Reject Purging (kg)]]+Table1[[#This Row],[Reject Preform (kg)]])/Table1[[#This Row],[Part Weight (gm)]])*1000</f>
        <v>32.258064516129032</v>
      </c>
    </row>
    <row r="944" spans="1:42" x14ac:dyDescent="0.35">
      <c r="A944" s="1">
        <v>45992</v>
      </c>
      <c r="B944">
        <v>1</v>
      </c>
      <c r="C944" t="s">
        <v>0</v>
      </c>
      <c r="D944" t="str" cm="1">
        <f t="array" ref="D944">IFERROR(INDEX(ReferenceCard, MATCH(1, (INDEX(ReferenceCard,,1)=Table1[[#This Row],[SAP No]]) * (INDEX(ReferenceCard,,2)=Table1[[#This Row],[Mould No]]), 0), 6),)</f>
        <v>PET</v>
      </c>
      <c r="E944">
        <v>369308</v>
      </c>
      <c r="F944">
        <v>0</v>
      </c>
      <c r="G944" t="str" cm="1">
        <f t="array" ref="G944">IFERROR(INDEX(ReferenceCard, MATCH(1, (INDEX(ReferenceCard,,1)=Table1[[#This Row],[SAP No]]) * (INDEX(ReferenceCard,,2)=Table1[[#This Row],[Mould No]]), 0), 3),)</f>
        <v>BW38-0280-LS-R-RED</v>
      </c>
      <c r="H944">
        <v>0</v>
      </c>
      <c r="I944" cm="1">
        <f t="array" ref="I944">IFERROR(INDEX(ReferenceCard, MATCH(1, (INDEX(ReferenceCard,,1)=Table1[[#This Row],[SAP No]]) * (INDEX(ReferenceCard,,2)=Table1[[#This Row],[Mould No]]), 0), 4),)</f>
        <v>4</v>
      </c>
      <c r="J944" s="4" cm="1">
        <f t="array" ref="J944">IFERROR(INDEX(ReferenceCard, MATCH(1, (INDEX(ReferenceCard,,1)=Table1[[#This Row],[SAP No]]) * (INDEX(ReferenceCard,,2)=Table1[[#This Row],[Mould No]]), 0), 9),)</f>
        <v>31</v>
      </c>
      <c r="K944" s="4" cm="1">
        <f t="array" ref="K944">IFERROR(INDEX(ReferenceCard, MATCH(1, (INDEX(ReferenceCard,,1)=Table1[[#This Row],[SAP No]]) * (INDEX(ReferenceCard,,2)=Table1[[#This Row],[Mould No]]), 0), 7),)</f>
        <v>31</v>
      </c>
      <c r="L944">
        <v>357</v>
      </c>
      <c r="M944">
        <v>0</v>
      </c>
      <c r="N944">
        <v>0</v>
      </c>
      <c r="O944">
        <v>0</v>
      </c>
      <c r="P944">
        <f>Table1[[#This Row],[Shot]]*Table1[[#This Row],[Cav]]</f>
        <v>1428</v>
      </c>
      <c r="Q944">
        <v>0</v>
      </c>
      <c r="R944">
        <f>(Table1[[#This Row],[Part Weight (gm)]]*Table1[[#This Row],[Finish Good]])/1000</f>
        <v>0</v>
      </c>
      <c r="S944">
        <v>0</v>
      </c>
      <c r="T944">
        <f>IF(Table1[[#This Row],[Qty Order]]="Sample","-",IF(Table1[[#This Row],[Qty Order]]="RTFN","-",Table1[[#This Row],[Qty Order]]-Table1[[#This Row],[Qty Accumulate]]))</f>
        <v>0</v>
      </c>
      <c r="U944">
        <f>((Table1[[#This Row],[Shift Output]]*Table1[[#This Row],[Part Weight (gm)]])/1000)+Table1[[#This Row],[Reject Startup (kg)]]+Table1[[#This Row],[Reject Purging (kg)]]+Table1[[#This Row],[Reject Preform (kg)]]</f>
        <v>74.768000000000001</v>
      </c>
      <c r="V944" s="37">
        <f>(Table1[[#This Row],[Gross Weight (gm)]]-Table1[[#This Row],[Part Weight (gm)]])*Table1[[#This Row],[Shift Output]]/1000</f>
        <v>0</v>
      </c>
      <c r="W944" s="3">
        <v>20</v>
      </c>
      <c r="X944" s="36">
        <f>Table1[[#This Row],[Reject Startup (kg)]]/Table1[[#This Row],[Material Used]]</f>
        <v>0.26749411512946714</v>
      </c>
      <c r="Y944" s="3">
        <v>2</v>
      </c>
      <c r="Z944" s="36">
        <f>Table1[[#This Row],[Reject Prod (kg)]]/Table1[[#This Row],[Material Used]]</f>
        <v>2.6749411512946714E-2</v>
      </c>
      <c r="AA944" s="4">
        <v>27.1392612457275</v>
      </c>
      <c r="AB944" s="5">
        <v>9.4399999999999906</v>
      </c>
      <c r="AC944" s="4" cm="1">
        <f t="array" ref="AC944">IFERROR(INDEX(ReferenceCard, MATCH(1, (INDEX(ReferenceCard,,1)=Table1[[#This Row],[SAP No]]) * (INDEX(ReferenceCard,,2)=Table1[[#This Row],[Mould No]]), 0), 9),)</f>
        <v>31</v>
      </c>
      <c r="AD944" s="5">
        <v>0</v>
      </c>
      <c r="AE944" s="5">
        <v>0</v>
      </c>
      <c r="AF944" s="5">
        <v>0</v>
      </c>
      <c r="AG944" s="5">
        <v>0</v>
      </c>
      <c r="AH944" s="5">
        <v>3.45</v>
      </c>
      <c r="AI944" s="5">
        <v>0</v>
      </c>
      <c r="AJ944" s="5">
        <v>0</v>
      </c>
      <c r="AL944" s="2"/>
      <c r="AM944" s="2"/>
      <c r="AN944" s="3">
        <v>5.5</v>
      </c>
      <c r="AO944" s="3">
        <v>5</v>
      </c>
      <c r="AP944" s="6">
        <f>((Table1[[#This Row],[Reject Startup (kg)]]+Table1[[#This Row],[Reject Prod (kg)]]+Table1[[#This Row],[Reject Purging (kg)]]+Table1[[#This Row],[Reject Preform (kg)]])/Table1[[#This Row],[Part Weight (gm)]])*1000</f>
        <v>1048.3870967741934</v>
      </c>
    </row>
    <row r="945" spans="1:42" x14ac:dyDescent="0.35">
      <c r="A945" s="1">
        <v>45992</v>
      </c>
      <c r="B945">
        <v>1</v>
      </c>
      <c r="C945" t="s">
        <v>3</v>
      </c>
      <c r="D945" t="str" cm="1">
        <f t="array" ref="D945">IFERROR(INDEX(ReferenceCard, MATCH(1, (INDEX(ReferenceCard,,1)=Table1[[#This Row],[SAP No]]) * (INDEX(ReferenceCard,,2)=Table1[[#This Row],[Mould No]]), 0), 6),)</f>
        <v>PET</v>
      </c>
      <c r="E945">
        <v>324163</v>
      </c>
      <c r="F945">
        <v>0</v>
      </c>
      <c r="G945" t="str" cm="1">
        <f t="array" ref="G945">IFERROR(INDEX(ReferenceCard, MATCH(1, (INDEX(ReferenceCard,,1)=Table1[[#This Row],[SAP No]]) * (INDEX(ReferenceCard,,2)=Table1[[#This Row],[Mould No]]), 0), 3),)</f>
        <v>BC28-0265-A-Q-CL</v>
      </c>
      <c r="H945">
        <v>0</v>
      </c>
      <c r="I945" cm="1">
        <f t="array" ref="I945">IFERROR(INDEX(ReferenceCard, MATCH(1, (INDEX(ReferenceCard,,1)=Table1[[#This Row],[SAP No]]) * (INDEX(ReferenceCard,,2)=Table1[[#This Row],[Mould No]]), 0), 4),)</f>
        <v>4</v>
      </c>
      <c r="J945" s="4" cm="1">
        <f t="array" ref="J945">IFERROR(INDEX(ReferenceCard, MATCH(1, (INDEX(ReferenceCard,,1)=Table1[[#This Row],[SAP No]]) * (INDEX(ReferenceCard,,2)=Table1[[#This Row],[Mould No]]), 0), 9),)</f>
        <v>24</v>
      </c>
      <c r="K945" s="4" cm="1">
        <f t="array" ref="K945">IFERROR(INDEX(ReferenceCard, MATCH(1, (INDEX(ReferenceCard,,1)=Table1[[#This Row],[SAP No]]) * (INDEX(ReferenceCard,,2)=Table1[[#This Row],[Mould No]]), 0), 7),)</f>
        <v>23.5</v>
      </c>
      <c r="L945">
        <v>1696</v>
      </c>
      <c r="M945">
        <v>0</v>
      </c>
      <c r="N945">
        <v>0</v>
      </c>
      <c r="O945">
        <v>0</v>
      </c>
      <c r="P945">
        <f>Table1[[#This Row],[Shot]]*Table1[[#This Row],[Cav]]</f>
        <v>6784</v>
      </c>
      <c r="Q945">
        <v>0</v>
      </c>
      <c r="R945">
        <f>(Table1[[#This Row],[Part Weight (gm)]]*Table1[[#This Row],[Finish Good]])/1000</f>
        <v>0</v>
      </c>
      <c r="S945">
        <v>0</v>
      </c>
      <c r="T945">
        <f>IF(Table1[[#This Row],[Qty Order]]="Sample","-",IF(Table1[[#This Row],[Qty Order]]="RTFN","-",Table1[[#This Row],[Qty Order]]-Table1[[#This Row],[Qty Accumulate]]))</f>
        <v>0</v>
      </c>
      <c r="U945">
        <f>((Table1[[#This Row],[Shift Output]]*Table1[[#This Row],[Part Weight (gm)]])/1000)+Table1[[#This Row],[Reject Startup (kg)]]+Table1[[#This Row],[Reject Purging (kg)]]+Table1[[#This Row],[Reject Preform (kg)]]</f>
        <v>162.92400000000001</v>
      </c>
      <c r="V945" s="37">
        <f>(Table1[[#This Row],[Gross Weight (gm)]]-Table1[[#This Row],[Part Weight (gm)]])*Table1[[#This Row],[Shift Output]]/1000</f>
        <v>3.3919999999999999</v>
      </c>
      <c r="W945" s="3">
        <v>0</v>
      </c>
      <c r="X945" s="36">
        <f>Table1[[#This Row],[Reject Startup (kg)]]/Table1[[#This Row],[Material Used]]</f>
        <v>0</v>
      </c>
      <c r="Y945" s="3">
        <v>0</v>
      </c>
      <c r="Z945" s="36">
        <f>Table1[[#This Row],[Reject Prod (kg)]]/Table1[[#This Row],[Material Used]]</f>
        <v>0</v>
      </c>
      <c r="AA945" s="4">
        <v>23.504554748535099</v>
      </c>
      <c r="AB945" s="5">
        <v>12.9</v>
      </c>
      <c r="AC945" s="4" cm="1">
        <f t="array" ref="AC945">IFERROR(INDEX(ReferenceCard, MATCH(1, (INDEX(ReferenceCard,,1)=Table1[[#This Row],[SAP No]]) * (INDEX(ReferenceCard,,2)=Table1[[#This Row],[Mould No]]), 0), 9),)</f>
        <v>24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L945" s="2"/>
      <c r="AM945" s="2"/>
      <c r="AN945" s="3">
        <v>2</v>
      </c>
      <c r="AO945" s="3">
        <v>1.5</v>
      </c>
      <c r="AP945" s="6">
        <f>((Table1[[#This Row],[Reject Startup (kg)]]+Table1[[#This Row],[Reject Prod (kg)]]+Table1[[#This Row],[Reject Purging (kg)]]+Table1[[#This Row],[Reject Preform (kg)]])/Table1[[#This Row],[Part Weight (gm)]])*1000</f>
        <v>148.93617021276594</v>
      </c>
    </row>
    <row r="946" spans="1:42" x14ac:dyDescent="0.35">
      <c r="A946" s="1">
        <v>45992</v>
      </c>
      <c r="B946">
        <v>1</v>
      </c>
      <c r="C946" t="s">
        <v>5</v>
      </c>
      <c r="D946" t="str" cm="1">
        <f t="array" ref="D946">IFERROR(INDEX(ReferenceCard, MATCH(1, (INDEX(ReferenceCard,,1)=Table1[[#This Row],[SAP No]]) * (INDEX(ReferenceCard,,2)=Table1[[#This Row],[Mould No]]), 0), 6),)</f>
        <v>PET</v>
      </c>
      <c r="E946">
        <v>543590</v>
      </c>
      <c r="F946">
        <v>0</v>
      </c>
      <c r="G946" t="str" cm="1">
        <f t="array" ref="G946">IFERROR(INDEX(ReferenceCard, MATCH(1, (INDEX(ReferenceCard,,1)=Table1[[#This Row],[SAP No]]) * (INDEX(ReferenceCard,,2)=Table1[[#This Row],[Mould No]]), 0), 3),)</f>
        <v>BC28-0130-R-R-AM</v>
      </c>
      <c r="H946">
        <v>0</v>
      </c>
      <c r="I946" cm="1">
        <f t="array" ref="I946">IFERROR(INDEX(ReferenceCard, MATCH(1, (INDEX(ReferenceCard,,1)=Table1[[#This Row],[SAP No]]) * (INDEX(ReferenceCard,,2)=Table1[[#This Row],[Mould No]]), 0), 4),)</f>
        <v>4</v>
      </c>
      <c r="J946" s="4" cm="1">
        <f t="array" ref="J946">IFERROR(INDEX(ReferenceCard, MATCH(1, (INDEX(ReferenceCard,,1)=Table1[[#This Row],[SAP No]]) * (INDEX(ReferenceCard,,2)=Table1[[#This Row],[Mould No]]), 0), 9),)</f>
        <v>19</v>
      </c>
      <c r="K946" s="4" cm="1">
        <f t="array" ref="K946">IFERROR(INDEX(ReferenceCard, MATCH(1, (INDEX(ReferenceCard,,1)=Table1[[#This Row],[SAP No]]) * (INDEX(ReferenceCard,,2)=Table1[[#This Row],[Mould No]]), 0), 7),)</f>
        <v>19</v>
      </c>
      <c r="L946">
        <v>915</v>
      </c>
      <c r="M946">
        <v>0</v>
      </c>
      <c r="N946">
        <v>0</v>
      </c>
      <c r="O946">
        <v>0</v>
      </c>
      <c r="P946">
        <f>Table1[[#This Row],[Shot]]*Table1[[#This Row],[Cav]]</f>
        <v>3660</v>
      </c>
      <c r="Q946">
        <v>0</v>
      </c>
      <c r="R946">
        <f>(Table1[[#This Row],[Part Weight (gm)]]*Table1[[#This Row],[Finish Good]])/1000</f>
        <v>0</v>
      </c>
      <c r="S946">
        <v>0</v>
      </c>
      <c r="T946">
        <f>IF(Table1[[#This Row],[Qty Order]]="Sample","-",IF(Table1[[#This Row],[Qty Order]]="RTFN","-",Table1[[#This Row],[Qty Order]]-Table1[[#This Row],[Qty Accumulate]]))</f>
        <v>0</v>
      </c>
      <c r="U946">
        <f>((Table1[[#This Row],[Shift Output]]*Table1[[#This Row],[Part Weight (gm)]])/1000)+Table1[[#This Row],[Reject Startup (kg)]]+Table1[[#This Row],[Reject Purging (kg)]]+Table1[[#This Row],[Reject Preform (kg)]]</f>
        <v>88.54</v>
      </c>
      <c r="V946" s="37">
        <f>(Table1[[#This Row],[Gross Weight (gm)]]-Table1[[#This Row],[Part Weight (gm)]])*Table1[[#This Row],[Shift Output]]/1000</f>
        <v>0</v>
      </c>
      <c r="W946" s="3">
        <v>17</v>
      </c>
      <c r="X946" s="36">
        <f>Table1[[#This Row],[Reject Startup (kg)]]/Table1[[#This Row],[Material Used]]</f>
        <v>0.19200361418567877</v>
      </c>
      <c r="Y946" s="3">
        <v>2</v>
      </c>
      <c r="Z946" s="36">
        <f>Table1[[#This Row],[Reject Prod (kg)]]/Table1[[#This Row],[Material Used]]</f>
        <v>2.2588660492432796E-2</v>
      </c>
      <c r="AA946" s="4">
        <v>22.059583663940401</v>
      </c>
      <c r="AB946" s="5">
        <v>9.8599999999999905</v>
      </c>
      <c r="AC946" s="4" cm="1">
        <f t="array" ref="AC946">IFERROR(INDEX(ReferenceCard, MATCH(1, (INDEX(ReferenceCard,,1)=Table1[[#This Row],[SAP No]]) * (INDEX(ReferenceCard,,2)=Table1[[#This Row],[Mould No]]), 0), 9),)</f>
        <v>19</v>
      </c>
      <c r="AD946" s="5">
        <v>0</v>
      </c>
      <c r="AE946" s="5">
        <v>0</v>
      </c>
      <c r="AF946" s="5">
        <v>0</v>
      </c>
      <c r="AG946" s="5">
        <v>0</v>
      </c>
      <c r="AH946" s="5">
        <v>3.04</v>
      </c>
      <c r="AI946" s="5">
        <v>0</v>
      </c>
      <c r="AJ946" s="5">
        <v>0</v>
      </c>
      <c r="AL946" s="2"/>
      <c r="AM946" s="2"/>
      <c r="AN946" s="3">
        <v>2</v>
      </c>
      <c r="AO946" s="3">
        <v>0</v>
      </c>
      <c r="AP946" s="6">
        <f>((Table1[[#This Row],[Reject Startup (kg)]]+Table1[[#This Row],[Reject Prod (kg)]]+Table1[[#This Row],[Reject Purging (kg)]]+Table1[[#This Row],[Reject Preform (kg)]])/Table1[[#This Row],[Part Weight (gm)]])*1000</f>
        <v>1105.2631578947369</v>
      </c>
    </row>
    <row r="947" spans="1:42" x14ac:dyDescent="0.35">
      <c r="A947" s="1">
        <v>45992</v>
      </c>
      <c r="B947">
        <v>1</v>
      </c>
      <c r="C947" t="s">
        <v>7</v>
      </c>
      <c r="D947" t="str" cm="1">
        <f t="array" ref="D947">IFERROR(INDEX(ReferenceCard, MATCH(1, (INDEX(ReferenceCard,,1)=Table1[[#This Row],[SAP No]]) * (INDEX(ReferenceCard,,2)=Table1[[#This Row],[Mould No]]), 0), 6),)</f>
        <v>PET</v>
      </c>
      <c r="E947">
        <v>426555</v>
      </c>
      <c r="F947">
        <v>0</v>
      </c>
      <c r="G947" t="str" cm="1">
        <f t="array" ref="G947">IFERROR(INDEX(ReferenceCard, MATCH(1, (INDEX(ReferenceCard,,1)=Table1[[#This Row],[SAP No]]) * (INDEX(ReferenceCard,,2)=Table1[[#This Row],[Mould No]]), 0), 3),)</f>
        <v>BX38-0330-Z-S-CL-HW</v>
      </c>
      <c r="H947">
        <v>0</v>
      </c>
      <c r="I947" cm="1">
        <f t="array" ref="I947">IFERROR(INDEX(ReferenceCard, MATCH(1, (INDEX(ReferenceCard,,1)=Table1[[#This Row],[SAP No]]) * (INDEX(ReferenceCard,,2)=Table1[[#This Row],[Mould No]]), 0), 4),)</f>
        <v>4</v>
      </c>
      <c r="J947" s="4" cm="1">
        <f t="array" ref="J947">IFERROR(INDEX(ReferenceCard, MATCH(1, (INDEX(ReferenceCard,,1)=Table1[[#This Row],[SAP No]]) * (INDEX(ReferenceCard,,2)=Table1[[#This Row],[Mould No]]), 0), 9),)</f>
        <v>29</v>
      </c>
      <c r="K947" s="4" cm="1">
        <f t="array" ref="K947">IFERROR(INDEX(ReferenceCard, MATCH(1, (INDEX(ReferenceCard,,1)=Table1[[#This Row],[SAP No]]) * (INDEX(ReferenceCard,,2)=Table1[[#This Row],[Mould No]]), 0), 7),)</f>
        <v>29</v>
      </c>
      <c r="L947">
        <v>1405</v>
      </c>
      <c r="M947">
        <v>0</v>
      </c>
      <c r="N947">
        <v>0</v>
      </c>
      <c r="O947">
        <v>0</v>
      </c>
      <c r="P947">
        <f>Table1[[#This Row],[Shot]]*Table1[[#This Row],[Cav]]</f>
        <v>5620</v>
      </c>
      <c r="Q947">
        <v>0</v>
      </c>
      <c r="R947">
        <f>(Table1[[#This Row],[Part Weight (gm)]]*Table1[[#This Row],[Finish Good]])/1000</f>
        <v>0</v>
      </c>
      <c r="S947">
        <v>0</v>
      </c>
      <c r="T947">
        <f>IF(Table1[[#This Row],[Qty Order]]="Sample","-",IF(Table1[[#This Row],[Qty Order]]="RTFN","-",Table1[[#This Row],[Qty Order]]-Table1[[#This Row],[Qty Accumulate]]))</f>
        <v>0</v>
      </c>
      <c r="U947">
        <f>((Table1[[#This Row],[Shift Output]]*Table1[[#This Row],[Part Weight (gm)]])/1000)+Table1[[#This Row],[Reject Startup (kg)]]+Table1[[#This Row],[Reject Purging (kg)]]+Table1[[#This Row],[Reject Preform (kg)]]</f>
        <v>167.07999999999998</v>
      </c>
      <c r="V947" s="37">
        <f>(Table1[[#This Row],[Gross Weight (gm)]]-Table1[[#This Row],[Part Weight (gm)]])*Table1[[#This Row],[Shift Output]]/1000</f>
        <v>0</v>
      </c>
      <c r="W947" s="3">
        <v>0</v>
      </c>
      <c r="X947" s="36">
        <f>Table1[[#This Row],[Reject Startup (kg)]]/Table1[[#This Row],[Material Used]]</f>
        <v>0</v>
      </c>
      <c r="Y947" s="3">
        <v>1</v>
      </c>
      <c r="Z947" s="36">
        <f>Table1[[#This Row],[Reject Prod (kg)]]/Table1[[#This Row],[Material Used]]</f>
        <v>5.9851568111084514E-3</v>
      </c>
      <c r="AA947" s="4">
        <v>24.878953933715799</v>
      </c>
      <c r="AB947" s="5">
        <v>12.9</v>
      </c>
      <c r="AC947" s="4" cm="1">
        <f t="array" ref="AC947">IFERROR(INDEX(ReferenceCard, MATCH(1, (INDEX(ReferenceCard,,1)=Table1[[#This Row],[SAP No]]) * (INDEX(ReferenceCard,,2)=Table1[[#This Row],[Mould No]]), 0), 9),)</f>
        <v>29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L947" s="2"/>
      <c r="AM947" s="2"/>
      <c r="AN947" s="3">
        <v>2.5</v>
      </c>
      <c r="AO947" s="3">
        <v>1.6</v>
      </c>
      <c r="AP947" s="6">
        <f>((Table1[[#This Row],[Reject Startup (kg)]]+Table1[[#This Row],[Reject Prod (kg)]]+Table1[[#This Row],[Reject Purging (kg)]]+Table1[[#This Row],[Reject Preform (kg)]])/Table1[[#This Row],[Part Weight (gm)]])*1000</f>
        <v>175.86206896551724</v>
      </c>
    </row>
    <row r="948" spans="1:42" x14ac:dyDescent="0.35">
      <c r="A948" s="1">
        <v>45992</v>
      </c>
      <c r="B948">
        <v>1</v>
      </c>
      <c r="C948" t="s">
        <v>9</v>
      </c>
      <c r="D948" t="str" cm="1">
        <f t="array" ref="D948">IFERROR(INDEX(ReferenceCard, MATCH(1, (INDEX(ReferenceCard,,1)=Table1[[#This Row],[SAP No]]) * (INDEX(ReferenceCard,,2)=Table1[[#This Row],[Mould No]]), 0), 6),)</f>
        <v>rPET</v>
      </c>
      <c r="E948">
        <v>593537</v>
      </c>
      <c r="F948">
        <v>0</v>
      </c>
      <c r="G948" t="str" cm="1">
        <f t="array" ref="G948">IFERROR(INDEX(ReferenceCard, MATCH(1, (INDEX(ReferenceCard,,1)=Table1[[#This Row],[SAP No]]) * (INDEX(ReferenceCard,,2)=Table1[[#This Row],[Mould No]]), 0), 3),)</f>
        <v>BX38-1000-RN-R-CL-rPET</v>
      </c>
      <c r="H948">
        <v>0</v>
      </c>
      <c r="I948" cm="1">
        <f t="array" ref="I948">IFERROR(INDEX(ReferenceCard, MATCH(1, (INDEX(ReferenceCard,,1)=Table1[[#This Row],[SAP No]]) * (INDEX(ReferenceCard,,2)=Table1[[#This Row],[Mould No]]), 0), 4),)</f>
        <v>4</v>
      </c>
      <c r="J948" s="4" cm="1">
        <f t="array" ref="J948">IFERROR(INDEX(ReferenceCard, MATCH(1, (INDEX(ReferenceCard,,1)=Table1[[#This Row],[SAP No]]) * (INDEX(ReferenceCard,,2)=Table1[[#This Row],[Mould No]]), 0), 9),)</f>
        <v>56.5</v>
      </c>
      <c r="K948" s="4" cm="1">
        <f t="array" ref="K948">IFERROR(INDEX(ReferenceCard, MATCH(1, (INDEX(ReferenceCard,,1)=Table1[[#This Row],[SAP No]]) * (INDEX(ReferenceCard,,2)=Table1[[#This Row],[Mould No]]), 0), 7),)</f>
        <v>56.8</v>
      </c>
      <c r="L948">
        <v>1466</v>
      </c>
      <c r="M948">
        <v>0</v>
      </c>
      <c r="N948">
        <v>0</v>
      </c>
      <c r="O948">
        <v>0</v>
      </c>
      <c r="P948">
        <f>Table1[[#This Row],[Shot]]*Table1[[#This Row],[Cav]]</f>
        <v>5864</v>
      </c>
      <c r="Q948">
        <v>0</v>
      </c>
      <c r="R948">
        <f>(Table1[[#This Row],[Part Weight (gm)]]*Table1[[#This Row],[Finish Good]])/1000</f>
        <v>0</v>
      </c>
      <c r="S948">
        <v>0</v>
      </c>
      <c r="T948">
        <f>IF(Table1[[#This Row],[Qty Order]]="Sample","-",IF(Table1[[#This Row],[Qty Order]]="RTFN","-",Table1[[#This Row],[Qty Order]]-Table1[[#This Row],[Qty Accumulate]]))</f>
        <v>0</v>
      </c>
      <c r="U948">
        <f>((Table1[[#This Row],[Shift Output]]*Table1[[#This Row],[Part Weight (gm)]])/1000)+Table1[[#This Row],[Reject Startup (kg)]]+Table1[[#This Row],[Reject Purging (kg)]]+Table1[[#This Row],[Reject Preform (kg)]]</f>
        <v>334.0752</v>
      </c>
      <c r="V948" s="37">
        <f>(Table1[[#This Row],[Gross Weight (gm)]]-Table1[[#This Row],[Part Weight (gm)]])*Table1[[#This Row],[Shift Output]]/1000</f>
        <v>-1.7591999999999834</v>
      </c>
      <c r="W948" s="3">
        <v>0</v>
      </c>
      <c r="X948" s="36">
        <f>Table1[[#This Row],[Reject Startup (kg)]]/Table1[[#This Row],[Material Used]]</f>
        <v>0</v>
      </c>
      <c r="Y948" s="3">
        <v>3</v>
      </c>
      <c r="Z948" s="36">
        <f>Table1[[#This Row],[Reject Prod (kg)]]/Table1[[#This Row],[Material Used]]</f>
        <v>8.9800140806620792E-3</v>
      </c>
      <c r="AA948" s="4">
        <v>28.451475143432599</v>
      </c>
      <c r="AB948" s="5">
        <v>12.9</v>
      </c>
      <c r="AC948" s="4" cm="1">
        <f t="array" ref="AC948">IFERROR(INDEX(ReferenceCard, MATCH(1, (INDEX(ReferenceCard,,1)=Table1[[#This Row],[SAP No]]) * (INDEX(ReferenceCard,,2)=Table1[[#This Row],[Mould No]]), 0), 9),)</f>
        <v>56.5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L948" s="2"/>
      <c r="AM948" s="2"/>
      <c r="AN948" s="3">
        <v>0</v>
      </c>
      <c r="AO948" s="3">
        <v>1</v>
      </c>
      <c r="AP948" s="6">
        <f>((Table1[[#This Row],[Reject Startup (kg)]]+Table1[[#This Row],[Reject Prod (kg)]]+Table1[[#This Row],[Reject Purging (kg)]]+Table1[[#This Row],[Reject Preform (kg)]])/Table1[[#This Row],[Part Weight (gm)]])*1000</f>
        <v>70.422535211267615</v>
      </c>
    </row>
    <row r="949" spans="1:42" x14ac:dyDescent="0.35">
      <c r="A949" s="1">
        <v>45992</v>
      </c>
      <c r="B949">
        <v>1</v>
      </c>
      <c r="C949" t="s">
        <v>11</v>
      </c>
      <c r="D949" t="str" cm="1">
        <f t="array" ref="D949">IFERROR(INDEX(ReferenceCard, MATCH(1, (INDEX(ReferenceCard,,1)=Table1[[#This Row],[SAP No]]) * (INDEX(ReferenceCard,,2)=Table1[[#This Row],[Mould No]]), 0), 6),)</f>
        <v>rPET</v>
      </c>
      <c r="E949">
        <v>620994</v>
      </c>
      <c r="F949">
        <v>0</v>
      </c>
      <c r="G949" t="str" cm="1">
        <f t="array" ref="G949">IFERROR(INDEX(ReferenceCard, MATCH(1, (INDEX(ReferenceCard,,1)=Table1[[#This Row],[SAP No]]) * (INDEX(ReferenceCard,,2)=Table1[[#This Row],[Mould No]]), 0), 3),)</f>
        <v>JJ63-0400-SH-S-CL-rPET</v>
      </c>
      <c r="H949">
        <v>0</v>
      </c>
      <c r="I949" cm="1">
        <f t="array" ref="I949">IFERROR(INDEX(ReferenceCard, MATCH(1, (INDEX(ReferenceCard,,1)=Table1[[#This Row],[SAP No]]) * (INDEX(ReferenceCard,,2)=Table1[[#This Row],[Mould No]]), 0), 4),)</f>
        <v>4</v>
      </c>
      <c r="J949" s="4" cm="1">
        <f t="array" ref="J949">IFERROR(INDEX(ReferenceCard, MATCH(1, (INDEX(ReferenceCard,,1)=Table1[[#This Row],[SAP No]]) * (INDEX(ReferenceCard,,2)=Table1[[#This Row],[Mould No]]), 0), 9),)</f>
        <v>32.74</v>
      </c>
      <c r="K949" s="4" cm="1">
        <f t="array" ref="K949">IFERROR(INDEX(ReferenceCard, MATCH(1, (INDEX(ReferenceCard,,1)=Table1[[#This Row],[SAP No]]) * (INDEX(ReferenceCard,,2)=Table1[[#This Row],[Mould No]]), 0), 7),)</f>
        <v>33</v>
      </c>
      <c r="L949">
        <v>1850</v>
      </c>
      <c r="M949">
        <v>0</v>
      </c>
      <c r="N949">
        <v>0</v>
      </c>
      <c r="O949">
        <v>0</v>
      </c>
      <c r="P949">
        <f>Table1[[#This Row],[Shot]]*Table1[[#This Row],[Cav]]</f>
        <v>7400</v>
      </c>
      <c r="Q949">
        <v>0</v>
      </c>
      <c r="R949">
        <f>(Table1[[#This Row],[Part Weight (gm)]]*Table1[[#This Row],[Finish Good]])/1000</f>
        <v>0</v>
      </c>
      <c r="S949">
        <v>0</v>
      </c>
      <c r="T949">
        <f>IF(Table1[[#This Row],[Qty Order]]="Sample","-",IF(Table1[[#This Row],[Qty Order]]="RTFN","-",Table1[[#This Row],[Qty Order]]-Table1[[#This Row],[Qty Accumulate]]))</f>
        <v>0</v>
      </c>
      <c r="U949">
        <f>((Table1[[#This Row],[Shift Output]]*Table1[[#This Row],[Part Weight (gm)]])/1000)+Table1[[#This Row],[Reject Startup (kg)]]+Table1[[#This Row],[Reject Purging (kg)]]+Table1[[#This Row],[Reject Preform (kg)]]</f>
        <v>254.7</v>
      </c>
      <c r="V949" s="37">
        <f>(Table1[[#This Row],[Gross Weight (gm)]]-Table1[[#This Row],[Part Weight (gm)]])*Table1[[#This Row],[Shift Output]]/1000</f>
        <v>-1.9239999999999853</v>
      </c>
      <c r="W949" s="3">
        <v>0</v>
      </c>
      <c r="X949" s="36">
        <f>Table1[[#This Row],[Reject Startup (kg)]]/Table1[[#This Row],[Material Used]]</f>
        <v>0</v>
      </c>
      <c r="Y949" s="3">
        <v>3</v>
      </c>
      <c r="Z949" s="36">
        <f>Table1[[#This Row],[Reject Prod (kg)]]/Table1[[#This Row],[Material Used]]</f>
        <v>1.1778563015312132E-2</v>
      </c>
      <c r="AA949" s="4">
        <v>23.678396224975501</v>
      </c>
      <c r="AB949" s="5">
        <v>0.96999999999999897</v>
      </c>
      <c r="AC949" s="4" cm="1">
        <f t="array" ref="AC949">IFERROR(INDEX(ReferenceCard, MATCH(1, (INDEX(ReferenceCard,,1)=Table1[[#This Row],[SAP No]]) * (INDEX(ReferenceCard,,2)=Table1[[#This Row],[Mould No]]), 0), 9),)</f>
        <v>32.74</v>
      </c>
      <c r="AD949" s="5">
        <v>0</v>
      </c>
      <c r="AE949" s="5">
        <v>0</v>
      </c>
      <c r="AF949" s="5">
        <v>0</v>
      </c>
      <c r="AG949" s="5">
        <v>0</v>
      </c>
      <c r="AH949" s="5">
        <v>11.93</v>
      </c>
      <c r="AI949" s="5">
        <v>0</v>
      </c>
      <c r="AJ949" s="5">
        <v>0</v>
      </c>
      <c r="AL949" s="2"/>
      <c r="AM949" s="2"/>
      <c r="AN949" s="3">
        <v>6</v>
      </c>
      <c r="AO949" s="3">
        <v>4.5</v>
      </c>
      <c r="AP949" s="6">
        <f>((Table1[[#This Row],[Reject Startup (kg)]]+Table1[[#This Row],[Reject Prod (kg)]]+Table1[[#This Row],[Reject Purging (kg)]]+Table1[[#This Row],[Reject Preform (kg)]])/Table1[[#This Row],[Part Weight (gm)]])*1000</f>
        <v>409.09090909090912</v>
      </c>
    </row>
    <row r="950" spans="1:42" x14ac:dyDescent="0.35">
      <c r="A950" s="1">
        <v>45992</v>
      </c>
      <c r="B950">
        <v>1</v>
      </c>
      <c r="C950" t="s">
        <v>14</v>
      </c>
      <c r="D950" t="str" cm="1">
        <f t="array" ref="D950">IFERROR(INDEX(ReferenceCard, MATCH(1, (INDEX(ReferenceCard,,1)=Table1[[#This Row],[SAP No]]) * (INDEX(ReferenceCard,,2)=Table1[[#This Row],[Mould No]]), 0), 6),)</f>
        <v>PET</v>
      </c>
      <c r="E950">
        <v>324165</v>
      </c>
      <c r="F950">
        <v>0</v>
      </c>
      <c r="G950" t="str" cm="1">
        <f t="array" ref="G950">IFERROR(INDEX(ReferenceCard, MATCH(1, (INDEX(ReferenceCard,,1)=Table1[[#This Row],[SAP No]]) * (INDEX(ReferenceCard,,2)=Table1[[#This Row],[Mould No]]), 0), 3),)</f>
        <v>JJ63-0400-SH-S-WH</v>
      </c>
      <c r="H950">
        <v>0</v>
      </c>
      <c r="I950" cm="1">
        <f t="array" ref="I950">IFERROR(INDEX(ReferenceCard, MATCH(1, (INDEX(ReferenceCard,,1)=Table1[[#This Row],[SAP No]]) * (INDEX(ReferenceCard,,2)=Table1[[#This Row],[Mould No]]), 0), 4),)</f>
        <v>4</v>
      </c>
      <c r="J950" s="4" cm="1">
        <f t="array" ref="J950">IFERROR(INDEX(ReferenceCard, MATCH(1, (INDEX(ReferenceCard,,1)=Table1[[#This Row],[SAP No]]) * (INDEX(ReferenceCard,,2)=Table1[[#This Row],[Mould No]]), 0), 9),)</f>
        <v>32.56</v>
      </c>
      <c r="K950" s="4" cm="1">
        <f t="array" ref="K950">IFERROR(INDEX(ReferenceCard, MATCH(1, (INDEX(ReferenceCard,,1)=Table1[[#This Row],[SAP No]]) * (INDEX(ReferenceCard,,2)=Table1[[#This Row],[Mould No]]), 0), 7),)</f>
        <v>33</v>
      </c>
      <c r="L950">
        <v>1610</v>
      </c>
      <c r="M950">
        <v>0</v>
      </c>
      <c r="N950">
        <v>0</v>
      </c>
      <c r="O950">
        <v>0</v>
      </c>
      <c r="P950">
        <f>Table1[[#This Row],[Shot]]*Table1[[#This Row],[Cav]]</f>
        <v>6440</v>
      </c>
      <c r="Q950">
        <v>0</v>
      </c>
      <c r="R950">
        <f>(Table1[[#This Row],[Part Weight (gm)]]*Table1[[#This Row],[Finish Good]])/1000</f>
        <v>0</v>
      </c>
      <c r="S950">
        <v>0</v>
      </c>
      <c r="T950">
        <f>IF(Table1[[#This Row],[Qty Order]]="Sample","-",IF(Table1[[#This Row],[Qty Order]]="RTFN","-",Table1[[#This Row],[Qty Order]]-Table1[[#This Row],[Qty Accumulate]]))</f>
        <v>0</v>
      </c>
      <c r="U950">
        <f>((Table1[[#This Row],[Shift Output]]*Table1[[#This Row],[Part Weight (gm)]])/1000)+Table1[[#This Row],[Reject Startup (kg)]]+Table1[[#This Row],[Reject Purging (kg)]]+Table1[[#This Row],[Reject Preform (kg)]]</f>
        <v>223.52</v>
      </c>
      <c r="V950" s="37">
        <f>(Table1[[#This Row],[Gross Weight (gm)]]-Table1[[#This Row],[Part Weight (gm)]])*Table1[[#This Row],[Shift Output]]/1000</f>
        <v>-2.8335999999999855</v>
      </c>
      <c r="W950" s="3">
        <v>0</v>
      </c>
      <c r="X950" s="36">
        <f>Table1[[#This Row],[Reject Startup (kg)]]/Table1[[#This Row],[Material Used]]</f>
        <v>0</v>
      </c>
      <c r="Y950" s="3">
        <v>5</v>
      </c>
      <c r="Z950" s="36">
        <f>Table1[[#This Row],[Reject Prod (kg)]]/Table1[[#This Row],[Material Used]]</f>
        <v>2.2369362920544023E-2</v>
      </c>
      <c r="AA950" s="4">
        <v>26.0867309570312</v>
      </c>
      <c r="AB950" s="5">
        <v>2.83</v>
      </c>
      <c r="AC950" s="4" cm="1">
        <f t="array" ref="AC950">IFERROR(INDEX(ReferenceCard, MATCH(1, (INDEX(ReferenceCard,,1)=Table1[[#This Row],[SAP No]]) * (INDEX(ReferenceCard,,2)=Table1[[#This Row],[Mould No]]), 0), 9),)</f>
        <v>32.56</v>
      </c>
      <c r="AD950" s="5">
        <v>0</v>
      </c>
      <c r="AE950" s="5">
        <v>0</v>
      </c>
      <c r="AF950" s="5">
        <v>0</v>
      </c>
      <c r="AG950" s="5">
        <v>0</v>
      </c>
      <c r="AH950" s="5">
        <v>10.07</v>
      </c>
      <c r="AI950" s="5">
        <v>0</v>
      </c>
      <c r="AJ950" s="5">
        <v>0</v>
      </c>
      <c r="AL950" s="2"/>
      <c r="AM950" s="2"/>
      <c r="AN950" s="3">
        <v>5</v>
      </c>
      <c r="AO950" s="3">
        <v>6</v>
      </c>
      <c r="AP950" s="6">
        <f>((Table1[[#This Row],[Reject Startup (kg)]]+Table1[[#This Row],[Reject Prod (kg)]]+Table1[[#This Row],[Reject Purging (kg)]]+Table1[[#This Row],[Reject Preform (kg)]])/Table1[[#This Row],[Part Weight (gm)]])*1000</f>
        <v>484.84848484848487</v>
      </c>
    </row>
    <row r="951" spans="1:42" x14ac:dyDescent="0.35">
      <c r="A951" s="1">
        <v>45992</v>
      </c>
      <c r="B951">
        <v>1</v>
      </c>
      <c r="C951" t="s">
        <v>16</v>
      </c>
      <c r="D951" t="str" cm="1">
        <f t="array" ref="D951">IFERROR(INDEX(ReferenceCard, MATCH(1, (INDEX(ReferenceCard,,1)=Table1[[#This Row],[SAP No]]) * (INDEX(ReferenceCard,,2)=Table1[[#This Row],[Mould No]]), 0), 6),)</f>
        <v>PET</v>
      </c>
      <c r="E951">
        <v>323092</v>
      </c>
      <c r="F951">
        <v>0</v>
      </c>
      <c r="G951" t="str" cm="1">
        <f t="array" ref="G951">IFERROR(INDEX(ReferenceCard, MATCH(1, (INDEX(ReferenceCard,,1)=Table1[[#This Row],[SAP No]]) * (INDEX(ReferenceCard,,2)=Table1[[#This Row],[Mould No]]), 0), 3),)</f>
        <v>BX38-1000-GH-R-CL(GREEN) (ASEM)</v>
      </c>
      <c r="H951">
        <v>0</v>
      </c>
      <c r="I951" cm="1">
        <f t="array" ref="I951">IFERROR(INDEX(ReferenceCard, MATCH(1, (INDEX(ReferenceCard,,1)=Table1[[#This Row],[SAP No]]) * (INDEX(ReferenceCard,,2)=Table1[[#This Row],[Mould No]]), 0), 4),)</f>
        <v>4</v>
      </c>
      <c r="J951" s="4" cm="1">
        <f t="array" ref="J951">IFERROR(INDEX(ReferenceCard, MATCH(1, (INDEX(ReferenceCard,,1)=Table1[[#This Row],[SAP No]]) * (INDEX(ReferenceCard,,2)=Table1[[#This Row],[Mould No]]), 0), 9),)</f>
        <v>48.9</v>
      </c>
      <c r="K951" s="4" cm="1">
        <f t="array" ref="K951">IFERROR(INDEX(ReferenceCard, MATCH(1, (INDEX(ReferenceCard,,1)=Table1[[#This Row],[SAP No]]) * (INDEX(ReferenceCard,,2)=Table1[[#This Row],[Mould No]]), 0), 7),)</f>
        <v>48.9</v>
      </c>
      <c r="L951">
        <v>1150</v>
      </c>
      <c r="M951">
        <v>0</v>
      </c>
      <c r="N951">
        <v>0</v>
      </c>
      <c r="O951">
        <v>0</v>
      </c>
      <c r="P951">
        <f>Table1[[#This Row],[Shot]]*Table1[[#This Row],[Cav]]</f>
        <v>4600</v>
      </c>
      <c r="Q951">
        <v>0</v>
      </c>
      <c r="R951">
        <f>(Table1[[#This Row],[Part Weight (gm)]]*Table1[[#This Row],[Finish Good]])/1000</f>
        <v>0</v>
      </c>
      <c r="S951">
        <v>0</v>
      </c>
      <c r="T951">
        <f>IF(Table1[[#This Row],[Qty Order]]="Sample","-",IF(Table1[[#This Row],[Qty Order]]="RTFN","-",Table1[[#This Row],[Qty Order]]-Table1[[#This Row],[Qty Accumulate]]))</f>
        <v>0</v>
      </c>
      <c r="U951">
        <f>((Table1[[#This Row],[Shift Output]]*Table1[[#This Row],[Part Weight (gm)]])/1000)+Table1[[#This Row],[Reject Startup (kg)]]+Table1[[#This Row],[Reject Purging (kg)]]+Table1[[#This Row],[Reject Preform (kg)]]</f>
        <v>230.94</v>
      </c>
      <c r="V951" s="37">
        <f>(Table1[[#This Row],[Gross Weight (gm)]]-Table1[[#This Row],[Part Weight (gm)]])*Table1[[#This Row],[Shift Output]]/1000</f>
        <v>0</v>
      </c>
      <c r="W951" s="3">
        <v>5</v>
      </c>
      <c r="X951" s="36">
        <f>Table1[[#This Row],[Reject Startup (kg)]]/Table1[[#This Row],[Material Used]]</f>
        <v>2.1650645189226637E-2</v>
      </c>
      <c r="Y951" s="3">
        <v>3</v>
      </c>
      <c r="Z951" s="36">
        <f>Table1[[#This Row],[Reject Prod (kg)]]/Table1[[#This Row],[Material Used]]</f>
        <v>1.2990387113535984E-2</v>
      </c>
      <c r="AA951" s="4">
        <v>28.5224609375</v>
      </c>
      <c r="AB951" s="5">
        <v>10.2799999999999</v>
      </c>
      <c r="AC951" s="4" cm="1">
        <f t="array" ref="AC951">IFERROR(INDEX(ReferenceCard, MATCH(1, (INDEX(ReferenceCard,,1)=Table1[[#This Row],[SAP No]]) * (INDEX(ReferenceCard,,2)=Table1[[#This Row],[Mould No]]), 0), 9),)</f>
        <v>48.9</v>
      </c>
      <c r="AD951" s="5">
        <v>0</v>
      </c>
      <c r="AE951" s="5">
        <v>0</v>
      </c>
      <c r="AF951" s="5">
        <v>0</v>
      </c>
      <c r="AG951" s="5">
        <v>0</v>
      </c>
      <c r="AH951" s="5">
        <v>2.62</v>
      </c>
      <c r="AI951" s="5">
        <v>0</v>
      </c>
      <c r="AJ951" s="5">
        <v>0</v>
      </c>
      <c r="AL951" s="2"/>
      <c r="AM951" s="2"/>
      <c r="AN951" s="3">
        <v>0</v>
      </c>
      <c r="AO951" s="3">
        <v>1</v>
      </c>
      <c r="AP951" s="6">
        <f>((Table1[[#This Row],[Reject Startup (kg)]]+Table1[[#This Row],[Reject Prod (kg)]]+Table1[[#This Row],[Reject Purging (kg)]]+Table1[[#This Row],[Reject Preform (kg)]])/Table1[[#This Row],[Part Weight (gm)]])*1000</f>
        <v>184.04907975460122</v>
      </c>
    </row>
    <row r="952" spans="1:42" x14ac:dyDescent="0.35">
      <c r="A952" s="1">
        <v>45992</v>
      </c>
      <c r="B952">
        <v>1</v>
      </c>
      <c r="C952" t="s">
        <v>23</v>
      </c>
      <c r="D952" t="str" cm="1">
        <f t="array" ref="D952">IFERROR(INDEX(ReferenceCard, MATCH(1, (INDEX(ReferenceCard,,1)=Table1[[#This Row],[SAP No]]) * (INDEX(ReferenceCard,,2)=Table1[[#This Row],[Mould No]]), 0), 6),)</f>
        <v>PPSB520Y</v>
      </c>
      <c r="E952">
        <v>586276</v>
      </c>
      <c r="F952">
        <v>2</v>
      </c>
      <c r="G952" t="str" cm="1">
        <f t="array" ref="G952">IFERROR(INDEX(ReferenceCard, MATCH(1, (INDEX(ReferenceCard,,1)=Table1[[#This Row],[SAP No]]) * (INDEX(ReferenceCard,,2)=Table1[[#This Row],[Mould No]]), 0), 3),)</f>
        <v>BC28-0056-D-APH-LEB-604001-MOLD2</v>
      </c>
      <c r="H952">
        <v>0</v>
      </c>
      <c r="I952" cm="1">
        <f t="array" ref="I952">IFERROR(INDEX(ReferenceCard, MATCH(1, (INDEX(ReferenceCard,,1)=Table1[[#This Row],[SAP No]]) * (INDEX(ReferenceCard,,2)=Table1[[#This Row],[Mould No]]), 0), 4),)</f>
        <v>6</v>
      </c>
      <c r="J952" s="4" cm="1">
        <f t="array" ref="J952">IFERROR(INDEX(ReferenceCard, MATCH(1, (INDEX(ReferenceCard,,1)=Table1[[#This Row],[SAP No]]) * (INDEX(ReferenceCard,,2)=Table1[[#This Row],[Mould No]]), 0), 9),)</f>
        <v>12.3</v>
      </c>
      <c r="K952" s="4" cm="1">
        <f t="array" ref="K952">IFERROR(INDEX(ReferenceCard, MATCH(1, (INDEX(ReferenceCard,,1)=Table1[[#This Row],[SAP No]]) * (INDEX(ReferenceCard,,2)=Table1[[#This Row],[Mould No]]), 0), 7),)</f>
        <v>12.3</v>
      </c>
      <c r="L952">
        <v>121</v>
      </c>
      <c r="M952">
        <v>0</v>
      </c>
      <c r="N952">
        <v>0</v>
      </c>
      <c r="O952">
        <v>0</v>
      </c>
      <c r="P952">
        <f>Table1[[#This Row],[Shot]]*Table1[[#This Row],[Cav]]</f>
        <v>726</v>
      </c>
      <c r="Q952">
        <v>0</v>
      </c>
      <c r="R952">
        <f>(Table1[[#This Row],[Part Weight (gm)]]*Table1[[#This Row],[Finish Good]])/1000</f>
        <v>0</v>
      </c>
      <c r="S952">
        <v>0</v>
      </c>
      <c r="T952">
        <f>IF(Table1[[#This Row],[Qty Order]]="Sample","-",IF(Table1[[#This Row],[Qty Order]]="RTFN","-",Table1[[#This Row],[Qty Order]]-Table1[[#This Row],[Qty Accumulate]]))</f>
        <v>0</v>
      </c>
      <c r="U952">
        <f>((Table1[[#This Row],[Shift Output]]*Table1[[#This Row],[Part Weight (gm)]])/1000)+Table1[[#This Row],[Reject Startup (kg)]]+Table1[[#This Row],[Reject Purging (kg)]]+Table1[[#This Row],[Reject Preform (kg)]]</f>
        <v>48.529800000000002</v>
      </c>
      <c r="V952" s="37">
        <f>(Table1[[#This Row],[Gross Weight (gm)]]-Table1[[#This Row],[Part Weight (gm)]])*Table1[[#This Row],[Shift Output]]/1000</f>
        <v>0</v>
      </c>
      <c r="W952" s="3">
        <v>33</v>
      </c>
      <c r="X952" s="36">
        <f>Table1[[#This Row],[Reject Startup (kg)]]/Table1[[#This Row],[Material Used]]</f>
        <v>0.67999456004351966</v>
      </c>
      <c r="Y952" s="3">
        <v>0</v>
      </c>
      <c r="Z952" s="36">
        <f>Table1[[#This Row],[Reject Prod (kg)]]/Table1[[#This Row],[Material Used]]</f>
        <v>0</v>
      </c>
      <c r="AA952" s="4">
        <v>0</v>
      </c>
      <c r="AB952" s="5">
        <v>0.69999999999999896</v>
      </c>
      <c r="AC952" s="4" cm="1">
        <f t="array" ref="AC952">IFERROR(INDEX(ReferenceCard, MATCH(1, (INDEX(ReferenceCard,,1)=Table1[[#This Row],[SAP No]]) * (INDEX(ReferenceCard,,2)=Table1[[#This Row],[Mould No]]), 0), 9),)</f>
        <v>12.3</v>
      </c>
      <c r="AD952" s="5">
        <v>0</v>
      </c>
      <c r="AE952" s="5">
        <v>0</v>
      </c>
      <c r="AF952" s="5">
        <v>0</v>
      </c>
      <c r="AG952" s="5">
        <v>12.1999999999999</v>
      </c>
      <c r="AH952" s="5">
        <v>0</v>
      </c>
      <c r="AI952" s="5">
        <v>0</v>
      </c>
      <c r="AJ952" s="5">
        <v>0</v>
      </c>
      <c r="AL952" s="2"/>
      <c r="AM952" s="2"/>
      <c r="AN952" s="3">
        <v>3</v>
      </c>
      <c r="AO952" s="3">
        <v>3.6</v>
      </c>
      <c r="AP952" s="6">
        <f>((Table1[[#This Row],[Reject Startup (kg)]]+Table1[[#This Row],[Reject Prod (kg)]]+Table1[[#This Row],[Reject Purging (kg)]]+Table1[[#This Row],[Reject Preform (kg)]])/Table1[[#This Row],[Part Weight (gm)]])*1000</f>
        <v>3219.5121951219508</v>
      </c>
    </row>
    <row r="953" spans="1:42" x14ac:dyDescent="0.35">
      <c r="A953" s="1">
        <v>45992</v>
      </c>
      <c r="B953">
        <v>1</v>
      </c>
      <c r="C953" t="s">
        <v>25</v>
      </c>
      <c r="D953" t="str" cm="1">
        <f t="array" ref="D953">IFERROR(INDEX(ReferenceCard, MATCH(1, (INDEX(ReferenceCard,,1)=Table1[[#This Row],[SAP No]]) * (INDEX(ReferenceCard,,2)=Table1[[#This Row],[Mould No]]), 0), 6),)</f>
        <v>PET</v>
      </c>
      <c r="E953">
        <v>323133</v>
      </c>
      <c r="F953">
        <v>0</v>
      </c>
      <c r="G953" t="str" cm="1">
        <f t="array" ref="G953">IFERROR(INDEX(ReferenceCard, MATCH(1, (INDEX(ReferenceCard,,1)=Table1[[#This Row],[SAP No]]) * (INDEX(ReferenceCard,,2)=Table1[[#This Row],[Mould No]]), 0), 3),)</f>
        <v>BX38-2000-RH-R-CL(GREEN) (ASEM)</v>
      </c>
      <c r="H953">
        <v>0</v>
      </c>
      <c r="I953" cm="1">
        <f t="array" ref="I953">IFERROR(INDEX(ReferenceCard, MATCH(1, (INDEX(ReferenceCard,,1)=Table1[[#This Row],[SAP No]]) * (INDEX(ReferenceCard,,2)=Table1[[#This Row],[Mould No]]), 0), 4),)</f>
        <v>4</v>
      </c>
      <c r="J953" s="4" cm="1">
        <f t="array" ref="J953">IFERROR(INDEX(ReferenceCard, MATCH(1, (INDEX(ReferenceCard,,1)=Table1[[#This Row],[SAP No]]) * (INDEX(ReferenceCard,,2)=Table1[[#This Row],[Mould No]]), 0), 9),)</f>
        <v>77</v>
      </c>
      <c r="K953" s="4" cm="1">
        <f t="array" ref="K953">IFERROR(INDEX(ReferenceCard, MATCH(1, (INDEX(ReferenceCard,,1)=Table1[[#This Row],[SAP No]]) * (INDEX(ReferenceCard,,2)=Table1[[#This Row],[Mould No]]), 0), 7),)</f>
        <v>77</v>
      </c>
      <c r="L953">
        <v>1034</v>
      </c>
      <c r="M953">
        <v>0</v>
      </c>
      <c r="N953">
        <v>0</v>
      </c>
      <c r="O953">
        <v>0</v>
      </c>
      <c r="P953">
        <f>Table1[[#This Row],[Shot]]*Table1[[#This Row],[Cav]]</f>
        <v>4136</v>
      </c>
      <c r="Q953">
        <v>0</v>
      </c>
      <c r="R953">
        <f>(Table1[[#This Row],[Part Weight (gm)]]*Table1[[#This Row],[Finish Good]])/1000</f>
        <v>0</v>
      </c>
      <c r="S953">
        <v>0</v>
      </c>
      <c r="T953">
        <f>IF(Table1[[#This Row],[Qty Order]]="Sample","-",IF(Table1[[#This Row],[Qty Order]]="RTFN","-",Table1[[#This Row],[Qty Order]]-Table1[[#This Row],[Qty Accumulate]]))</f>
        <v>0</v>
      </c>
      <c r="U953">
        <f>((Table1[[#This Row],[Shift Output]]*Table1[[#This Row],[Part Weight (gm)]])/1000)+Table1[[#This Row],[Reject Startup (kg)]]+Table1[[#This Row],[Reject Purging (kg)]]+Table1[[#This Row],[Reject Preform (kg)]]</f>
        <v>359.97199999999998</v>
      </c>
      <c r="V953" s="37">
        <f>(Table1[[#This Row],[Gross Weight (gm)]]-Table1[[#This Row],[Part Weight (gm)]])*Table1[[#This Row],[Shift Output]]/1000</f>
        <v>0</v>
      </c>
      <c r="W953" s="3">
        <v>19</v>
      </c>
      <c r="X953" s="36">
        <f>Table1[[#This Row],[Reject Startup (kg)]]/Table1[[#This Row],[Material Used]]</f>
        <v>5.2781883035347199E-2</v>
      </c>
      <c r="Y953" s="3">
        <v>4</v>
      </c>
      <c r="Z953" s="36">
        <f>Table1[[#This Row],[Reject Prod (kg)]]/Table1[[#This Row],[Material Used]]</f>
        <v>1.1111975375862568E-2</v>
      </c>
      <c r="AA953" s="4">
        <v>37.984268188476499</v>
      </c>
      <c r="AB953" s="5">
        <v>11.4499999999999</v>
      </c>
      <c r="AC953" s="4" cm="1">
        <f t="array" ref="AC953">IFERROR(INDEX(ReferenceCard, MATCH(1, (INDEX(ReferenceCard,,1)=Table1[[#This Row],[SAP No]]) * (INDEX(ReferenceCard,,2)=Table1[[#This Row],[Mould No]]), 0), 9),)</f>
        <v>77</v>
      </c>
      <c r="AD953" s="5">
        <v>0</v>
      </c>
      <c r="AE953" s="5">
        <v>0</v>
      </c>
      <c r="AF953" s="5">
        <v>0</v>
      </c>
      <c r="AG953" s="5">
        <v>0</v>
      </c>
      <c r="AH953" s="5">
        <v>1.45</v>
      </c>
      <c r="AI953" s="5">
        <v>0</v>
      </c>
      <c r="AJ953" s="5">
        <v>0</v>
      </c>
      <c r="AL953" s="2"/>
      <c r="AM953" s="2"/>
      <c r="AN953" s="3">
        <v>7</v>
      </c>
      <c r="AO953" s="3">
        <v>15.5</v>
      </c>
      <c r="AP953" s="6">
        <f>((Table1[[#This Row],[Reject Startup (kg)]]+Table1[[#This Row],[Reject Prod (kg)]]+Table1[[#This Row],[Reject Purging (kg)]]+Table1[[#This Row],[Reject Preform (kg)]])/Table1[[#This Row],[Part Weight (gm)]])*1000</f>
        <v>590.90909090909099</v>
      </c>
    </row>
    <row r="954" spans="1:42" x14ac:dyDescent="0.35">
      <c r="A954" s="1">
        <v>45992</v>
      </c>
      <c r="B954">
        <v>1</v>
      </c>
      <c r="C954" t="s">
        <v>27</v>
      </c>
      <c r="D954" t="str" cm="1">
        <f t="array" ref="D954">IFERROR(INDEX(ReferenceCard, MATCH(1, (INDEX(ReferenceCard,,1)=Table1[[#This Row],[SAP No]]) * (INDEX(ReferenceCard,,2)=Table1[[#This Row],[Mould No]]), 0), 6),)</f>
        <v>PPSB520Y</v>
      </c>
      <c r="E954">
        <v>552181</v>
      </c>
      <c r="F954">
        <v>4</v>
      </c>
      <c r="G954" t="str" cm="1">
        <f t="array" ref="G954">IFERROR(INDEX(ReferenceCard, MATCH(1, (INDEX(ReferenceCard,,1)=Table1[[#This Row],[SAP No]]) * (INDEX(ReferenceCard,,2)=Table1[[#This Row],[Mould No]]), 0), 3),)</f>
        <v>BC28-0090-D-APH-5180-3538-PP-6 NOTCHES-MOLD4</v>
      </c>
      <c r="H954">
        <v>0</v>
      </c>
      <c r="I954" cm="1">
        <f t="array" ref="I954">IFERROR(INDEX(ReferenceCard, MATCH(1, (INDEX(ReferenceCard,,1)=Table1[[#This Row],[SAP No]]) * (INDEX(ReferenceCard,,2)=Table1[[#This Row],[Mould No]]), 0), 4),)</f>
        <v>6</v>
      </c>
      <c r="J954" s="4" cm="1">
        <f t="array" ref="J954">IFERROR(INDEX(ReferenceCard, MATCH(1, (INDEX(ReferenceCard,,1)=Table1[[#This Row],[SAP No]]) * (INDEX(ReferenceCard,,2)=Table1[[#This Row],[Mould No]]), 0), 9),)</f>
        <v>18.8</v>
      </c>
      <c r="K954" s="4" cm="1">
        <f t="array" ref="K954">IFERROR(INDEX(ReferenceCard, MATCH(1, (INDEX(ReferenceCard,,1)=Table1[[#This Row],[SAP No]]) * (INDEX(ReferenceCard,,2)=Table1[[#This Row],[Mould No]]), 0), 7),)</f>
        <v>18.8</v>
      </c>
      <c r="L954">
        <v>143</v>
      </c>
      <c r="M954">
        <v>0</v>
      </c>
      <c r="N954">
        <v>0</v>
      </c>
      <c r="O954">
        <v>0</v>
      </c>
      <c r="P954">
        <f>Table1[[#This Row],[Shot]]*Table1[[#This Row],[Cav]]</f>
        <v>858</v>
      </c>
      <c r="Q954">
        <v>0</v>
      </c>
      <c r="R954">
        <f>(Table1[[#This Row],[Part Weight (gm)]]*Table1[[#This Row],[Finish Good]])/1000</f>
        <v>0</v>
      </c>
      <c r="S954">
        <v>0</v>
      </c>
      <c r="T954">
        <f>IF(Table1[[#This Row],[Qty Order]]="Sample","-",IF(Table1[[#This Row],[Qty Order]]="RTFN","-",Table1[[#This Row],[Qty Order]]-Table1[[#This Row],[Qty Accumulate]]))</f>
        <v>0</v>
      </c>
      <c r="U954">
        <f>((Table1[[#This Row],[Shift Output]]*Table1[[#This Row],[Part Weight (gm)]])/1000)+Table1[[#This Row],[Reject Startup (kg)]]+Table1[[#This Row],[Reject Purging (kg)]]+Table1[[#This Row],[Reject Preform (kg)]]</f>
        <v>31.130400000000002</v>
      </c>
      <c r="V954" s="37">
        <f>(Table1[[#This Row],[Gross Weight (gm)]]-Table1[[#This Row],[Part Weight (gm)]])*Table1[[#This Row],[Shift Output]]/1000</f>
        <v>0</v>
      </c>
      <c r="W954" s="3">
        <v>15</v>
      </c>
      <c r="X954" s="36">
        <f>Table1[[#This Row],[Reject Startup (kg)]]/Table1[[#This Row],[Material Used]]</f>
        <v>0.48184411379230591</v>
      </c>
      <c r="Y954" s="3">
        <v>0</v>
      </c>
      <c r="Z954" s="36">
        <f>Table1[[#This Row],[Reject Prod (kg)]]/Table1[[#This Row],[Material Used]]</f>
        <v>0</v>
      </c>
      <c r="AA954" s="4">
        <v>0</v>
      </c>
      <c r="AB954" s="5">
        <v>0.55000000000000004</v>
      </c>
      <c r="AC954" s="4" cm="1">
        <f t="array" ref="AC954">IFERROR(INDEX(ReferenceCard, MATCH(1, (INDEX(ReferenceCard,,1)=Table1[[#This Row],[SAP No]]) * (INDEX(ReferenceCard,,2)=Table1[[#This Row],[Mould No]]), 0), 9),)</f>
        <v>18.8</v>
      </c>
      <c r="AD954" s="5">
        <v>0</v>
      </c>
      <c r="AE954" s="5">
        <v>0</v>
      </c>
      <c r="AF954" s="5">
        <v>0</v>
      </c>
      <c r="AG954" s="5">
        <v>0</v>
      </c>
      <c r="AH954" s="5">
        <v>12.35</v>
      </c>
      <c r="AI954" s="5">
        <v>0</v>
      </c>
      <c r="AJ954" s="5">
        <v>0</v>
      </c>
      <c r="AL954" s="2"/>
      <c r="AM954" s="2"/>
      <c r="AN954" s="3">
        <v>0</v>
      </c>
      <c r="AO954" s="3">
        <v>0</v>
      </c>
      <c r="AP954" s="6">
        <f>((Table1[[#This Row],[Reject Startup (kg)]]+Table1[[#This Row],[Reject Prod (kg)]]+Table1[[#This Row],[Reject Purging (kg)]]+Table1[[#This Row],[Reject Preform (kg)]])/Table1[[#This Row],[Part Weight (gm)]])*1000</f>
        <v>797.87234042553189</v>
      </c>
    </row>
    <row r="955" spans="1:42" x14ac:dyDescent="0.35">
      <c r="A955" s="1">
        <v>45992</v>
      </c>
      <c r="B955">
        <v>1</v>
      </c>
      <c r="C955" t="s">
        <v>29</v>
      </c>
      <c r="D955" t="str" cm="1">
        <f t="array" ref="D955">IFERROR(INDEX(ReferenceCard, MATCH(1, (INDEX(ReferenceCard,,1)=Table1[[#This Row],[SAP No]]) * (INDEX(ReferenceCard,,2)=Table1[[#This Row],[Mould No]]), 0), 6),)</f>
        <v>PET</v>
      </c>
      <c r="E955">
        <v>620599</v>
      </c>
      <c r="F955">
        <v>0</v>
      </c>
      <c r="G955" t="str" cm="1">
        <f t="array" ref="G955">IFERROR(INDEX(ReferenceCard, MATCH(1, (INDEX(ReferenceCard,,1)=Table1[[#This Row],[SAP No]]) * (INDEX(ReferenceCard,,2)=Table1[[#This Row],[Mould No]]), 0), 3),)</f>
        <v>BC28-0750-K4-R-CL (55g)</v>
      </c>
      <c r="H955">
        <v>0</v>
      </c>
      <c r="I955" cm="1">
        <f t="array" ref="I955">IFERROR(INDEX(ReferenceCard, MATCH(1, (INDEX(ReferenceCard,,1)=Table1[[#This Row],[SAP No]]) * (INDEX(ReferenceCard,,2)=Table1[[#This Row],[Mould No]]), 0), 4),)</f>
        <v>4</v>
      </c>
      <c r="J955" s="4" cm="1">
        <f t="array" ref="J955">IFERROR(INDEX(ReferenceCard, MATCH(1, (INDEX(ReferenceCard,,1)=Table1[[#This Row],[SAP No]]) * (INDEX(ReferenceCard,,2)=Table1[[#This Row],[Mould No]]), 0), 9),)</f>
        <v>55</v>
      </c>
      <c r="K955" s="4" cm="1">
        <f t="array" ref="K955">IFERROR(INDEX(ReferenceCard, MATCH(1, (INDEX(ReferenceCard,,1)=Table1[[#This Row],[SAP No]]) * (INDEX(ReferenceCard,,2)=Table1[[#This Row],[Mould No]]), 0), 7),)</f>
        <v>55</v>
      </c>
      <c r="L955">
        <v>1150</v>
      </c>
      <c r="M955">
        <v>0</v>
      </c>
      <c r="N955">
        <v>0</v>
      </c>
      <c r="O955">
        <v>0</v>
      </c>
      <c r="P955">
        <f>Table1[[#This Row],[Shot]]*Table1[[#This Row],[Cav]]</f>
        <v>4600</v>
      </c>
      <c r="Q955">
        <v>0</v>
      </c>
      <c r="R955">
        <f>(Table1[[#This Row],[Part Weight (gm)]]*Table1[[#This Row],[Finish Good]])/1000</f>
        <v>0</v>
      </c>
      <c r="S955">
        <v>0</v>
      </c>
      <c r="T955">
        <f>IF(Table1[[#This Row],[Qty Order]]="Sample","-",IF(Table1[[#This Row],[Qty Order]]="RTFN","-",Table1[[#This Row],[Qty Order]]-Table1[[#This Row],[Qty Accumulate]]))</f>
        <v>0</v>
      </c>
      <c r="U955">
        <f>((Table1[[#This Row],[Shift Output]]*Table1[[#This Row],[Part Weight (gm)]])/1000)+Table1[[#This Row],[Reject Startup (kg)]]+Table1[[#This Row],[Reject Purging (kg)]]+Table1[[#This Row],[Reject Preform (kg)]]</f>
        <v>271.5</v>
      </c>
      <c r="V955" s="37">
        <f>(Table1[[#This Row],[Gross Weight (gm)]]-Table1[[#This Row],[Part Weight (gm)]])*Table1[[#This Row],[Shift Output]]/1000</f>
        <v>0</v>
      </c>
      <c r="W955" s="3">
        <v>12</v>
      </c>
      <c r="X955" s="36">
        <f>Table1[[#This Row],[Reject Startup (kg)]]/Table1[[#This Row],[Material Used]]</f>
        <v>4.4198895027624308E-2</v>
      </c>
      <c r="Y955" s="3">
        <v>5</v>
      </c>
      <c r="Z955" s="36">
        <f>Table1[[#This Row],[Reject Prod (kg)]]/Table1[[#This Row],[Material Used]]</f>
        <v>1.841620626151013E-2</v>
      </c>
      <c r="AA955" s="4">
        <v>27.194042205810501</v>
      </c>
      <c r="AB955" s="5">
        <v>10.73</v>
      </c>
      <c r="AC955" s="4" cm="1">
        <f t="array" ref="AC955">IFERROR(INDEX(ReferenceCard, MATCH(1, (INDEX(ReferenceCard,,1)=Table1[[#This Row],[SAP No]]) * (INDEX(ReferenceCard,,2)=Table1[[#This Row],[Mould No]]), 0), 9),)</f>
        <v>55</v>
      </c>
      <c r="AD955" s="5">
        <v>0</v>
      </c>
      <c r="AE955" s="5">
        <v>0</v>
      </c>
      <c r="AF955" s="5">
        <v>0</v>
      </c>
      <c r="AG955" s="5">
        <v>0</v>
      </c>
      <c r="AH955" s="5">
        <v>2.1699999999999902</v>
      </c>
      <c r="AI955" s="5">
        <v>0</v>
      </c>
      <c r="AJ955" s="5">
        <v>0</v>
      </c>
      <c r="AL955" s="2"/>
      <c r="AM955" s="2"/>
      <c r="AN955" s="3">
        <v>4.5</v>
      </c>
      <c r="AO955" s="3">
        <v>2</v>
      </c>
      <c r="AP955" s="6">
        <f>((Table1[[#This Row],[Reject Startup (kg)]]+Table1[[#This Row],[Reject Prod (kg)]]+Table1[[#This Row],[Reject Purging (kg)]]+Table1[[#This Row],[Reject Preform (kg)]])/Table1[[#This Row],[Part Weight (gm)]])*1000</f>
        <v>427.27272727272725</v>
      </c>
    </row>
    <row r="956" spans="1:42" x14ac:dyDescent="0.35">
      <c r="A956" s="1">
        <v>45992</v>
      </c>
      <c r="B956">
        <v>1</v>
      </c>
      <c r="C956" t="s">
        <v>31</v>
      </c>
      <c r="D956" t="str" cm="1">
        <f t="array" ref="D956">IFERROR(INDEX(ReferenceCard, MATCH(1, (INDEX(ReferenceCard,,1)=Table1[[#This Row],[SAP No]]) * (INDEX(ReferenceCard,,2)=Table1[[#This Row],[Mould No]]), 0), 6),)</f>
        <v>PPSB520Y</v>
      </c>
      <c r="E956">
        <v>586276</v>
      </c>
      <c r="F956">
        <v>4</v>
      </c>
      <c r="G956" t="str" cm="1">
        <f t="array" ref="G956">IFERROR(INDEX(ReferenceCard, MATCH(1, (INDEX(ReferenceCard,,1)=Table1[[#This Row],[SAP No]]) * (INDEX(ReferenceCard,,2)=Table1[[#This Row],[Mould No]]), 0), 3),)</f>
        <v>BC28-0056-D-APH-LEB-604001-MOLD4</v>
      </c>
      <c r="H956">
        <v>0</v>
      </c>
      <c r="I956" cm="1">
        <f t="array" ref="I956">IFERROR(INDEX(ReferenceCard, MATCH(1, (INDEX(ReferenceCard,,1)=Table1[[#This Row],[SAP No]]) * (INDEX(ReferenceCard,,2)=Table1[[#This Row],[Mould No]]), 0), 4),)</f>
        <v>6</v>
      </c>
      <c r="J956" s="4" cm="1">
        <f t="array" ref="J956">IFERROR(INDEX(ReferenceCard, MATCH(1, (INDEX(ReferenceCard,,1)=Table1[[#This Row],[SAP No]]) * (INDEX(ReferenceCard,,2)=Table1[[#This Row],[Mould No]]), 0), 9),)</f>
        <v>12.3</v>
      </c>
      <c r="K956" s="4" cm="1">
        <f t="array" ref="K956">IFERROR(INDEX(ReferenceCard, MATCH(1, (INDEX(ReferenceCard,,1)=Table1[[#This Row],[SAP No]]) * (INDEX(ReferenceCard,,2)=Table1[[#This Row],[Mould No]]), 0), 7),)</f>
        <v>12.3</v>
      </c>
      <c r="L956">
        <v>1660</v>
      </c>
      <c r="M956">
        <v>0</v>
      </c>
      <c r="N956">
        <v>0</v>
      </c>
      <c r="O956">
        <v>0</v>
      </c>
      <c r="P956">
        <f>Table1[[#This Row],[Shot]]*Table1[[#This Row],[Cav]]</f>
        <v>9960</v>
      </c>
      <c r="Q956">
        <v>0</v>
      </c>
      <c r="R956">
        <f>(Table1[[#This Row],[Part Weight (gm)]]*Table1[[#This Row],[Finish Good]])/1000</f>
        <v>0</v>
      </c>
      <c r="S956">
        <v>0</v>
      </c>
      <c r="T956">
        <f>IF(Table1[[#This Row],[Qty Order]]="Sample","-",IF(Table1[[#This Row],[Qty Order]]="RTFN","-",Table1[[#This Row],[Qty Order]]-Table1[[#This Row],[Qty Accumulate]]))</f>
        <v>0</v>
      </c>
      <c r="U956">
        <f>((Table1[[#This Row],[Shift Output]]*Table1[[#This Row],[Part Weight (gm)]])/1000)+Table1[[#This Row],[Reject Startup (kg)]]+Table1[[#This Row],[Reject Purging (kg)]]+Table1[[#This Row],[Reject Preform (kg)]]</f>
        <v>122.508</v>
      </c>
      <c r="V956" s="37">
        <f>(Table1[[#This Row],[Gross Weight (gm)]]-Table1[[#This Row],[Part Weight (gm)]])*Table1[[#This Row],[Shift Output]]/1000</f>
        <v>0</v>
      </c>
      <c r="W956" s="3">
        <v>0</v>
      </c>
      <c r="X956" s="36">
        <f>Table1[[#This Row],[Reject Startup (kg)]]/Table1[[#This Row],[Material Used]]</f>
        <v>0</v>
      </c>
      <c r="Y956" s="3">
        <v>3</v>
      </c>
      <c r="Z956" s="36">
        <f>Table1[[#This Row],[Reject Prod (kg)]]/Table1[[#This Row],[Material Used]]</f>
        <v>2.4488196689195808E-2</v>
      </c>
      <c r="AA956" s="4">
        <v>26.255723953246999</v>
      </c>
      <c r="AB956" s="5">
        <v>12.9</v>
      </c>
      <c r="AC956" s="4" cm="1">
        <f t="array" ref="AC956">IFERROR(INDEX(ReferenceCard, MATCH(1, (INDEX(ReferenceCard,,1)=Table1[[#This Row],[SAP No]]) * (INDEX(ReferenceCard,,2)=Table1[[#This Row],[Mould No]]), 0), 9),)</f>
        <v>12.3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L956" s="2"/>
      <c r="AM956" s="2"/>
      <c r="AN956" s="3">
        <v>0</v>
      </c>
      <c r="AO956" s="3">
        <v>0</v>
      </c>
      <c r="AP956" s="6">
        <f>((Table1[[#This Row],[Reject Startup (kg)]]+Table1[[#This Row],[Reject Prod (kg)]]+Table1[[#This Row],[Reject Purging (kg)]]+Table1[[#This Row],[Reject Preform (kg)]])/Table1[[#This Row],[Part Weight (gm)]])*1000</f>
        <v>243.90243902439025</v>
      </c>
    </row>
    <row r="957" spans="1:42" x14ac:dyDescent="0.35">
      <c r="A957" s="1">
        <v>45992</v>
      </c>
      <c r="B957">
        <v>1</v>
      </c>
      <c r="C957" t="s">
        <v>33</v>
      </c>
      <c r="D957" t="str" cm="1">
        <f t="array" ref="D957">IFERROR(INDEX(ReferenceCard, MATCH(1, (INDEX(ReferenceCard,,1)=Table1[[#This Row],[SAP No]]) * (INDEX(ReferenceCard,,2)=Table1[[#This Row],[Mould No]]), 0), 6),)</f>
        <v>PET</v>
      </c>
      <c r="E957">
        <v>541381</v>
      </c>
      <c r="F957">
        <v>0</v>
      </c>
      <c r="G957" t="str" cm="1">
        <f t="array" ref="G957">IFERROR(INDEX(ReferenceCard, MATCH(1, (INDEX(ReferenceCard,,1)=Table1[[#This Row],[SAP No]]) * (INDEX(ReferenceCard,,2)=Table1[[#This Row],[Mould No]]), 0), 3),)</f>
        <v>BC28-1200-K-R-CL</v>
      </c>
      <c r="H957">
        <v>0</v>
      </c>
      <c r="I957" cm="1">
        <f t="array" ref="I957">IFERROR(INDEX(ReferenceCard, MATCH(1, (INDEX(ReferenceCard,,1)=Table1[[#This Row],[SAP No]]) * (INDEX(ReferenceCard,,2)=Table1[[#This Row],[Mould No]]), 0), 4),)</f>
        <v>4</v>
      </c>
      <c r="J957" s="4" cm="1">
        <f t="array" ref="J957">IFERROR(INDEX(ReferenceCard, MATCH(1, (INDEX(ReferenceCard,,1)=Table1[[#This Row],[SAP No]]) * (INDEX(ReferenceCard,,2)=Table1[[#This Row],[Mould No]]), 0), 9),)</f>
        <v>55</v>
      </c>
      <c r="K957" s="4" cm="1">
        <f t="array" ref="K957">IFERROR(INDEX(ReferenceCard, MATCH(1, (INDEX(ReferenceCard,,1)=Table1[[#This Row],[SAP No]]) * (INDEX(ReferenceCard,,2)=Table1[[#This Row],[Mould No]]), 0), 7),)</f>
        <v>55</v>
      </c>
      <c r="L957">
        <v>220</v>
      </c>
      <c r="M957">
        <v>0</v>
      </c>
      <c r="N957">
        <v>0</v>
      </c>
      <c r="O957">
        <v>0</v>
      </c>
      <c r="P957">
        <f>Table1[[#This Row],[Shot]]*Table1[[#This Row],[Cav]]</f>
        <v>880</v>
      </c>
      <c r="Q957">
        <v>0</v>
      </c>
      <c r="R957">
        <f>(Table1[[#This Row],[Part Weight (gm)]]*Table1[[#This Row],[Finish Good]])/1000</f>
        <v>0</v>
      </c>
      <c r="S957">
        <v>0</v>
      </c>
      <c r="T957">
        <f>IF(Table1[[#This Row],[Qty Order]]="Sample","-",IF(Table1[[#This Row],[Qty Order]]="RTFN","-",Table1[[#This Row],[Qty Order]]-Table1[[#This Row],[Qty Accumulate]]))</f>
        <v>0</v>
      </c>
      <c r="U957">
        <f>((Table1[[#This Row],[Shift Output]]*Table1[[#This Row],[Part Weight (gm)]])/1000)+Table1[[#This Row],[Reject Startup (kg)]]+Table1[[#This Row],[Reject Purging (kg)]]+Table1[[#This Row],[Reject Preform (kg)]]</f>
        <v>123.4</v>
      </c>
      <c r="V957" s="37">
        <f>(Table1[[#This Row],[Gross Weight (gm)]]-Table1[[#This Row],[Part Weight (gm)]])*Table1[[#This Row],[Shift Output]]/1000</f>
        <v>0</v>
      </c>
      <c r="W957" s="3">
        <v>64</v>
      </c>
      <c r="X957" s="36">
        <f>Table1[[#This Row],[Reject Startup (kg)]]/Table1[[#This Row],[Material Used]]</f>
        <v>0.51863857374392219</v>
      </c>
      <c r="Y957" s="3">
        <v>7</v>
      </c>
      <c r="Z957" s="36">
        <f>Table1[[#This Row],[Reject Prod (kg)]]/Table1[[#This Row],[Material Used]]</f>
        <v>5.6726094003241488E-2</v>
      </c>
      <c r="AA957" s="4">
        <v>0</v>
      </c>
      <c r="AB957" s="5">
        <v>6.7699999999999898</v>
      </c>
      <c r="AC957" s="4" cm="1">
        <f t="array" ref="AC957">IFERROR(INDEX(ReferenceCard, MATCH(1, (INDEX(ReferenceCard,,1)=Table1[[#This Row],[SAP No]]) * (INDEX(ReferenceCard,,2)=Table1[[#This Row],[Mould No]]), 0), 9),)</f>
        <v>55</v>
      </c>
      <c r="AD957" s="5">
        <v>0</v>
      </c>
      <c r="AE957" s="5">
        <v>0</v>
      </c>
      <c r="AF957" s="5">
        <v>0</v>
      </c>
      <c r="AG957" s="5">
        <v>0</v>
      </c>
      <c r="AH957" s="5">
        <v>6.1299999999999901</v>
      </c>
      <c r="AI957" s="5">
        <v>0</v>
      </c>
      <c r="AJ957" s="5">
        <v>0</v>
      </c>
      <c r="AK957" t="s">
        <v>241</v>
      </c>
      <c r="AL957" s="2"/>
      <c r="AM957" s="2"/>
      <c r="AN957" s="3">
        <v>5</v>
      </c>
      <c r="AO957" s="3">
        <v>6</v>
      </c>
      <c r="AP957" s="6">
        <f>((Table1[[#This Row],[Reject Startup (kg)]]+Table1[[#This Row],[Reject Prod (kg)]]+Table1[[#This Row],[Reject Purging (kg)]]+Table1[[#This Row],[Reject Preform (kg)]])/Table1[[#This Row],[Part Weight (gm)]])*1000</f>
        <v>1490.909090909091</v>
      </c>
    </row>
    <row r="958" spans="1:42" x14ac:dyDescent="0.35">
      <c r="A958" s="1">
        <v>45992</v>
      </c>
      <c r="B958">
        <v>1</v>
      </c>
      <c r="C958" t="s">
        <v>35</v>
      </c>
      <c r="D958" t="str" cm="1">
        <f t="array" ref="D958">IFERROR(INDEX(ReferenceCard, MATCH(1, (INDEX(ReferenceCard,,1)=Table1[[#This Row],[SAP No]]) * (INDEX(ReferenceCard,,2)=Table1[[#This Row],[Mould No]]), 0), 6),)</f>
        <v>PPSB520Y</v>
      </c>
      <c r="E958">
        <v>552181</v>
      </c>
      <c r="F958">
        <v>1</v>
      </c>
      <c r="G958" t="str" cm="1">
        <f t="array" ref="G958">IFERROR(INDEX(ReferenceCard, MATCH(1, (INDEX(ReferenceCard,,1)=Table1[[#This Row],[SAP No]]) * (INDEX(ReferenceCard,,2)=Table1[[#This Row],[Mould No]]), 0), 3),)</f>
        <v>BC28-0090-D-APH-5180-3538-PP-6 NOTCHES-MOLD1</v>
      </c>
      <c r="H958">
        <v>0</v>
      </c>
      <c r="I958" cm="1">
        <f t="array" ref="I958">IFERROR(INDEX(ReferenceCard, MATCH(1, (INDEX(ReferenceCard,,1)=Table1[[#This Row],[SAP No]]) * (INDEX(ReferenceCard,,2)=Table1[[#This Row],[Mould No]]), 0), 4),)</f>
        <v>6</v>
      </c>
      <c r="J958" s="4" cm="1">
        <f t="array" ref="J958">IFERROR(INDEX(ReferenceCard, MATCH(1, (INDEX(ReferenceCard,,1)=Table1[[#This Row],[SAP No]]) * (INDEX(ReferenceCard,,2)=Table1[[#This Row],[Mould No]]), 0), 9),)</f>
        <v>18.8</v>
      </c>
      <c r="K958" s="4" cm="1">
        <f t="array" ref="K958">IFERROR(INDEX(ReferenceCard, MATCH(1, (INDEX(ReferenceCard,,1)=Table1[[#This Row],[SAP No]]) * (INDEX(ReferenceCard,,2)=Table1[[#This Row],[Mould No]]), 0), 7),)</f>
        <v>18.8</v>
      </c>
      <c r="L958">
        <v>1350</v>
      </c>
      <c r="M958">
        <v>0</v>
      </c>
      <c r="N958">
        <v>0</v>
      </c>
      <c r="O958">
        <v>0</v>
      </c>
      <c r="P958">
        <f>Table1[[#This Row],[Shot]]*Table1[[#This Row],[Cav]]</f>
        <v>8100</v>
      </c>
      <c r="Q958">
        <v>0</v>
      </c>
      <c r="R958">
        <f>(Table1[[#This Row],[Part Weight (gm)]]*Table1[[#This Row],[Finish Good]])/1000</f>
        <v>0</v>
      </c>
      <c r="S958">
        <v>0</v>
      </c>
      <c r="T958">
        <f>IF(Table1[[#This Row],[Qty Order]]="Sample","-",IF(Table1[[#This Row],[Qty Order]]="RTFN","-",Table1[[#This Row],[Qty Order]]-Table1[[#This Row],[Qty Accumulate]]))</f>
        <v>0</v>
      </c>
      <c r="U958">
        <f>((Table1[[#This Row],[Shift Output]]*Table1[[#This Row],[Part Weight (gm)]])/1000)+Table1[[#This Row],[Reject Startup (kg)]]+Table1[[#This Row],[Reject Purging (kg)]]+Table1[[#This Row],[Reject Preform (kg)]]</f>
        <v>152.28</v>
      </c>
      <c r="V958" s="37">
        <f>(Table1[[#This Row],[Gross Weight (gm)]]-Table1[[#This Row],[Part Weight (gm)]])*Table1[[#This Row],[Shift Output]]/1000</f>
        <v>0</v>
      </c>
      <c r="W958" s="3">
        <v>0</v>
      </c>
      <c r="X958" s="36">
        <f>Table1[[#This Row],[Reject Startup (kg)]]/Table1[[#This Row],[Material Used]]</f>
        <v>0</v>
      </c>
      <c r="Y958" s="3">
        <v>1</v>
      </c>
      <c r="Z958" s="36">
        <f>Table1[[#This Row],[Reject Prod (kg)]]/Table1[[#This Row],[Material Used]]</f>
        <v>6.5668505384817444E-3</v>
      </c>
      <c r="AA958" s="4">
        <v>31.062765121459901</v>
      </c>
      <c r="AB958" s="5">
        <v>1.6599999999999899</v>
      </c>
      <c r="AC958" s="4" cm="1">
        <f t="array" ref="AC958">IFERROR(INDEX(ReferenceCard, MATCH(1, (INDEX(ReferenceCard,,1)=Table1[[#This Row],[SAP No]]) * (INDEX(ReferenceCard,,2)=Table1[[#This Row],[Mould No]]), 0), 9),)</f>
        <v>18.8</v>
      </c>
      <c r="AD958" s="5">
        <v>0</v>
      </c>
      <c r="AE958" s="5">
        <v>0</v>
      </c>
      <c r="AF958" s="5">
        <v>0</v>
      </c>
      <c r="AG958" s="5">
        <v>0</v>
      </c>
      <c r="AH958" s="5">
        <v>11.24</v>
      </c>
      <c r="AI958" s="5">
        <v>0</v>
      </c>
      <c r="AJ958" s="5">
        <v>0</v>
      </c>
      <c r="AL958" s="2"/>
      <c r="AM958" s="2"/>
      <c r="AN958" s="3">
        <v>0</v>
      </c>
      <c r="AO958" s="3">
        <v>0</v>
      </c>
      <c r="AP958" s="6">
        <f>((Table1[[#This Row],[Reject Startup (kg)]]+Table1[[#This Row],[Reject Prod (kg)]]+Table1[[#This Row],[Reject Purging (kg)]]+Table1[[#This Row],[Reject Preform (kg)]])/Table1[[#This Row],[Part Weight (gm)]])*1000</f>
        <v>53.191489361702125</v>
      </c>
    </row>
    <row r="959" spans="1:42" x14ac:dyDescent="0.35">
      <c r="A959" s="1">
        <v>45992</v>
      </c>
      <c r="B959">
        <v>1</v>
      </c>
      <c r="C959" t="s">
        <v>18</v>
      </c>
      <c r="D959" t="str" cm="1">
        <f t="array" ref="D959">IFERROR(INDEX(ReferenceCard, MATCH(1, (INDEX(ReferenceCard,,1)=Table1[[#This Row],[SAP No]]) * (INDEX(ReferenceCard,,2)=Table1[[#This Row],[Mould No]]), 0), 6),)</f>
        <v>PPSB520Y</v>
      </c>
      <c r="E959">
        <v>555979</v>
      </c>
      <c r="F959">
        <v>4</v>
      </c>
      <c r="G959" t="str" cm="1">
        <f t="array" ref="G959">IFERROR(INDEX(ReferenceCard, MATCH(1, (INDEX(ReferenceCard,,1)=Table1[[#This Row],[SAP No]]) * (INDEX(ReferenceCard,,2)=Table1[[#This Row],[Mould No]]), 0), 3),)</f>
        <v>BC28-0170-D-APH-5180-3539-PP-6 NOTCHES-MOLD4</v>
      </c>
      <c r="H959">
        <v>0</v>
      </c>
      <c r="I959" cm="1">
        <f t="array" ref="I959">IFERROR(INDEX(ReferenceCard, MATCH(1, (INDEX(ReferenceCard,,1)=Table1[[#This Row],[SAP No]]) * (INDEX(ReferenceCard,,2)=Table1[[#This Row],[Mould No]]), 0), 4),)</f>
        <v>6</v>
      </c>
      <c r="J959" s="4" cm="1">
        <f t="array" ref="J959">IFERROR(INDEX(ReferenceCard, MATCH(1, (INDEX(ReferenceCard,,1)=Table1[[#This Row],[SAP No]]) * (INDEX(ReferenceCard,,2)=Table1[[#This Row],[Mould No]]), 0), 9),)</f>
        <v>28</v>
      </c>
      <c r="K959" s="4" cm="1">
        <f t="array" ref="K959">IFERROR(INDEX(ReferenceCard, MATCH(1, (INDEX(ReferenceCard,,1)=Table1[[#This Row],[SAP No]]) * (INDEX(ReferenceCard,,2)=Table1[[#This Row],[Mould No]]), 0), 7),)</f>
        <v>28</v>
      </c>
      <c r="L959">
        <v>0</v>
      </c>
      <c r="M959">
        <v>0</v>
      </c>
      <c r="N959">
        <v>0</v>
      </c>
      <c r="O959">
        <v>0</v>
      </c>
      <c r="P959">
        <f>Table1[[#This Row],[Shot]]*Table1[[#This Row],[Cav]]</f>
        <v>0</v>
      </c>
      <c r="Q959">
        <v>0</v>
      </c>
      <c r="R959">
        <f>(Table1[[#This Row],[Part Weight (gm)]]*Table1[[#This Row],[Finish Good]])/1000</f>
        <v>0</v>
      </c>
      <c r="S959">
        <v>0</v>
      </c>
      <c r="T959">
        <f>IF(Table1[[#This Row],[Qty Order]]="Sample","-",IF(Table1[[#This Row],[Qty Order]]="RTFN","-",Table1[[#This Row],[Qty Order]]-Table1[[#This Row],[Qty Accumulate]]))</f>
        <v>0</v>
      </c>
      <c r="U959">
        <f>((Table1[[#This Row],[Shift Output]]*Table1[[#This Row],[Part Weight (gm)]])/1000)+Table1[[#This Row],[Reject Startup (kg)]]+Table1[[#This Row],[Reject Purging (kg)]]+Table1[[#This Row],[Reject Preform (kg)]]</f>
        <v>6.5</v>
      </c>
      <c r="V959" s="37">
        <f>(Table1[[#This Row],[Gross Weight (gm)]]-Table1[[#This Row],[Part Weight (gm)]])*Table1[[#This Row],[Shift Output]]/1000</f>
        <v>0</v>
      </c>
      <c r="W959" s="3">
        <v>0</v>
      </c>
      <c r="X959" s="36">
        <f>Table1[[#This Row],[Reject Startup (kg)]]/Table1[[#This Row],[Material Used]]</f>
        <v>0</v>
      </c>
      <c r="Y959" s="3">
        <v>0</v>
      </c>
      <c r="Z959" s="36">
        <f>Table1[[#This Row],[Reject Prod (kg)]]/Table1[[#This Row],[Material Used]]</f>
        <v>0</v>
      </c>
      <c r="AA959" s="4">
        <v>0</v>
      </c>
      <c r="AB959" s="5">
        <v>0</v>
      </c>
      <c r="AC959" s="4" cm="1">
        <f t="array" ref="AC959">IFERROR(INDEX(ReferenceCard, MATCH(1, (INDEX(ReferenceCard,,1)=Table1[[#This Row],[SAP No]]) * (INDEX(ReferenceCard,,2)=Table1[[#This Row],[Mould No]]), 0), 9),)</f>
        <v>28</v>
      </c>
      <c r="AD959" s="5">
        <v>0</v>
      </c>
      <c r="AE959" s="5">
        <v>0</v>
      </c>
      <c r="AF959" s="5">
        <v>0</v>
      </c>
      <c r="AG959" s="5">
        <v>0</v>
      </c>
      <c r="AH959" s="5">
        <v>12</v>
      </c>
      <c r="AI959" s="5">
        <v>0</v>
      </c>
      <c r="AJ959" s="5">
        <v>0</v>
      </c>
      <c r="AL959" s="2"/>
      <c r="AM959" s="2"/>
      <c r="AN959" s="3">
        <v>2.5</v>
      </c>
      <c r="AO959" s="3">
        <v>4</v>
      </c>
      <c r="AP959" s="6">
        <f>((Table1[[#This Row],[Reject Startup (kg)]]+Table1[[#This Row],[Reject Prod (kg)]]+Table1[[#This Row],[Reject Purging (kg)]]+Table1[[#This Row],[Reject Preform (kg)]])/Table1[[#This Row],[Part Weight (gm)]])*1000</f>
        <v>232.14285714285714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B597-F6BF-4F72-B24D-B734B0837827}">
  <sheetPr codeName="Sheet4">
    <tabColor theme="4" tint="0.39997558519241921"/>
  </sheetPr>
  <dimension ref="A1:J1133"/>
  <sheetViews>
    <sheetView zoomScaleNormal="100" workbookViewId="0">
      <pane ySplit="6" topLeftCell="A7" activePane="bottomLeft" state="frozen"/>
      <selection pane="bottomLeft" activeCell="E8" sqref="E8"/>
    </sheetView>
  </sheetViews>
  <sheetFormatPr defaultColWidth="8.7265625" defaultRowHeight="11.5" x14ac:dyDescent="0.35"/>
  <cols>
    <col min="1" max="1" width="15.1796875" style="8" customWidth="1"/>
    <col min="2" max="2" width="8.7265625" style="8"/>
    <col min="3" max="3" width="48.81640625" style="8" customWidth="1"/>
    <col min="4" max="4" width="18.7265625" style="10" customWidth="1"/>
    <col min="5" max="5" width="13.1796875" style="10" customWidth="1"/>
    <col min="6" max="6" width="20.1796875" style="10" customWidth="1"/>
    <col min="7" max="7" width="15.1796875" style="10" customWidth="1"/>
    <col min="8" max="8" width="22.7265625" style="10" customWidth="1"/>
    <col min="9" max="9" width="26.81640625" style="10" customWidth="1"/>
    <col min="10" max="10" width="20.1796875" style="10" customWidth="1"/>
    <col min="11" max="16384" width="8.7265625" style="8"/>
  </cols>
  <sheetData>
    <row r="1" spans="1:10" ht="12" x14ac:dyDescent="0.35">
      <c r="A1" s="7"/>
      <c r="C1" s="9"/>
    </row>
    <row r="2" spans="1:10" x14ac:dyDescent="0.35">
      <c r="A2" s="11" t="s">
        <v>281</v>
      </c>
      <c r="C2" s="9"/>
    </row>
    <row r="3" spans="1:10" x14ac:dyDescent="0.35">
      <c r="A3" s="12" t="s">
        <v>282</v>
      </c>
      <c r="B3" s="13">
        <v>45422</v>
      </c>
    </row>
    <row r="4" spans="1:10" x14ac:dyDescent="0.35">
      <c r="A4" s="12" t="s">
        <v>283</v>
      </c>
      <c r="C4" s="13"/>
    </row>
    <row r="5" spans="1:10" x14ac:dyDescent="0.35">
      <c r="A5" s="9"/>
      <c r="C5" s="9"/>
      <c r="D5" s="14" t="s">
        <v>284</v>
      </c>
      <c r="G5" s="15" t="s">
        <v>285</v>
      </c>
      <c r="H5" s="15"/>
      <c r="I5" s="14" t="s">
        <v>286</v>
      </c>
      <c r="J5" s="14" t="s">
        <v>287</v>
      </c>
    </row>
    <row r="6" spans="1:10" x14ac:dyDescent="0.35">
      <c r="A6" s="16" t="s">
        <v>245</v>
      </c>
      <c r="B6" s="17" t="s">
        <v>288</v>
      </c>
      <c r="C6" s="18" t="s">
        <v>289</v>
      </c>
      <c r="D6" s="19" t="s">
        <v>290</v>
      </c>
      <c r="E6" s="17" t="s">
        <v>291</v>
      </c>
      <c r="F6" s="17" t="s">
        <v>292</v>
      </c>
      <c r="G6" s="19" t="s">
        <v>293</v>
      </c>
      <c r="H6" s="17" t="s">
        <v>294</v>
      </c>
      <c r="I6" s="17" t="s">
        <v>295</v>
      </c>
      <c r="J6" s="20" t="s">
        <v>296</v>
      </c>
    </row>
    <row r="7" spans="1:10" x14ac:dyDescent="0.35">
      <c r="A7" s="21">
        <v>0</v>
      </c>
      <c r="B7" s="22">
        <v>0</v>
      </c>
      <c r="C7" s="23" t="s">
        <v>297</v>
      </c>
      <c r="D7" s="24">
        <v>0</v>
      </c>
      <c r="E7" s="24" t="s">
        <v>20</v>
      </c>
      <c r="F7" s="24" t="s">
        <v>20</v>
      </c>
      <c r="G7" s="24">
        <v>0</v>
      </c>
      <c r="H7" s="24"/>
      <c r="I7" s="24">
        <v>0</v>
      </c>
      <c r="J7" s="25">
        <v>0</v>
      </c>
    </row>
    <row r="8" spans="1:10" x14ac:dyDescent="0.35">
      <c r="A8" s="26">
        <v>123456</v>
      </c>
      <c r="B8" s="22">
        <v>0</v>
      </c>
      <c r="C8" s="27" t="s">
        <v>21</v>
      </c>
      <c r="D8" s="28">
        <v>0</v>
      </c>
      <c r="E8" s="28" t="s">
        <v>298</v>
      </c>
      <c r="F8" s="28" t="s">
        <v>20</v>
      </c>
      <c r="G8" s="28">
        <v>0</v>
      </c>
      <c r="H8" s="28"/>
      <c r="I8" s="28">
        <v>0</v>
      </c>
      <c r="J8" s="29">
        <v>0</v>
      </c>
    </row>
    <row r="9" spans="1:10" x14ac:dyDescent="0.35">
      <c r="A9" s="26">
        <v>322379</v>
      </c>
      <c r="B9" s="22">
        <v>0</v>
      </c>
      <c r="C9" s="27" t="s">
        <v>299</v>
      </c>
      <c r="D9" s="28">
        <v>4</v>
      </c>
      <c r="E9" s="28" t="s">
        <v>298</v>
      </c>
      <c r="F9" s="28" t="s">
        <v>1</v>
      </c>
      <c r="G9" s="28">
        <v>18.349999999999998</v>
      </c>
      <c r="H9" s="28"/>
      <c r="I9" s="28">
        <v>11.3</v>
      </c>
      <c r="J9" s="29">
        <v>19.239999999999998</v>
      </c>
    </row>
    <row r="10" spans="1:10" x14ac:dyDescent="0.35">
      <c r="A10" s="26">
        <v>322380</v>
      </c>
      <c r="B10" s="22">
        <v>0</v>
      </c>
      <c r="C10" s="27" t="s">
        <v>300</v>
      </c>
      <c r="D10" s="28">
        <v>4</v>
      </c>
      <c r="E10" s="28" t="s">
        <v>298</v>
      </c>
      <c r="F10" s="28" t="s">
        <v>1</v>
      </c>
      <c r="G10" s="28">
        <v>11.3</v>
      </c>
      <c r="H10" s="28"/>
      <c r="I10" s="28">
        <v>11.3</v>
      </c>
      <c r="J10" s="29">
        <v>19.239999999999998</v>
      </c>
    </row>
    <row r="11" spans="1:10" x14ac:dyDescent="0.35">
      <c r="A11" s="26">
        <v>322382</v>
      </c>
      <c r="B11" s="22">
        <v>0</v>
      </c>
      <c r="C11" s="27" t="s">
        <v>301</v>
      </c>
      <c r="D11" s="28">
        <v>4</v>
      </c>
      <c r="E11" s="28" t="s">
        <v>298</v>
      </c>
      <c r="F11" s="28" t="s">
        <v>1</v>
      </c>
      <c r="G11" s="28">
        <v>11.3</v>
      </c>
      <c r="H11" s="28"/>
      <c r="I11" s="28">
        <v>18.8</v>
      </c>
      <c r="J11" s="29">
        <v>15.44</v>
      </c>
    </row>
    <row r="12" spans="1:10" x14ac:dyDescent="0.35">
      <c r="A12" s="26">
        <v>322383</v>
      </c>
      <c r="B12" s="22">
        <v>0</v>
      </c>
      <c r="C12" s="27" t="s">
        <v>302</v>
      </c>
      <c r="D12" s="28">
        <v>4</v>
      </c>
      <c r="E12" s="28" t="s">
        <v>298</v>
      </c>
      <c r="F12" s="28" t="s">
        <v>1</v>
      </c>
      <c r="G12" s="28">
        <v>12.5</v>
      </c>
      <c r="H12" s="28"/>
      <c r="I12" s="28">
        <v>12.5</v>
      </c>
      <c r="J12" s="29">
        <v>17.920000000000002</v>
      </c>
    </row>
    <row r="13" spans="1:10" x14ac:dyDescent="0.35">
      <c r="A13" s="26">
        <v>322384</v>
      </c>
      <c r="B13" s="22">
        <v>0</v>
      </c>
      <c r="C13" s="27" t="s">
        <v>303</v>
      </c>
      <c r="D13" s="28">
        <v>4</v>
      </c>
      <c r="E13" s="28" t="s">
        <v>298</v>
      </c>
      <c r="F13" s="28" t="s">
        <v>1</v>
      </c>
      <c r="G13" s="28">
        <v>12.5</v>
      </c>
      <c r="H13" s="28"/>
      <c r="I13" s="28">
        <v>12.5</v>
      </c>
      <c r="J13" s="29">
        <v>17.920000000000002</v>
      </c>
    </row>
    <row r="14" spans="1:10" x14ac:dyDescent="0.35">
      <c r="A14" s="26">
        <v>322385</v>
      </c>
      <c r="B14" s="22">
        <v>0</v>
      </c>
      <c r="C14" s="27" t="s">
        <v>304</v>
      </c>
      <c r="D14" s="28">
        <v>4</v>
      </c>
      <c r="E14" s="28" t="s">
        <v>298</v>
      </c>
      <c r="F14" s="28" t="s">
        <v>1</v>
      </c>
      <c r="G14" s="28">
        <v>16</v>
      </c>
      <c r="H14" s="28"/>
      <c r="I14" s="28">
        <v>16</v>
      </c>
      <c r="J14" s="29">
        <v>20</v>
      </c>
    </row>
    <row r="15" spans="1:10" x14ac:dyDescent="0.35">
      <c r="A15" s="26">
        <v>322386</v>
      </c>
      <c r="B15" s="22">
        <v>0</v>
      </c>
      <c r="C15" s="27" t="s">
        <v>305</v>
      </c>
      <c r="D15" s="28">
        <v>4</v>
      </c>
      <c r="E15" s="28" t="s">
        <v>298</v>
      </c>
      <c r="F15" s="28" t="s">
        <v>1</v>
      </c>
      <c r="G15" s="28">
        <v>16</v>
      </c>
      <c r="H15" s="28"/>
      <c r="I15" s="28">
        <v>16</v>
      </c>
      <c r="J15" s="29">
        <v>20</v>
      </c>
    </row>
    <row r="16" spans="1:10" x14ac:dyDescent="0.35">
      <c r="A16" s="26">
        <v>322387</v>
      </c>
      <c r="B16" s="22">
        <v>0</v>
      </c>
      <c r="C16" s="27" t="s">
        <v>306</v>
      </c>
      <c r="D16" s="28">
        <v>4</v>
      </c>
      <c r="E16" s="28" t="s">
        <v>298</v>
      </c>
      <c r="F16" s="28" t="s">
        <v>1</v>
      </c>
      <c r="G16" s="28">
        <v>16</v>
      </c>
      <c r="H16" s="28"/>
      <c r="I16" s="28">
        <v>16</v>
      </c>
      <c r="J16" s="29">
        <v>20</v>
      </c>
    </row>
    <row r="17" spans="1:10" x14ac:dyDescent="0.35">
      <c r="A17" s="26">
        <v>322388</v>
      </c>
      <c r="B17" s="22">
        <v>0</v>
      </c>
      <c r="C17" s="27" t="s">
        <v>307</v>
      </c>
      <c r="D17" s="28">
        <v>4</v>
      </c>
      <c r="E17" s="28" t="s">
        <v>298</v>
      </c>
      <c r="F17" s="28" t="s">
        <v>1</v>
      </c>
      <c r="G17" s="28">
        <v>18.8</v>
      </c>
      <c r="H17" s="28"/>
      <c r="I17" s="28">
        <v>18.8</v>
      </c>
      <c r="J17" s="29">
        <v>20</v>
      </c>
    </row>
    <row r="18" spans="1:10" x14ac:dyDescent="0.35">
      <c r="A18" s="26">
        <v>322389</v>
      </c>
      <c r="B18" s="22">
        <v>0</v>
      </c>
      <c r="C18" s="27" t="s">
        <v>308</v>
      </c>
      <c r="D18" s="28">
        <v>4</v>
      </c>
      <c r="E18" s="28" t="s">
        <v>298</v>
      </c>
      <c r="F18" s="28" t="s">
        <v>1</v>
      </c>
      <c r="G18" s="28">
        <v>12.5</v>
      </c>
      <c r="H18" s="28"/>
      <c r="I18" s="28">
        <v>12.5</v>
      </c>
      <c r="J18" s="29">
        <v>18.64</v>
      </c>
    </row>
    <row r="19" spans="1:10" x14ac:dyDescent="0.35">
      <c r="A19" s="26">
        <v>322390</v>
      </c>
      <c r="B19" s="22">
        <v>0</v>
      </c>
      <c r="C19" s="27" t="s">
        <v>309</v>
      </c>
      <c r="D19" s="28">
        <v>4</v>
      </c>
      <c r="E19" s="28" t="s">
        <v>298</v>
      </c>
      <c r="F19" s="28" t="s">
        <v>1</v>
      </c>
      <c r="G19" s="28">
        <v>12.5</v>
      </c>
      <c r="H19" s="28"/>
      <c r="I19" s="28">
        <v>12.5</v>
      </c>
      <c r="J19" s="29">
        <v>18.64</v>
      </c>
    </row>
    <row r="20" spans="1:10" x14ac:dyDescent="0.35">
      <c r="A20" s="26">
        <v>322391</v>
      </c>
      <c r="B20" s="22">
        <v>0</v>
      </c>
      <c r="C20" s="27" t="s">
        <v>310</v>
      </c>
      <c r="D20" s="28">
        <v>4</v>
      </c>
      <c r="E20" s="28" t="s">
        <v>298</v>
      </c>
      <c r="F20" s="28" t="s">
        <v>1</v>
      </c>
      <c r="G20" s="28">
        <v>20</v>
      </c>
      <c r="H20" s="28"/>
      <c r="I20" s="28">
        <v>20</v>
      </c>
      <c r="J20" s="29">
        <v>20</v>
      </c>
    </row>
    <row r="21" spans="1:10" x14ac:dyDescent="0.35">
      <c r="A21" s="26">
        <v>322392</v>
      </c>
      <c r="B21" s="22">
        <v>0</v>
      </c>
      <c r="C21" s="27" t="s">
        <v>311</v>
      </c>
      <c r="D21" s="28">
        <v>4</v>
      </c>
      <c r="E21" s="28" t="s">
        <v>298</v>
      </c>
      <c r="F21" s="28" t="s">
        <v>1</v>
      </c>
      <c r="G21" s="28">
        <v>20</v>
      </c>
      <c r="H21" s="28"/>
      <c r="I21" s="28">
        <v>20</v>
      </c>
      <c r="J21" s="29">
        <v>20</v>
      </c>
    </row>
    <row r="22" spans="1:10" x14ac:dyDescent="0.35">
      <c r="A22" s="26">
        <v>322393</v>
      </c>
      <c r="B22" s="22">
        <v>0</v>
      </c>
      <c r="C22" s="27" t="s">
        <v>312</v>
      </c>
      <c r="D22" s="28">
        <v>4</v>
      </c>
      <c r="E22" s="28" t="s">
        <v>298</v>
      </c>
      <c r="F22" s="28" t="s">
        <v>1</v>
      </c>
      <c r="G22" s="28">
        <v>20</v>
      </c>
      <c r="H22" s="28"/>
      <c r="I22" s="28">
        <v>20</v>
      </c>
      <c r="J22" s="29">
        <v>20</v>
      </c>
    </row>
    <row r="23" spans="1:10" x14ac:dyDescent="0.35">
      <c r="A23" s="26">
        <v>322394</v>
      </c>
      <c r="B23" s="22">
        <v>0</v>
      </c>
      <c r="C23" s="27" t="s">
        <v>313</v>
      </c>
      <c r="D23" s="28">
        <v>4</v>
      </c>
      <c r="E23" s="28" t="s">
        <v>298</v>
      </c>
      <c r="F23" s="28" t="s">
        <v>1</v>
      </c>
      <c r="G23" s="28">
        <v>20</v>
      </c>
      <c r="H23" s="28"/>
      <c r="I23" s="28">
        <v>20</v>
      </c>
      <c r="J23" s="29">
        <v>19.14</v>
      </c>
    </row>
    <row r="24" spans="1:10" x14ac:dyDescent="0.35">
      <c r="A24" s="26">
        <v>322396</v>
      </c>
      <c r="B24" s="22">
        <v>0</v>
      </c>
      <c r="C24" s="27" t="s">
        <v>314</v>
      </c>
      <c r="D24" s="28">
        <v>4</v>
      </c>
      <c r="E24" s="28" t="s">
        <v>298</v>
      </c>
      <c r="F24" s="28" t="s">
        <v>1</v>
      </c>
      <c r="G24" s="28">
        <v>20</v>
      </c>
      <c r="H24" s="28"/>
      <c r="I24" s="28">
        <v>20</v>
      </c>
      <c r="J24" s="29">
        <v>21.76</v>
      </c>
    </row>
    <row r="25" spans="1:10" x14ac:dyDescent="0.35">
      <c r="A25" s="26">
        <v>322398</v>
      </c>
      <c r="B25" s="22">
        <v>0</v>
      </c>
      <c r="C25" s="27" t="s">
        <v>315</v>
      </c>
      <c r="D25" s="28">
        <v>4</v>
      </c>
      <c r="E25" s="28" t="s">
        <v>298</v>
      </c>
      <c r="F25" s="28" t="s">
        <v>1</v>
      </c>
      <c r="G25" s="28">
        <v>76.900000000000006</v>
      </c>
      <c r="H25" s="28"/>
      <c r="I25" s="28">
        <v>72</v>
      </c>
      <c r="J25" s="29">
        <v>36</v>
      </c>
    </row>
    <row r="26" spans="1:10" x14ac:dyDescent="0.35">
      <c r="A26" s="26">
        <v>322399</v>
      </c>
      <c r="B26" s="22">
        <v>0</v>
      </c>
      <c r="C26" s="27" t="s">
        <v>316</v>
      </c>
      <c r="D26" s="28">
        <v>4</v>
      </c>
      <c r="E26" s="28" t="s">
        <v>298</v>
      </c>
      <c r="F26" s="28" t="s">
        <v>1</v>
      </c>
      <c r="G26" s="28">
        <v>19</v>
      </c>
      <c r="H26" s="28"/>
      <c r="I26" s="28">
        <v>23</v>
      </c>
      <c r="J26" s="29">
        <v>20</v>
      </c>
    </row>
    <row r="27" spans="1:10" x14ac:dyDescent="0.35">
      <c r="A27" s="26">
        <v>322400</v>
      </c>
      <c r="B27" s="22">
        <v>0</v>
      </c>
      <c r="C27" s="27" t="s">
        <v>317</v>
      </c>
      <c r="D27" s="28">
        <v>4</v>
      </c>
      <c r="E27" s="28" t="s">
        <v>298</v>
      </c>
      <c r="F27" s="28" t="s">
        <v>1</v>
      </c>
      <c r="G27" s="28">
        <v>19</v>
      </c>
      <c r="H27" s="28"/>
      <c r="I27" s="28">
        <v>18.600000000000001</v>
      </c>
      <c r="J27" s="29">
        <v>16</v>
      </c>
    </row>
    <row r="28" spans="1:10" x14ac:dyDescent="0.35">
      <c r="A28" s="26">
        <v>322401</v>
      </c>
      <c r="B28" s="22">
        <v>0</v>
      </c>
      <c r="C28" s="27" t="s">
        <v>318</v>
      </c>
      <c r="D28" s="28">
        <v>4</v>
      </c>
      <c r="E28" s="28" t="s">
        <v>298</v>
      </c>
      <c r="F28" s="28" t="s">
        <v>1</v>
      </c>
      <c r="G28" s="28">
        <v>15.5</v>
      </c>
      <c r="H28" s="28"/>
      <c r="I28" s="28">
        <v>20.350000000000001</v>
      </c>
      <c r="J28" s="29">
        <v>19.920000000000002</v>
      </c>
    </row>
    <row r="29" spans="1:10" x14ac:dyDescent="0.35">
      <c r="A29" s="26">
        <v>322402</v>
      </c>
      <c r="B29" s="22">
        <v>0</v>
      </c>
      <c r="C29" s="27" t="s">
        <v>319</v>
      </c>
      <c r="D29" s="28">
        <v>4</v>
      </c>
      <c r="E29" s="28" t="s">
        <v>298</v>
      </c>
      <c r="F29" s="28" t="s">
        <v>1</v>
      </c>
      <c r="G29" s="28">
        <v>20.400000000000002</v>
      </c>
      <c r="H29" s="28"/>
      <c r="I29" s="28">
        <v>20</v>
      </c>
      <c r="J29" s="29">
        <v>20.12</v>
      </c>
    </row>
    <row r="30" spans="1:10" x14ac:dyDescent="0.35">
      <c r="A30" s="26">
        <v>322403</v>
      </c>
      <c r="B30" s="22">
        <v>0</v>
      </c>
      <c r="C30" s="27" t="s">
        <v>320</v>
      </c>
      <c r="D30" s="28">
        <v>4</v>
      </c>
      <c r="E30" s="28" t="s">
        <v>298</v>
      </c>
      <c r="F30" s="28" t="s">
        <v>1</v>
      </c>
      <c r="G30" s="28">
        <v>16</v>
      </c>
      <c r="H30" s="28"/>
      <c r="I30" s="28">
        <v>16</v>
      </c>
      <c r="J30" s="29">
        <v>20</v>
      </c>
    </row>
    <row r="31" spans="1:10" x14ac:dyDescent="0.35">
      <c r="A31" s="26">
        <v>322404</v>
      </c>
      <c r="B31" s="22">
        <v>0</v>
      </c>
      <c r="C31" s="27" t="s">
        <v>321</v>
      </c>
      <c r="D31" s="28">
        <v>4</v>
      </c>
      <c r="E31" s="28" t="s">
        <v>298</v>
      </c>
      <c r="F31" s="28" t="s">
        <v>1</v>
      </c>
      <c r="G31" s="28">
        <v>17</v>
      </c>
      <c r="H31" s="28"/>
      <c r="I31" s="28">
        <v>16.899999999999999</v>
      </c>
      <c r="J31" s="29">
        <v>16</v>
      </c>
    </row>
    <row r="32" spans="1:10" x14ac:dyDescent="0.35">
      <c r="A32" s="26">
        <v>322405</v>
      </c>
      <c r="B32" s="22">
        <v>0</v>
      </c>
      <c r="C32" s="27" t="s">
        <v>322</v>
      </c>
      <c r="D32" s="28">
        <v>4</v>
      </c>
      <c r="E32" s="28" t="s">
        <v>298</v>
      </c>
      <c r="F32" s="28" t="s">
        <v>1</v>
      </c>
      <c r="G32" s="28">
        <v>20</v>
      </c>
      <c r="H32" s="28"/>
      <c r="I32" s="28">
        <v>20</v>
      </c>
      <c r="J32" s="29">
        <v>21.64</v>
      </c>
    </row>
    <row r="33" spans="1:10" x14ac:dyDescent="0.35">
      <c r="A33" s="26">
        <v>322406</v>
      </c>
      <c r="B33" s="22">
        <v>0</v>
      </c>
      <c r="C33" s="27" t="s">
        <v>323</v>
      </c>
      <c r="D33" s="28">
        <v>4</v>
      </c>
      <c r="E33" s="28" t="s">
        <v>298</v>
      </c>
      <c r="F33" s="28" t="s">
        <v>1</v>
      </c>
      <c r="G33" s="28">
        <v>23</v>
      </c>
      <c r="H33" s="28"/>
      <c r="I33" s="28">
        <v>18.7</v>
      </c>
      <c r="J33" s="29">
        <v>20</v>
      </c>
    </row>
    <row r="34" spans="1:10" x14ac:dyDescent="0.35">
      <c r="A34" s="26">
        <v>322407</v>
      </c>
      <c r="B34" s="22">
        <v>0</v>
      </c>
      <c r="C34" s="27" t="s">
        <v>324</v>
      </c>
      <c r="D34" s="28">
        <v>4</v>
      </c>
      <c r="E34" s="28" t="s">
        <v>298</v>
      </c>
      <c r="F34" s="28" t="s">
        <v>1</v>
      </c>
      <c r="G34" s="28">
        <v>18.7</v>
      </c>
      <c r="H34" s="28"/>
      <c r="I34" s="28">
        <v>26.66</v>
      </c>
      <c r="J34" s="29">
        <v>20</v>
      </c>
    </row>
    <row r="35" spans="1:10" x14ac:dyDescent="0.35">
      <c r="A35" s="26">
        <v>322408</v>
      </c>
      <c r="B35" s="22">
        <v>0</v>
      </c>
      <c r="C35" s="27" t="s">
        <v>325</v>
      </c>
      <c r="D35" s="28">
        <v>4</v>
      </c>
      <c r="E35" s="28" t="s">
        <v>298</v>
      </c>
      <c r="F35" s="28" t="s">
        <v>1</v>
      </c>
      <c r="G35" s="28">
        <v>16</v>
      </c>
      <c r="H35" s="28"/>
      <c r="I35" s="28">
        <v>16</v>
      </c>
      <c r="J35" s="29">
        <v>18.32</v>
      </c>
    </row>
    <row r="36" spans="1:10" x14ac:dyDescent="0.35">
      <c r="A36" s="26">
        <v>322409</v>
      </c>
      <c r="B36" s="22">
        <v>0</v>
      </c>
      <c r="C36" s="27" t="s">
        <v>326</v>
      </c>
      <c r="D36" s="28">
        <v>4</v>
      </c>
      <c r="E36" s="28" t="s">
        <v>298</v>
      </c>
      <c r="F36" s="28" t="s">
        <v>1</v>
      </c>
      <c r="G36" s="28">
        <v>24</v>
      </c>
      <c r="H36" s="28"/>
      <c r="I36" s="28">
        <v>24</v>
      </c>
      <c r="J36" s="29">
        <v>20</v>
      </c>
    </row>
    <row r="37" spans="1:10" x14ac:dyDescent="0.35">
      <c r="A37" s="26">
        <v>322411</v>
      </c>
      <c r="B37" s="22">
        <v>0</v>
      </c>
      <c r="C37" s="27" t="s">
        <v>327</v>
      </c>
      <c r="D37" s="28">
        <v>4</v>
      </c>
      <c r="E37" s="28" t="s">
        <v>298</v>
      </c>
      <c r="F37" s="28" t="s">
        <v>1</v>
      </c>
      <c r="G37" s="28">
        <v>24</v>
      </c>
      <c r="H37" s="28"/>
      <c r="I37" s="28">
        <v>24</v>
      </c>
      <c r="J37" s="29">
        <v>20.12</v>
      </c>
    </row>
    <row r="38" spans="1:10" x14ac:dyDescent="0.35">
      <c r="A38" s="26">
        <v>322412</v>
      </c>
      <c r="B38" s="22">
        <v>0</v>
      </c>
      <c r="C38" s="27" t="s">
        <v>328</v>
      </c>
      <c r="D38" s="28">
        <v>4</v>
      </c>
      <c r="E38" s="28" t="s">
        <v>298</v>
      </c>
      <c r="F38" s="28" t="s">
        <v>1</v>
      </c>
      <c r="G38" s="28">
        <v>24</v>
      </c>
      <c r="H38" s="28"/>
      <c r="I38" s="28">
        <v>24.3</v>
      </c>
      <c r="J38" s="29">
        <v>20</v>
      </c>
    </row>
    <row r="39" spans="1:10" x14ac:dyDescent="0.35">
      <c r="A39" s="26">
        <v>322413</v>
      </c>
      <c r="B39" s="22">
        <v>0</v>
      </c>
      <c r="C39" s="27" t="s">
        <v>329</v>
      </c>
      <c r="D39" s="28">
        <v>4</v>
      </c>
      <c r="E39" s="28" t="s">
        <v>298</v>
      </c>
      <c r="F39" s="28" t="s">
        <v>1</v>
      </c>
      <c r="G39" s="28">
        <v>22.8</v>
      </c>
      <c r="H39" s="28"/>
      <c r="I39" s="28">
        <v>23</v>
      </c>
      <c r="J39" s="29">
        <v>25.84</v>
      </c>
    </row>
    <row r="40" spans="1:10" x14ac:dyDescent="0.35">
      <c r="A40" s="26">
        <v>322414</v>
      </c>
      <c r="B40" s="22">
        <v>0</v>
      </c>
      <c r="C40" s="27" t="s">
        <v>330</v>
      </c>
      <c r="D40" s="28">
        <v>4</v>
      </c>
      <c r="E40" s="28" t="s">
        <v>298</v>
      </c>
      <c r="F40" s="28" t="s">
        <v>1</v>
      </c>
      <c r="G40" s="28">
        <v>20.6</v>
      </c>
      <c r="H40" s="28"/>
      <c r="I40" s="28">
        <v>23</v>
      </c>
      <c r="J40" s="29">
        <v>22</v>
      </c>
    </row>
    <row r="41" spans="1:10" x14ac:dyDescent="0.35">
      <c r="A41" s="26">
        <v>322415</v>
      </c>
      <c r="B41" s="22">
        <v>0</v>
      </c>
      <c r="C41" s="27" t="s">
        <v>331</v>
      </c>
      <c r="D41" s="28">
        <v>4</v>
      </c>
      <c r="E41" s="28" t="s">
        <v>298</v>
      </c>
      <c r="F41" s="28" t="s">
        <v>1</v>
      </c>
      <c r="G41" s="28">
        <v>30.2</v>
      </c>
      <c r="H41" s="28"/>
      <c r="I41" s="28">
        <v>22.28</v>
      </c>
      <c r="J41" s="29">
        <v>18</v>
      </c>
    </row>
    <row r="42" spans="1:10" x14ac:dyDescent="0.35">
      <c r="A42" s="26">
        <v>322416</v>
      </c>
      <c r="B42" s="22">
        <v>0</v>
      </c>
      <c r="C42" s="27" t="s">
        <v>332</v>
      </c>
      <c r="D42" s="28">
        <v>4</v>
      </c>
      <c r="E42" s="28" t="s">
        <v>298</v>
      </c>
      <c r="F42" s="28" t="s">
        <v>1</v>
      </c>
      <c r="G42" s="28">
        <v>24</v>
      </c>
      <c r="H42" s="28"/>
      <c r="I42" s="28">
        <v>24</v>
      </c>
      <c r="J42" s="29">
        <v>22</v>
      </c>
    </row>
    <row r="43" spans="1:10" x14ac:dyDescent="0.35">
      <c r="A43" s="26">
        <v>322417</v>
      </c>
      <c r="B43" s="22">
        <v>0</v>
      </c>
      <c r="C43" s="27" t="s">
        <v>333</v>
      </c>
      <c r="D43" s="28">
        <v>4</v>
      </c>
      <c r="E43" s="28" t="s">
        <v>298</v>
      </c>
      <c r="F43" s="28" t="s">
        <v>1</v>
      </c>
      <c r="G43" s="28">
        <v>26.9</v>
      </c>
      <c r="H43" s="28"/>
      <c r="I43" s="28">
        <v>24.8</v>
      </c>
      <c r="J43" s="29">
        <v>20.12</v>
      </c>
    </row>
    <row r="44" spans="1:10" x14ac:dyDescent="0.35">
      <c r="A44" s="26">
        <v>322418</v>
      </c>
      <c r="B44" s="22">
        <v>0</v>
      </c>
      <c r="C44" s="27" t="s">
        <v>334</v>
      </c>
      <c r="D44" s="28">
        <v>4</v>
      </c>
      <c r="E44" s="28" t="s">
        <v>298</v>
      </c>
      <c r="F44" s="28" t="s">
        <v>1</v>
      </c>
      <c r="G44" s="28">
        <v>36</v>
      </c>
      <c r="H44" s="28"/>
      <c r="I44" s="28">
        <v>7.1</v>
      </c>
      <c r="J44" s="29">
        <v>35</v>
      </c>
    </row>
    <row r="45" spans="1:10" x14ac:dyDescent="0.35">
      <c r="A45" s="26">
        <v>322419</v>
      </c>
      <c r="B45" s="22">
        <v>0</v>
      </c>
      <c r="C45" s="27" t="s">
        <v>335</v>
      </c>
      <c r="D45" s="28">
        <v>4</v>
      </c>
      <c r="E45" s="28" t="s">
        <v>298</v>
      </c>
      <c r="F45" s="28" t="s">
        <v>1</v>
      </c>
      <c r="G45" s="28">
        <v>24.8</v>
      </c>
      <c r="H45" s="28"/>
      <c r="I45" s="28">
        <v>24.18</v>
      </c>
      <c r="J45" s="29">
        <v>20</v>
      </c>
    </row>
    <row r="46" spans="1:10" x14ac:dyDescent="0.35">
      <c r="A46" s="26">
        <v>322420</v>
      </c>
      <c r="B46" s="22">
        <v>0</v>
      </c>
      <c r="C46" s="27" t="s">
        <v>336</v>
      </c>
      <c r="D46" s="28">
        <v>4</v>
      </c>
      <c r="E46" s="28" t="s">
        <v>298</v>
      </c>
      <c r="F46" s="28" t="s">
        <v>1</v>
      </c>
      <c r="G46" s="28">
        <v>24.8</v>
      </c>
      <c r="H46" s="28"/>
      <c r="I46" s="28">
        <v>24.8</v>
      </c>
      <c r="J46" s="29">
        <v>22</v>
      </c>
    </row>
    <row r="47" spans="1:10" x14ac:dyDescent="0.35">
      <c r="A47" s="26">
        <v>322421</v>
      </c>
      <c r="B47" s="22">
        <v>0</v>
      </c>
      <c r="C47" s="27" t="s">
        <v>337</v>
      </c>
      <c r="D47" s="28">
        <v>4</v>
      </c>
      <c r="E47" s="28" t="s">
        <v>298</v>
      </c>
      <c r="F47" s="28" t="s">
        <v>1</v>
      </c>
      <c r="G47" s="28">
        <v>23</v>
      </c>
      <c r="H47" s="28"/>
      <c r="I47" s="28">
        <v>23</v>
      </c>
      <c r="J47" s="29">
        <v>31</v>
      </c>
    </row>
    <row r="48" spans="1:10" x14ac:dyDescent="0.35">
      <c r="A48" s="26">
        <v>322422</v>
      </c>
      <c r="B48" s="22">
        <v>0</v>
      </c>
      <c r="C48" s="27" t="s">
        <v>338</v>
      </c>
      <c r="D48" s="28">
        <v>4</v>
      </c>
      <c r="E48" s="28" t="s">
        <v>298</v>
      </c>
      <c r="F48" s="28" t="s">
        <v>1</v>
      </c>
      <c r="G48" s="28">
        <v>34</v>
      </c>
      <c r="H48" s="28"/>
      <c r="I48" s="28">
        <v>33</v>
      </c>
      <c r="J48" s="29">
        <v>22</v>
      </c>
    </row>
    <row r="49" spans="1:10" x14ac:dyDescent="0.35">
      <c r="A49" s="26">
        <v>322423</v>
      </c>
      <c r="B49" s="22">
        <v>0</v>
      </c>
      <c r="C49" s="27" t="s">
        <v>339</v>
      </c>
      <c r="D49" s="28">
        <v>4</v>
      </c>
      <c r="E49" s="28" t="s">
        <v>298</v>
      </c>
      <c r="F49" s="28" t="s">
        <v>1</v>
      </c>
      <c r="G49" s="28">
        <v>23</v>
      </c>
      <c r="H49" s="28"/>
      <c r="I49" s="28">
        <v>23</v>
      </c>
      <c r="J49" s="29">
        <v>21</v>
      </c>
    </row>
    <row r="50" spans="1:10" x14ac:dyDescent="0.35">
      <c r="A50" s="26">
        <v>322424</v>
      </c>
      <c r="B50" s="22">
        <v>0</v>
      </c>
      <c r="C50" s="27" t="s">
        <v>340</v>
      </c>
      <c r="D50" s="28">
        <v>4</v>
      </c>
      <c r="E50" s="28" t="s">
        <v>298</v>
      </c>
      <c r="F50" s="28" t="s">
        <v>1</v>
      </c>
      <c r="G50" s="28">
        <v>34.5</v>
      </c>
      <c r="H50" s="28"/>
      <c r="I50" s="28">
        <v>34.5</v>
      </c>
      <c r="J50" s="29">
        <v>18</v>
      </c>
    </row>
    <row r="51" spans="1:10" x14ac:dyDescent="0.35">
      <c r="A51" s="26">
        <v>322425</v>
      </c>
      <c r="B51" s="22">
        <v>0</v>
      </c>
      <c r="C51" s="27" t="s">
        <v>341</v>
      </c>
      <c r="D51" s="28">
        <v>4</v>
      </c>
      <c r="E51" s="28" t="s">
        <v>298</v>
      </c>
      <c r="F51" s="28" t="s">
        <v>1</v>
      </c>
      <c r="G51" s="28">
        <v>24.5</v>
      </c>
      <c r="H51" s="28"/>
      <c r="I51" s="28">
        <v>24.87</v>
      </c>
      <c r="J51" s="29">
        <v>16.96</v>
      </c>
    </row>
    <row r="52" spans="1:10" x14ac:dyDescent="0.35">
      <c r="A52" s="26">
        <v>322426</v>
      </c>
      <c r="B52" s="22">
        <v>0</v>
      </c>
      <c r="C52" s="27" t="s">
        <v>342</v>
      </c>
      <c r="D52" s="28">
        <v>4</v>
      </c>
      <c r="E52" s="28" t="s">
        <v>298</v>
      </c>
      <c r="F52" s="28" t="s">
        <v>1</v>
      </c>
      <c r="G52" s="28">
        <v>27</v>
      </c>
      <c r="H52" s="28"/>
      <c r="I52" s="28">
        <v>27</v>
      </c>
      <c r="J52" s="29">
        <v>18.52</v>
      </c>
    </row>
    <row r="53" spans="1:10" x14ac:dyDescent="0.35">
      <c r="A53" s="26">
        <v>322427</v>
      </c>
      <c r="B53" s="22">
        <v>0</v>
      </c>
      <c r="C53" s="27" t="s">
        <v>343</v>
      </c>
      <c r="D53" s="28">
        <v>4</v>
      </c>
      <c r="E53" s="28" t="s">
        <v>298</v>
      </c>
      <c r="F53" s="28" t="s">
        <v>1</v>
      </c>
      <c r="G53" s="28">
        <v>29</v>
      </c>
      <c r="H53" s="28"/>
      <c r="I53" s="28">
        <v>29</v>
      </c>
      <c r="J53" s="29">
        <v>27.428000000000001</v>
      </c>
    </row>
    <row r="54" spans="1:10" x14ac:dyDescent="0.35">
      <c r="A54" s="26">
        <v>322428</v>
      </c>
      <c r="B54" s="22">
        <v>0</v>
      </c>
      <c r="C54" s="27" t="s">
        <v>344</v>
      </c>
      <c r="D54" s="28">
        <v>4</v>
      </c>
      <c r="E54" s="28" t="s">
        <v>298</v>
      </c>
      <c r="F54" s="28" t="s">
        <v>1</v>
      </c>
      <c r="G54" s="28">
        <v>23</v>
      </c>
      <c r="H54" s="28"/>
      <c r="I54" s="28">
        <v>23</v>
      </c>
      <c r="J54" s="29">
        <v>18</v>
      </c>
    </row>
    <row r="55" spans="1:10" x14ac:dyDescent="0.35">
      <c r="A55" s="26">
        <v>322429</v>
      </c>
      <c r="B55" s="22">
        <v>0</v>
      </c>
      <c r="C55" s="27" t="s">
        <v>345</v>
      </c>
      <c r="D55" s="28">
        <v>4</v>
      </c>
      <c r="E55" s="28" t="s">
        <v>298</v>
      </c>
      <c r="F55" s="28" t="s">
        <v>1</v>
      </c>
      <c r="G55" s="28">
        <v>24</v>
      </c>
      <c r="H55" s="28"/>
      <c r="I55" s="28">
        <v>24.93</v>
      </c>
      <c r="J55" s="29">
        <v>16.96</v>
      </c>
    </row>
    <row r="56" spans="1:10" x14ac:dyDescent="0.35">
      <c r="A56" s="26">
        <v>322430</v>
      </c>
      <c r="B56" s="22">
        <v>0</v>
      </c>
      <c r="C56" s="27" t="s">
        <v>346</v>
      </c>
      <c r="D56" s="28">
        <v>4</v>
      </c>
      <c r="E56" s="28" t="s">
        <v>298</v>
      </c>
      <c r="F56" s="28" t="s">
        <v>1</v>
      </c>
      <c r="G56" s="28">
        <v>34.5</v>
      </c>
      <c r="H56" s="28"/>
      <c r="I56" s="28">
        <v>34.299999999999997</v>
      </c>
      <c r="J56" s="29">
        <v>22</v>
      </c>
    </row>
    <row r="57" spans="1:10" x14ac:dyDescent="0.35">
      <c r="A57" s="26">
        <v>322431</v>
      </c>
      <c r="B57" s="22">
        <v>0</v>
      </c>
      <c r="C57" s="27" t="s">
        <v>347</v>
      </c>
      <c r="D57" s="28">
        <v>4</v>
      </c>
      <c r="E57" s="28" t="s">
        <v>298</v>
      </c>
      <c r="F57" s="28" t="s">
        <v>1</v>
      </c>
      <c r="G57" s="28">
        <v>24.9</v>
      </c>
      <c r="H57" s="28"/>
      <c r="I57" s="28">
        <v>24.9</v>
      </c>
      <c r="J57" s="29">
        <v>20</v>
      </c>
    </row>
    <row r="58" spans="1:10" x14ac:dyDescent="0.35">
      <c r="A58" s="26">
        <v>322432</v>
      </c>
      <c r="B58" s="22">
        <v>0</v>
      </c>
      <c r="C58" s="27" t="s">
        <v>348</v>
      </c>
      <c r="D58" s="28">
        <v>4</v>
      </c>
      <c r="E58" s="28" t="s">
        <v>298</v>
      </c>
      <c r="F58" s="28" t="s">
        <v>1</v>
      </c>
      <c r="G58" s="28">
        <v>34.5</v>
      </c>
      <c r="H58" s="28"/>
      <c r="I58" s="28">
        <v>32.97</v>
      </c>
      <c r="J58" s="29">
        <v>22</v>
      </c>
    </row>
    <row r="59" spans="1:10" x14ac:dyDescent="0.35">
      <c r="A59" s="26">
        <v>322433</v>
      </c>
      <c r="B59" s="22">
        <v>0</v>
      </c>
      <c r="C59" s="27" t="s">
        <v>349</v>
      </c>
      <c r="D59" s="28">
        <v>4</v>
      </c>
      <c r="E59" s="28" t="s">
        <v>298</v>
      </c>
      <c r="F59" s="28" t="s">
        <v>1</v>
      </c>
      <c r="G59" s="28">
        <v>34.5</v>
      </c>
      <c r="H59" s="28"/>
      <c r="I59" s="28">
        <v>34</v>
      </c>
      <c r="J59" s="29">
        <v>22</v>
      </c>
    </row>
    <row r="60" spans="1:10" x14ac:dyDescent="0.35">
      <c r="A60" s="26">
        <v>322434</v>
      </c>
      <c r="B60" s="22">
        <v>0</v>
      </c>
      <c r="C60" s="27" t="s">
        <v>350</v>
      </c>
      <c r="D60" s="28">
        <v>4</v>
      </c>
      <c r="E60" s="28" t="s">
        <v>298</v>
      </c>
      <c r="F60" s="28" t="s">
        <v>1</v>
      </c>
      <c r="G60" s="28">
        <v>30</v>
      </c>
      <c r="H60" s="28"/>
      <c r="I60" s="28">
        <v>30</v>
      </c>
      <c r="J60" s="29">
        <v>34.72</v>
      </c>
    </row>
    <row r="61" spans="1:10" x14ac:dyDescent="0.35">
      <c r="A61" s="26">
        <v>322435</v>
      </c>
      <c r="B61" s="22">
        <v>0</v>
      </c>
      <c r="C61" s="27" t="s">
        <v>351</v>
      </c>
      <c r="D61" s="28">
        <v>4</v>
      </c>
      <c r="E61" s="28" t="s">
        <v>298</v>
      </c>
      <c r="F61" s="28" t="s">
        <v>1</v>
      </c>
      <c r="G61" s="28">
        <v>34.5</v>
      </c>
      <c r="H61" s="28"/>
      <c r="I61" s="28">
        <v>34.799999999999997</v>
      </c>
      <c r="J61" s="29">
        <v>22</v>
      </c>
    </row>
    <row r="62" spans="1:10" x14ac:dyDescent="0.35">
      <c r="A62" s="26">
        <v>322436</v>
      </c>
      <c r="B62" s="22">
        <v>0</v>
      </c>
      <c r="C62" s="27" t="s">
        <v>352</v>
      </c>
      <c r="D62" s="28">
        <v>4</v>
      </c>
      <c r="E62" s="28" t="s">
        <v>298</v>
      </c>
      <c r="F62" s="28" t="s">
        <v>1</v>
      </c>
      <c r="G62" s="28">
        <v>33.659999999999997</v>
      </c>
      <c r="H62" s="28"/>
      <c r="I62" s="28">
        <v>33.659999999999997</v>
      </c>
      <c r="J62" s="29">
        <v>22</v>
      </c>
    </row>
    <row r="63" spans="1:10" x14ac:dyDescent="0.35">
      <c r="A63" s="26">
        <v>322437</v>
      </c>
      <c r="B63" s="22">
        <v>0</v>
      </c>
      <c r="C63" s="27" t="s">
        <v>353</v>
      </c>
      <c r="D63" s="28">
        <v>4</v>
      </c>
      <c r="E63" s="28" t="s">
        <v>298</v>
      </c>
      <c r="F63" s="28" t="s">
        <v>1</v>
      </c>
      <c r="G63" s="28">
        <v>28</v>
      </c>
      <c r="H63" s="28"/>
      <c r="I63" s="28">
        <v>29</v>
      </c>
      <c r="J63" s="29">
        <v>22</v>
      </c>
    </row>
    <row r="64" spans="1:10" x14ac:dyDescent="0.35">
      <c r="A64" s="26">
        <v>322438</v>
      </c>
      <c r="B64" s="22">
        <v>0</v>
      </c>
      <c r="C64" s="27" t="s">
        <v>354</v>
      </c>
      <c r="D64" s="28">
        <v>4</v>
      </c>
      <c r="E64" s="28" t="s">
        <v>298</v>
      </c>
      <c r="F64" s="28" t="s">
        <v>1</v>
      </c>
      <c r="G64" s="28">
        <v>23</v>
      </c>
      <c r="H64" s="28"/>
      <c r="I64" s="28">
        <v>23</v>
      </c>
      <c r="J64" s="29">
        <v>22</v>
      </c>
    </row>
    <row r="65" spans="1:10" x14ac:dyDescent="0.35">
      <c r="A65" s="26">
        <v>322439</v>
      </c>
      <c r="B65" s="22">
        <v>0</v>
      </c>
      <c r="C65" s="27" t="s">
        <v>355</v>
      </c>
      <c r="D65" s="28">
        <v>4</v>
      </c>
      <c r="E65" s="28" t="s">
        <v>298</v>
      </c>
      <c r="F65" s="28" t="s">
        <v>1</v>
      </c>
      <c r="G65" s="28">
        <v>30.2</v>
      </c>
      <c r="H65" s="28"/>
      <c r="I65" s="28">
        <v>30.2</v>
      </c>
      <c r="J65" s="29">
        <v>27</v>
      </c>
    </row>
    <row r="66" spans="1:10" x14ac:dyDescent="0.35">
      <c r="A66" s="26">
        <v>322440</v>
      </c>
      <c r="B66" s="22">
        <v>0</v>
      </c>
      <c r="C66" s="27" t="s">
        <v>356</v>
      </c>
      <c r="D66" s="28">
        <v>4</v>
      </c>
      <c r="E66" s="28" t="s">
        <v>298</v>
      </c>
      <c r="F66" s="28" t="s">
        <v>1</v>
      </c>
      <c r="G66" s="28">
        <v>28</v>
      </c>
      <c r="H66" s="28"/>
      <c r="I66" s="28">
        <v>30.4</v>
      </c>
      <c r="J66" s="29">
        <v>27</v>
      </c>
    </row>
    <row r="67" spans="1:10" x14ac:dyDescent="0.35">
      <c r="A67" s="26">
        <v>322441</v>
      </c>
      <c r="B67" s="22">
        <v>0</v>
      </c>
      <c r="C67" s="27" t="s">
        <v>357</v>
      </c>
      <c r="D67" s="28">
        <v>4</v>
      </c>
      <c r="E67" s="28" t="s">
        <v>298</v>
      </c>
      <c r="F67" s="28" t="s">
        <v>1</v>
      </c>
      <c r="G67" s="28">
        <v>34.5</v>
      </c>
      <c r="H67" s="28"/>
      <c r="I67" s="28">
        <v>33.71</v>
      </c>
      <c r="J67" s="29">
        <v>22</v>
      </c>
    </row>
    <row r="68" spans="1:10" x14ac:dyDescent="0.35">
      <c r="A68" s="26">
        <v>322442</v>
      </c>
      <c r="B68" s="22">
        <v>0</v>
      </c>
      <c r="C68" s="27" t="s">
        <v>358</v>
      </c>
      <c r="D68" s="28">
        <v>4</v>
      </c>
      <c r="E68" s="28" t="s">
        <v>298</v>
      </c>
      <c r="F68" s="28" t="s">
        <v>1</v>
      </c>
      <c r="G68" s="28">
        <v>34.5</v>
      </c>
      <c r="H68" s="28"/>
      <c r="I68" s="28">
        <v>34.04</v>
      </c>
      <c r="J68" s="29">
        <v>22</v>
      </c>
    </row>
    <row r="69" spans="1:10" x14ac:dyDescent="0.35">
      <c r="A69" s="26">
        <v>322443</v>
      </c>
      <c r="B69" s="22">
        <v>0</v>
      </c>
      <c r="C69" s="27" t="s">
        <v>359</v>
      </c>
      <c r="D69" s="28">
        <v>4</v>
      </c>
      <c r="E69" s="28" t="s">
        <v>298</v>
      </c>
      <c r="F69" s="28" t="s">
        <v>1</v>
      </c>
      <c r="G69" s="28">
        <v>34.5</v>
      </c>
      <c r="H69" s="28"/>
      <c r="I69" s="28">
        <v>32.74</v>
      </c>
      <c r="J69" s="29">
        <v>22</v>
      </c>
    </row>
    <row r="70" spans="1:10" x14ac:dyDescent="0.35">
      <c r="A70" s="26">
        <v>322444</v>
      </c>
      <c r="B70" s="22">
        <v>0</v>
      </c>
      <c r="C70" s="27" t="s">
        <v>41</v>
      </c>
      <c r="D70" s="28">
        <v>4</v>
      </c>
      <c r="E70" s="28" t="s">
        <v>298</v>
      </c>
      <c r="F70" s="28" t="s">
        <v>1</v>
      </c>
      <c r="G70" s="28">
        <v>34.5</v>
      </c>
      <c r="H70" s="28"/>
      <c r="I70" s="28">
        <v>32.74</v>
      </c>
      <c r="J70" s="29">
        <v>22</v>
      </c>
    </row>
    <row r="71" spans="1:10" x14ac:dyDescent="0.35">
      <c r="A71" s="26">
        <v>322445</v>
      </c>
      <c r="B71" s="22">
        <v>0</v>
      </c>
      <c r="C71" s="27" t="s">
        <v>13</v>
      </c>
      <c r="D71" s="28">
        <v>4</v>
      </c>
      <c r="E71" s="28" t="s">
        <v>298</v>
      </c>
      <c r="F71" s="28" t="s">
        <v>1</v>
      </c>
      <c r="G71" s="28">
        <v>33</v>
      </c>
      <c r="H71" s="28"/>
      <c r="I71" s="28">
        <v>32.74</v>
      </c>
      <c r="J71" s="29">
        <v>22</v>
      </c>
    </row>
    <row r="72" spans="1:10" x14ac:dyDescent="0.35">
      <c r="A72" s="26">
        <v>322446</v>
      </c>
      <c r="B72" s="22">
        <v>0</v>
      </c>
      <c r="C72" s="27" t="s">
        <v>360</v>
      </c>
      <c r="D72" s="28">
        <v>4</v>
      </c>
      <c r="E72" s="28" t="s">
        <v>298</v>
      </c>
      <c r="F72" s="28" t="s">
        <v>1</v>
      </c>
      <c r="G72" s="28">
        <v>31</v>
      </c>
      <c r="H72" s="28"/>
      <c r="I72" s="28">
        <v>44</v>
      </c>
      <c r="J72" s="29">
        <v>27</v>
      </c>
    </row>
    <row r="73" spans="1:10" x14ac:dyDescent="0.35">
      <c r="A73" s="26">
        <v>322447</v>
      </c>
      <c r="B73" s="22">
        <v>0</v>
      </c>
      <c r="C73" s="27" t="s">
        <v>361</v>
      </c>
      <c r="D73" s="28">
        <v>2</v>
      </c>
      <c r="E73" s="28" t="s">
        <v>298</v>
      </c>
      <c r="F73" s="28" t="s">
        <v>1</v>
      </c>
      <c r="G73" s="28">
        <v>76.2</v>
      </c>
      <c r="H73" s="28"/>
      <c r="I73" s="28">
        <v>76.2</v>
      </c>
      <c r="J73" s="29">
        <v>16</v>
      </c>
    </row>
    <row r="74" spans="1:10" x14ac:dyDescent="0.35">
      <c r="A74" s="26">
        <v>322448</v>
      </c>
      <c r="B74" s="22">
        <v>0</v>
      </c>
      <c r="C74" s="27" t="s">
        <v>362</v>
      </c>
      <c r="D74" s="28">
        <v>4</v>
      </c>
      <c r="E74" s="28" t="s">
        <v>298</v>
      </c>
      <c r="F74" s="28" t="s">
        <v>1</v>
      </c>
      <c r="G74" s="28">
        <v>40</v>
      </c>
      <c r="H74" s="28"/>
      <c r="I74" s="28">
        <v>40</v>
      </c>
      <c r="J74" s="29">
        <v>23</v>
      </c>
    </row>
    <row r="75" spans="1:10" x14ac:dyDescent="0.35">
      <c r="A75" s="26">
        <v>322449</v>
      </c>
      <c r="B75" s="22">
        <v>0</v>
      </c>
      <c r="C75" s="27" t="s">
        <v>363</v>
      </c>
      <c r="D75" s="28">
        <v>4</v>
      </c>
      <c r="E75" s="28" t="s">
        <v>298</v>
      </c>
      <c r="F75" s="28" t="s">
        <v>1</v>
      </c>
      <c r="G75" s="28">
        <v>44.2</v>
      </c>
      <c r="H75" s="28"/>
      <c r="I75" s="28">
        <v>44.2</v>
      </c>
      <c r="J75" s="29">
        <v>22</v>
      </c>
    </row>
    <row r="76" spans="1:10" x14ac:dyDescent="0.35">
      <c r="A76" s="26">
        <v>322450</v>
      </c>
      <c r="B76" s="22">
        <v>0</v>
      </c>
      <c r="C76" s="27" t="s">
        <v>364</v>
      </c>
      <c r="D76" s="28">
        <v>4</v>
      </c>
      <c r="E76" s="28" t="s">
        <v>298</v>
      </c>
      <c r="F76" s="28" t="s">
        <v>1</v>
      </c>
      <c r="G76" s="28">
        <v>29</v>
      </c>
      <c r="H76" s="28"/>
      <c r="I76" s="28">
        <v>44.5</v>
      </c>
      <c r="J76" s="29">
        <v>25.92</v>
      </c>
    </row>
    <row r="77" spans="1:10" x14ac:dyDescent="0.35">
      <c r="A77" s="26">
        <v>322451</v>
      </c>
      <c r="B77" s="22">
        <v>0</v>
      </c>
      <c r="C77" s="27" t="s">
        <v>40</v>
      </c>
      <c r="D77" s="28">
        <v>4</v>
      </c>
      <c r="E77" s="28" t="s">
        <v>298</v>
      </c>
      <c r="F77" s="28" t="s">
        <v>1</v>
      </c>
      <c r="G77" s="28">
        <v>45.6</v>
      </c>
      <c r="H77" s="28"/>
      <c r="I77" s="28">
        <v>45.6</v>
      </c>
      <c r="J77" s="29">
        <v>29.84</v>
      </c>
    </row>
    <row r="78" spans="1:10" x14ac:dyDescent="0.35">
      <c r="A78" s="26">
        <v>322452</v>
      </c>
      <c r="B78" s="22">
        <v>0</v>
      </c>
      <c r="C78" s="27" t="s">
        <v>365</v>
      </c>
      <c r="D78" s="28">
        <v>4</v>
      </c>
      <c r="E78" s="28" t="s">
        <v>298</v>
      </c>
      <c r="F78" s="28" t="s">
        <v>1</v>
      </c>
      <c r="G78" s="28">
        <v>34.5</v>
      </c>
      <c r="H78" s="28"/>
      <c r="I78" s="28">
        <v>33.11</v>
      </c>
      <c r="J78" s="29">
        <v>22</v>
      </c>
    </row>
    <row r="79" spans="1:10" x14ac:dyDescent="0.35">
      <c r="A79" s="26">
        <v>322453</v>
      </c>
      <c r="B79" s="22">
        <v>0</v>
      </c>
      <c r="C79" s="27" t="s">
        <v>366</v>
      </c>
      <c r="D79" s="28">
        <v>4</v>
      </c>
      <c r="E79" s="28" t="s">
        <v>298</v>
      </c>
      <c r="F79" s="28" t="s">
        <v>1</v>
      </c>
      <c r="G79" s="28">
        <v>34.5</v>
      </c>
      <c r="H79" s="28"/>
      <c r="I79" s="28">
        <v>34.5</v>
      </c>
      <c r="J79" s="29">
        <v>22</v>
      </c>
    </row>
    <row r="80" spans="1:10" x14ac:dyDescent="0.35">
      <c r="A80" s="26">
        <v>322454</v>
      </c>
      <c r="B80" s="22">
        <v>0</v>
      </c>
      <c r="C80" s="27" t="s">
        <v>367</v>
      </c>
      <c r="D80" s="28">
        <v>4</v>
      </c>
      <c r="E80" s="28" t="s">
        <v>298</v>
      </c>
      <c r="F80" s="28" t="s">
        <v>1</v>
      </c>
      <c r="G80" s="28">
        <v>34.5</v>
      </c>
      <c r="H80" s="28"/>
      <c r="I80" s="28">
        <v>34.5</v>
      </c>
      <c r="J80" s="29">
        <v>22</v>
      </c>
    </row>
    <row r="81" spans="1:10" x14ac:dyDescent="0.35">
      <c r="A81" s="26">
        <v>322455</v>
      </c>
      <c r="B81" s="22">
        <v>0</v>
      </c>
      <c r="C81" s="27" t="s">
        <v>368</v>
      </c>
      <c r="D81" s="28">
        <v>4</v>
      </c>
      <c r="E81" s="28" t="s">
        <v>298</v>
      </c>
      <c r="F81" s="28" t="s">
        <v>1</v>
      </c>
      <c r="G81" s="28">
        <v>23.3</v>
      </c>
      <c r="H81" s="28"/>
      <c r="I81" s="28">
        <v>23.3</v>
      </c>
      <c r="J81" s="29">
        <v>21</v>
      </c>
    </row>
    <row r="82" spans="1:10" x14ac:dyDescent="0.35">
      <c r="A82" s="26">
        <v>322456</v>
      </c>
      <c r="B82" s="22">
        <v>0</v>
      </c>
      <c r="C82" s="27" t="s">
        <v>369</v>
      </c>
      <c r="D82" s="28">
        <v>4</v>
      </c>
      <c r="E82" s="28" t="s">
        <v>298</v>
      </c>
      <c r="F82" s="28" t="s">
        <v>1</v>
      </c>
      <c r="G82" s="28">
        <v>26.1</v>
      </c>
      <c r="H82" s="28"/>
      <c r="I82" s="28">
        <v>26.1</v>
      </c>
      <c r="J82" s="29">
        <v>22</v>
      </c>
    </row>
    <row r="83" spans="1:10" x14ac:dyDescent="0.35">
      <c r="A83" s="26">
        <v>322457</v>
      </c>
      <c r="B83" s="22">
        <v>0</v>
      </c>
      <c r="C83" s="27" t="s">
        <v>370</v>
      </c>
      <c r="D83" s="28">
        <v>4</v>
      </c>
      <c r="E83" s="28" t="s">
        <v>298</v>
      </c>
      <c r="F83" s="28" t="s">
        <v>1</v>
      </c>
      <c r="G83" s="28">
        <v>40</v>
      </c>
      <c r="H83" s="28"/>
      <c r="I83" s="28">
        <v>40.47</v>
      </c>
      <c r="J83" s="29">
        <v>26.2</v>
      </c>
    </row>
    <row r="84" spans="1:10" x14ac:dyDescent="0.35">
      <c r="A84" s="26">
        <v>322458</v>
      </c>
      <c r="B84" s="22">
        <v>0</v>
      </c>
      <c r="C84" s="27" t="s">
        <v>371</v>
      </c>
      <c r="D84" s="28">
        <v>4</v>
      </c>
      <c r="E84" s="28" t="s">
        <v>298</v>
      </c>
      <c r="F84" s="28" t="s">
        <v>1</v>
      </c>
      <c r="G84" s="28">
        <v>41.9</v>
      </c>
      <c r="H84" s="28"/>
      <c r="I84" s="28">
        <v>44.23</v>
      </c>
      <c r="J84" s="29">
        <v>24.52</v>
      </c>
    </row>
    <row r="85" spans="1:10" x14ac:dyDescent="0.35">
      <c r="A85" s="26">
        <v>322459</v>
      </c>
      <c r="B85" s="22">
        <v>0</v>
      </c>
      <c r="C85" s="27" t="s">
        <v>372</v>
      </c>
      <c r="D85" s="28">
        <v>4</v>
      </c>
      <c r="E85" s="28" t="s">
        <v>298</v>
      </c>
      <c r="F85" s="28" t="s">
        <v>1</v>
      </c>
      <c r="G85" s="28">
        <v>40.5</v>
      </c>
      <c r="H85" s="28"/>
      <c r="I85" s="28">
        <v>44</v>
      </c>
      <c r="J85" s="29">
        <v>22.5</v>
      </c>
    </row>
    <row r="86" spans="1:10" x14ac:dyDescent="0.35">
      <c r="A86" s="26">
        <v>322461</v>
      </c>
      <c r="B86" s="22">
        <v>0</v>
      </c>
      <c r="C86" s="27" t="s">
        <v>373</v>
      </c>
      <c r="D86" s="28">
        <v>4</v>
      </c>
      <c r="E86" s="28" t="s">
        <v>298</v>
      </c>
      <c r="F86" s="28" t="s">
        <v>1</v>
      </c>
      <c r="G86" s="28">
        <v>34.5</v>
      </c>
      <c r="H86" s="28"/>
      <c r="I86" s="28">
        <v>34</v>
      </c>
      <c r="J86" s="29">
        <v>22</v>
      </c>
    </row>
    <row r="87" spans="1:10" x14ac:dyDescent="0.35">
      <c r="A87" s="26">
        <v>322462</v>
      </c>
      <c r="B87" s="22">
        <v>0</v>
      </c>
      <c r="C87" s="27" t="s">
        <v>374</v>
      </c>
      <c r="D87" s="28">
        <v>4</v>
      </c>
      <c r="E87" s="28" t="s">
        <v>298</v>
      </c>
      <c r="F87" s="28" t="s">
        <v>1</v>
      </c>
      <c r="G87" s="28">
        <v>41.9</v>
      </c>
      <c r="H87" s="28"/>
      <c r="I87" s="28">
        <v>41.9</v>
      </c>
      <c r="J87" s="29">
        <v>22</v>
      </c>
    </row>
    <row r="88" spans="1:10" x14ac:dyDescent="0.35">
      <c r="A88" s="26">
        <v>322463</v>
      </c>
      <c r="B88" s="22">
        <v>0</v>
      </c>
      <c r="C88" s="27" t="s">
        <v>375</v>
      </c>
      <c r="D88" s="28">
        <v>4</v>
      </c>
      <c r="E88" s="28" t="s">
        <v>298</v>
      </c>
      <c r="F88" s="28" t="s">
        <v>1</v>
      </c>
      <c r="G88" s="28">
        <v>40</v>
      </c>
      <c r="H88" s="28"/>
      <c r="I88" s="28">
        <v>40</v>
      </c>
      <c r="J88" s="29">
        <v>22</v>
      </c>
    </row>
    <row r="89" spans="1:10" x14ac:dyDescent="0.35">
      <c r="A89" s="26">
        <v>322464</v>
      </c>
      <c r="B89" s="22">
        <v>0</v>
      </c>
      <c r="C89" s="27" t="s">
        <v>376</v>
      </c>
      <c r="D89" s="28">
        <v>4</v>
      </c>
      <c r="E89" s="28" t="s">
        <v>298</v>
      </c>
      <c r="F89" s="28" t="s">
        <v>1</v>
      </c>
      <c r="G89" s="28">
        <v>34.5</v>
      </c>
      <c r="H89" s="28"/>
      <c r="I89" s="28">
        <v>34.200000000000003</v>
      </c>
      <c r="J89" s="29">
        <v>22</v>
      </c>
    </row>
    <row r="90" spans="1:10" x14ac:dyDescent="0.35">
      <c r="A90" s="26">
        <v>322465</v>
      </c>
      <c r="B90" s="22">
        <v>0</v>
      </c>
      <c r="C90" s="27" t="s">
        <v>377</v>
      </c>
      <c r="D90" s="28">
        <v>4</v>
      </c>
      <c r="E90" s="28" t="s">
        <v>298</v>
      </c>
      <c r="F90" s="28" t="s">
        <v>1</v>
      </c>
      <c r="G90" s="28">
        <v>30.1</v>
      </c>
      <c r="H90" s="28"/>
      <c r="I90" s="28">
        <v>30.1</v>
      </c>
      <c r="J90" s="29">
        <v>24</v>
      </c>
    </row>
    <row r="91" spans="1:10" x14ac:dyDescent="0.35">
      <c r="A91" s="26">
        <v>322466</v>
      </c>
      <c r="B91" s="22">
        <v>0</v>
      </c>
      <c r="C91" s="27" t="s">
        <v>378</v>
      </c>
      <c r="D91" s="28">
        <v>2</v>
      </c>
      <c r="E91" s="28" t="s">
        <v>298</v>
      </c>
      <c r="F91" s="28" t="s">
        <v>1</v>
      </c>
      <c r="G91" s="28">
        <v>74</v>
      </c>
      <c r="H91" s="28"/>
      <c r="I91" s="28">
        <v>74</v>
      </c>
      <c r="J91" s="29">
        <v>33</v>
      </c>
    </row>
    <row r="92" spans="1:10" x14ac:dyDescent="0.35">
      <c r="A92" s="26">
        <v>322467</v>
      </c>
      <c r="B92" s="22">
        <v>0</v>
      </c>
      <c r="C92" s="27" t="s">
        <v>379</v>
      </c>
      <c r="D92" s="28">
        <v>4</v>
      </c>
      <c r="E92" s="28" t="s">
        <v>298</v>
      </c>
      <c r="F92" s="28" t="s">
        <v>1</v>
      </c>
      <c r="G92" s="28">
        <v>44</v>
      </c>
      <c r="H92" s="28"/>
      <c r="I92" s="28">
        <v>33</v>
      </c>
      <c r="J92" s="29">
        <v>16</v>
      </c>
    </row>
    <row r="93" spans="1:10" x14ac:dyDescent="0.35">
      <c r="A93" s="26">
        <v>322468</v>
      </c>
      <c r="B93" s="22">
        <v>0</v>
      </c>
      <c r="C93" s="27" t="s">
        <v>380</v>
      </c>
      <c r="D93" s="28">
        <v>4</v>
      </c>
      <c r="E93" s="28" t="s">
        <v>298</v>
      </c>
      <c r="F93" s="28" t="s">
        <v>1</v>
      </c>
      <c r="G93" s="28">
        <v>43</v>
      </c>
      <c r="H93" s="28"/>
      <c r="I93" s="28">
        <v>43</v>
      </c>
      <c r="J93" s="29">
        <v>24.92</v>
      </c>
    </row>
    <row r="94" spans="1:10" x14ac:dyDescent="0.35">
      <c r="A94" s="26">
        <v>322471</v>
      </c>
      <c r="B94" s="22">
        <v>0</v>
      </c>
      <c r="C94" s="27" t="s">
        <v>381</v>
      </c>
      <c r="D94" s="28">
        <v>4</v>
      </c>
      <c r="E94" s="28" t="s">
        <v>298</v>
      </c>
      <c r="F94" s="28" t="s">
        <v>1</v>
      </c>
      <c r="G94" s="28">
        <v>34.5</v>
      </c>
      <c r="H94" s="28"/>
      <c r="I94" s="28">
        <v>34.5</v>
      </c>
      <c r="J94" s="29">
        <v>22</v>
      </c>
    </row>
    <row r="95" spans="1:10" x14ac:dyDescent="0.35">
      <c r="A95" s="26">
        <v>322474</v>
      </c>
      <c r="B95" s="22">
        <v>0</v>
      </c>
      <c r="C95" s="27" t="s">
        <v>382</v>
      </c>
      <c r="D95" s="28">
        <v>4</v>
      </c>
      <c r="E95" s="28" t="s">
        <v>298</v>
      </c>
      <c r="F95" s="28" t="s">
        <v>1</v>
      </c>
      <c r="G95" s="28">
        <v>44</v>
      </c>
      <c r="H95" s="28"/>
      <c r="I95" s="28">
        <v>44</v>
      </c>
      <c r="J95" s="29">
        <v>28.56</v>
      </c>
    </row>
    <row r="96" spans="1:10" x14ac:dyDescent="0.35">
      <c r="A96" s="26">
        <v>322475</v>
      </c>
      <c r="B96" s="22">
        <v>0</v>
      </c>
      <c r="C96" s="27" t="s">
        <v>383</v>
      </c>
      <c r="D96" s="28">
        <v>4</v>
      </c>
      <c r="E96" s="28" t="s">
        <v>298</v>
      </c>
      <c r="F96" s="28" t="s">
        <v>1</v>
      </c>
      <c r="G96" s="28">
        <v>53</v>
      </c>
      <c r="H96" s="28"/>
      <c r="I96" s="28">
        <v>53</v>
      </c>
      <c r="J96" s="29">
        <v>28</v>
      </c>
    </row>
    <row r="97" spans="1:10" x14ac:dyDescent="0.35">
      <c r="A97" s="26">
        <v>322477</v>
      </c>
      <c r="B97" s="22">
        <v>0</v>
      </c>
      <c r="C97" s="27" t="s">
        <v>384</v>
      </c>
      <c r="D97" s="28">
        <v>4</v>
      </c>
      <c r="E97" s="28" t="s">
        <v>298</v>
      </c>
      <c r="F97" s="28" t="s">
        <v>1</v>
      </c>
      <c r="G97" s="28">
        <v>44</v>
      </c>
      <c r="H97" s="28"/>
      <c r="I97" s="28">
        <v>44</v>
      </c>
      <c r="J97" s="29">
        <v>26</v>
      </c>
    </row>
    <row r="98" spans="1:10" x14ac:dyDescent="0.35">
      <c r="A98" s="26">
        <v>322478</v>
      </c>
      <c r="B98" s="22">
        <v>0</v>
      </c>
      <c r="C98" s="27" t="s">
        <v>385</v>
      </c>
      <c r="D98" s="28">
        <v>4</v>
      </c>
      <c r="E98" s="28" t="s">
        <v>298</v>
      </c>
      <c r="F98" s="28" t="s">
        <v>1</v>
      </c>
      <c r="G98" s="28">
        <v>41.5</v>
      </c>
      <c r="H98" s="28"/>
      <c r="I98" s="28">
        <v>30.5</v>
      </c>
      <c r="J98" s="29">
        <v>24</v>
      </c>
    </row>
    <row r="99" spans="1:10" x14ac:dyDescent="0.35">
      <c r="A99" s="26">
        <v>322482</v>
      </c>
      <c r="B99" s="22">
        <v>0</v>
      </c>
      <c r="C99" s="27" t="s">
        <v>386</v>
      </c>
      <c r="D99" s="28">
        <v>4</v>
      </c>
      <c r="E99" s="28" t="s">
        <v>298</v>
      </c>
      <c r="F99" s="28" t="s">
        <v>1</v>
      </c>
      <c r="G99" s="28">
        <v>51.2</v>
      </c>
      <c r="H99" s="28"/>
      <c r="I99" s="28">
        <v>31</v>
      </c>
      <c r="J99" s="29">
        <v>17.68</v>
      </c>
    </row>
    <row r="100" spans="1:10" x14ac:dyDescent="0.35">
      <c r="A100" s="26">
        <v>322484</v>
      </c>
      <c r="B100" s="22">
        <v>0</v>
      </c>
      <c r="C100" s="27" t="s">
        <v>387</v>
      </c>
      <c r="D100" s="28">
        <v>1</v>
      </c>
      <c r="E100" s="28" t="s">
        <v>298</v>
      </c>
      <c r="F100" s="28" t="s">
        <v>1</v>
      </c>
      <c r="G100" s="28">
        <v>142.6</v>
      </c>
      <c r="H100" s="28"/>
      <c r="I100" s="28">
        <v>24</v>
      </c>
      <c r="J100" s="29">
        <v>9</v>
      </c>
    </row>
    <row r="101" spans="1:10" x14ac:dyDescent="0.35">
      <c r="A101" s="26">
        <v>322485</v>
      </c>
      <c r="B101" s="22">
        <v>0</v>
      </c>
      <c r="C101" s="27" t="s">
        <v>388</v>
      </c>
      <c r="D101" s="28">
        <v>4</v>
      </c>
      <c r="E101" s="28" t="s">
        <v>298</v>
      </c>
      <c r="F101" s="28" t="s">
        <v>1</v>
      </c>
      <c r="G101" s="28">
        <v>23</v>
      </c>
      <c r="H101" s="28"/>
      <c r="I101" s="28">
        <v>29</v>
      </c>
      <c r="J101" s="29">
        <v>17</v>
      </c>
    </row>
    <row r="102" spans="1:10" x14ac:dyDescent="0.35">
      <c r="A102" s="26">
        <v>322486</v>
      </c>
      <c r="B102" s="22">
        <v>0</v>
      </c>
      <c r="C102" s="27" t="s">
        <v>389</v>
      </c>
      <c r="D102" s="28">
        <v>4</v>
      </c>
      <c r="E102" s="28" t="s">
        <v>298</v>
      </c>
      <c r="F102" s="28" t="s">
        <v>1</v>
      </c>
      <c r="G102" s="28">
        <v>27</v>
      </c>
      <c r="H102" s="28"/>
      <c r="I102" s="28">
        <v>16.8</v>
      </c>
      <c r="J102" s="29">
        <v>24</v>
      </c>
    </row>
    <row r="103" spans="1:10" x14ac:dyDescent="0.35">
      <c r="A103" s="26">
        <v>322487</v>
      </c>
      <c r="B103" s="22">
        <v>0</v>
      </c>
      <c r="C103" s="27" t="s">
        <v>390</v>
      </c>
      <c r="D103" s="28">
        <v>4</v>
      </c>
      <c r="E103" s="28" t="s">
        <v>298</v>
      </c>
      <c r="F103" s="28" t="s">
        <v>1</v>
      </c>
      <c r="G103" s="28">
        <v>27</v>
      </c>
      <c r="H103" s="28"/>
      <c r="I103" s="28">
        <v>20.6</v>
      </c>
      <c r="J103" s="29">
        <v>24</v>
      </c>
    </row>
    <row r="104" spans="1:10" x14ac:dyDescent="0.35">
      <c r="A104" s="26">
        <v>322488</v>
      </c>
      <c r="B104" s="22">
        <v>0</v>
      </c>
      <c r="C104" s="27" t="s">
        <v>391</v>
      </c>
      <c r="D104" s="28">
        <v>4</v>
      </c>
      <c r="E104" s="28" t="s">
        <v>298</v>
      </c>
      <c r="F104" s="28" t="s">
        <v>1</v>
      </c>
      <c r="G104" s="28">
        <v>22.5</v>
      </c>
      <c r="H104" s="28"/>
      <c r="I104" s="28">
        <v>20.6</v>
      </c>
      <c r="J104" s="29">
        <v>14</v>
      </c>
    </row>
    <row r="105" spans="1:10" x14ac:dyDescent="0.35">
      <c r="A105" s="26">
        <v>322489</v>
      </c>
      <c r="B105" s="22">
        <v>0</v>
      </c>
      <c r="C105" s="27" t="s">
        <v>392</v>
      </c>
      <c r="D105" s="28">
        <v>4</v>
      </c>
      <c r="E105" s="28" t="s">
        <v>298</v>
      </c>
      <c r="F105" s="28" t="s">
        <v>1</v>
      </c>
      <c r="G105" s="28">
        <v>20</v>
      </c>
      <c r="H105" s="28"/>
      <c r="I105" s="28">
        <v>27.5</v>
      </c>
      <c r="J105" s="29">
        <v>14</v>
      </c>
    </row>
    <row r="106" spans="1:10" x14ac:dyDescent="0.35">
      <c r="A106" s="26">
        <v>322490</v>
      </c>
      <c r="B106" s="22">
        <v>0</v>
      </c>
      <c r="C106" s="27" t="s">
        <v>393</v>
      </c>
      <c r="D106" s="28">
        <v>4</v>
      </c>
      <c r="E106" s="28" t="s">
        <v>298</v>
      </c>
      <c r="F106" s="28" t="s">
        <v>1</v>
      </c>
      <c r="G106" s="28">
        <v>23</v>
      </c>
      <c r="H106" s="28"/>
      <c r="I106" s="28">
        <v>23</v>
      </c>
      <c r="J106" s="29">
        <v>18.52</v>
      </c>
    </row>
    <row r="107" spans="1:10" x14ac:dyDescent="0.35">
      <c r="A107" s="26">
        <v>322491</v>
      </c>
      <c r="B107" s="22">
        <v>0</v>
      </c>
      <c r="C107" s="27" t="s">
        <v>394</v>
      </c>
      <c r="D107" s="28">
        <v>4</v>
      </c>
      <c r="E107" s="28" t="s">
        <v>298</v>
      </c>
      <c r="F107" s="28" t="s">
        <v>1</v>
      </c>
      <c r="G107" s="28">
        <v>21</v>
      </c>
      <c r="H107" s="28"/>
      <c r="I107" s="28">
        <v>21</v>
      </c>
      <c r="J107" s="29">
        <v>17</v>
      </c>
    </row>
    <row r="108" spans="1:10" x14ac:dyDescent="0.35">
      <c r="A108" s="26">
        <v>322492</v>
      </c>
      <c r="B108" s="22">
        <v>0</v>
      </c>
      <c r="C108" s="27" t="s">
        <v>395</v>
      </c>
      <c r="D108" s="28">
        <v>4</v>
      </c>
      <c r="E108" s="28" t="s">
        <v>298</v>
      </c>
      <c r="F108" s="28" t="s">
        <v>1</v>
      </c>
      <c r="G108" s="28">
        <v>23</v>
      </c>
      <c r="H108" s="28"/>
      <c r="I108" s="28">
        <v>29</v>
      </c>
      <c r="J108" s="29">
        <v>14.08</v>
      </c>
    </row>
    <row r="109" spans="1:10" x14ac:dyDescent="0.35">
      <c r="A109" s="26">
        <v>322493</v>
      </c>
      <c r="B109" s="22">
        <v>0</v>
      </c>
      <c r="C109" s="27" t="s">
        <v>4</v>
      </c>
      <c r="D109" s="28">
        <v>4</v>
      </c>
      <c r="E109" s="28" t="s">
        <v>298</v>
      </c>
      <c r="F109" s="28" t="s">
        <v>1</v>
      </c>
      <c r="G109" s="28">
        <v>23</v>
      </c>
      <c r="H109" s="28"/>
      <c r="I109" s="28">
        <v>23</v>
      </c>
      <c r="J109" s="29">
        <v>22.5</v>
      </c>
    </row>
    <row r="110" spans="1:10" x14ac:dyDescent="0.35">
      <c r="A110" s="26">
        <v>322494</v>
      </c>
      <c r="B110" s="22">
        <v>0</v>
      </c>
      <c r="C110" s="27" t="s">
        <v>396</v>
      </c>
      <c r="D110" s="28">
        <v>4</v>
      </c>
      <c r="E110" s="28" t="s">
        <v>298</v>
      </c>
      <c r="F110" s="28" t="s">
        <v>1</v>
      </c>
      <c r="G110" s="28">
        <v>29</v>
      </c>
      <c r="H110" s="28"/>
      <c r="I110" s="28">
        <v>29</v>
      </c>
      <c r="J110" s="29">
        <v>14</v>
      </c>
    </row>
    <row r="111" spans="1:10" x14ac:dyDescent="0.35">
      <c r="A111" s="26">
        <v>322495</v>
      </c>
      <c r="B111" s="22">
        <v>0</v>
      </c>
      <c r="C111" s="27" t="s">
        <v>397</v>
      </c>
      <c r="D111" s="28">
        <v>4</v>
      </c>
      <c r="E111" s="28" t="s">
        <v>298</v>
      </c>
      <c r="F111" s="28" t="s">
        <v>1</v>
      </c>
      <c r="G111" s="28">
        <v>24</v>
      </c>
      <c r="H111" s="28"/>
      <c r="I111" s="28">
        <v>24.2</v>
      </c>
      <c r="J111" s="29">
        <v>33</v>
      </c>
    </row>
    <row r="112" spans="1:10" x14ac:dyDescent="0.35">
      <c r="A112" s="26">
        <v>322496</v>
      </c>
      <c r="B112" s="22">
        <v>0</v>
      </c>
      <c r="C112" s="27" t="s">
        <v>398</v>
      </c>
      <c r="D112" s="28">
        <v>4</v>
      </c>
      <c r="E112" s="28" t="s">
        <v>298</v>
      </c>
      <c r="F112" s="28" t="s">
        <v>1</v>
      </c>
      <c r="G112" s="28">
        <v>28.9</v>
      </c>
      <c r="H112" s="28"/>
      <c r="I112" s="28">
        <v>28.9</v>
      </c>
      <c r="J112" s="29">
        <v>21.52</v>
      </c>
    </row>
    <row r="113" spans="1:10" x14ac:dyDescent="0.35">
      <c r="A113" s="26">
        <v>322497</v>
      </c>
      <c r="B113" s="22">
        <v>0</v>
      </c>
      <c r="C113" s="27" t="s">
        <v>399</v>
      </c>
      <c r="D113" s="28">
        <v>4</v>
      </c>
      <c r="E113" s="28" t="s">
        <v>298</v>
      </c>
      <c r="F113" s="28" t="s">
        <v>1</v>
      </c>
      <c r="G113" s="28">
        <v>23</v>
      </c>
      <c r="H113" s="28"/>
      <c r="I113" s="28">
        <v>23.09</v>
      </c>
      <c r="J113" s="29">
        <v>24.28</v>
      </c>
    </row>
    <row r="114" spans="1:10" x14ac:dyDescent="0.35">
      <c r="A114" s="26">
        <v>322499</v>
      </c>
      <c r="B114" s="22">
        <v>0</v>
      </c>
      <c r="C114" s="27" t="s">
        <v>400</v>
      </c>
      <c r="D114" s="28">
        <v>4</v>
      </c>
      <c r="E114" s="28" t="s">
        <v>298</v>
      </c>
      <c r="F114" s="28" t="s">
        <v>1</v>
      </c>
      <c r="G114" s="28">
        <v>23</v>
      </c>
      <c r="H114" s="28"/>
      <c r="I114" s="28">
        <v>23</v>
      </c>
      <c r="J114" s="29">
        <v>27.64</v>
      </c>
    </row>
    <row r="115" spans="1:10" x14ac:dyDescent="0.35">
      <c r="A115" s="26">
        <v>322500</v>
      </c>
      <c r="B115" s="22">
        <v>0</v>
      </c>
      <c r="C115" s="27" t="s">
        <v>401</v>
      </c>
      <c r="D115" s="28">
        <v>4</v>
      </c>
      <c r="E115" s="28" t="s">
        <v>298</v>
      </c>
      <c r="F115" s="28" t="s">
        <v>1</v>
      </c>
      <c r="G115" s="28">
        <v>20</v>
      </c>
      <c r="H115" s="28"/>
      <c r="I115" s="28">
        <v>29.15</v>
      </c>
      <c r="J115" s="29">
        <v>21.56</v>
      </c>
    </row>
    <row r="116" spans="1:10" x14ac:dyDescent="0.35">
      <c r="A116" s="26">
        <v>322501</v>
      </c>
      <c r="B116" s="22">
        <v>0</v>
      </c>
      <c r="C116" s="27" t="s">
        <v>402</v>
      </c>
      <c r="D116" s="28">
        <v>4</v>
      </c>
      <c r="E116" s="28" t="s">
        <v>298</v>
      </c>
      <c r="F116" s="28" t="s">
        <v>1</v>
      </c>
      <c r="G116" s="28">
        <v>22.8</v>
      </c>
      <c r="H116" s="28"/>
      <c r="I116" s="28">
        <v>23.3</v>
      </c>
      <c r="J116" s="29">
        <v>27.64</v>
      </c>
    </row>
    <row r="117" spans="1:10" x14ac:dyDescent="0.35">
      <c r="A117" s="26">
        <v>322502</v>
      </c>
      <c r="B117" s="22">
        <v>0</v>
      </c>
      <c r="C117" s="27" t="s">
        <v>403</v>
      </c>
      <c r="D117" s="28">
        <v>4</v>
      </c>
      <c r="E117" s="28" t="s">
        <v>298</v>
      </c>
      <c r="F117" s="28" t="s">
        <v>1</v>
      </c>
      <c r="G117" s="28">
        <v>24</v>
      </c>
      <c r="H117" s="28"/>
      <c r="I117" s="28">
        <v>48</v>
      </c>
      <c r="J117" s="29">
        <v>18.52</v>
      </c>
    </row>
    <row r="118" spans="1:10" x14ac:dyDescent="0.35">
      <c r="A118" s="26">
        <v>322503</v>
      </c>
      <c r="B118" s="22">
        <v>0</v>
      </c>
      <c r="C118" s="27" t="s">
        <v>404</v>
      </c>
      <c r="D118" s="28">
        <v>4</v>
      </c>
      <c r="E118" s="28" t="s">
        <v>298</v>
      </c>
      <c r="F118" s="28" t="s">
        <v>1</v>
      </c>
      <c r="G118" s="28">
        <v>44</v>
      </c>
      <c r="H118" s="28"/>
      <c r="I118" s="28">
        <v>44</v>
      </c>
      <c r="J118" s="29">
        <v>28.88</v>
      </c>
    </row>
    <row r="119" spans="1:10" x14ac:dyDescent="0.35">
      <c r="A119" s="26">
        <v>322504</v>
      </c>
      <c r="B119" s="22">
        <v>0</v>
      </c>
      <c r="C119" s="27" t="s">
        <v>405</v>
      </c>
      <c r="D119" s="28">
        <v>4</v>
      </c>
      <c r="E119" s="28" t="s">
        <v>298</v>
      </c>
      <c r="F119" s="28" t="s">
        <v>1</v>
      </c>
      <c r="G119" s="28">
        <v>22.8</v>
      </c>
      <c r="H119" s="28"/>
      <c r="I119" s="28">
        <v>22.8</v>
      </c>
      <c r="J119" s="29">
        <v>29</v>
      </c>
    </row>
    <row r="120" spans="1:10" x14ac:dyDescent="0.35">
      <c r="A120" s="26">
        <v>322505</v>
      </c>
      <c r="B120" s="22">
        <v>0</v>
      </c>
      <c r="C120" s="27" t="s">
        <v>406</v>
      </c>
      <c r="D120" s="28">
        <v>4</v>
      </c>
      <c r="E120" s="28" t="s">
        <v>298</v>
      </c>
      <c r="F120" s="28" t="s">
        <v>1</v>
      </c>
      <c r="G120" s="28">
        <v>27</v>
      </c>
      <c r="H120" s="28"/>
      <c r="I120" s="28">
        <v>31</v>
      </c>
      <c r="J120" s="29">
        <v>27.96</v>
      </c>
    </row>
    <row r="121" spans="1:10" x14ac:dyDescent="0.35">
      <c r="A121" s="26">
        <v>322506</v>
      </c>
      <c r="B121" s="22">
        <v>0</v>
      </c>
      <c r="C121" s="27" t="s">
        <v>407</v>
      </c>
      <c r="D121" s="28">
        <v>4</v>
      </c>
      <c r="E121" s="28" t="s">
        <v>298</v>
      </c>
      <c r="F121" s="28" t="s">
        <v>1</v>
      </c>
      <c r="G121" s="28">
        <v>32</v>
      </c>
      <c r="H121" s="28"/>
      <c r="I121" s="28">
        <v>32</v>
      </c>
      <c r="J121" s="29">
        <v>25.64</v>
      </c>
    </row>
    <row r="122" spans="1:10" x14ac:dyDescent="0.35">
      <c r="A122" s="26">
        <v>322507</v>
      </c>
      <c r="B122" s="22">
        <v>0</v>
      </c>
      <c r="C122" s="27" t="s">
        <v>408</v>
      </c>
      <c r="D122" s="28">
        <v>4</v>
      </c>
      <c r="E122" s="28" t="s">
        <v>298</v>
      </c>
      <c r="F122" s="28" t="s">
        <v>1</v>
      </c>
      <c r="G122" s="28">
        <v>27</v>
      </c>
      <c r="H122" s="28"/>
      <c r="I122" s="28">
        <v>31</v>
      </c>
      <c r="J122" s="29">
        <v>26.96</v>
      </c>
    </row>
    <row r="123" spans="1:10" x14ac:dyDescent="0.35">
      <c r="A123" s="26">
        <v>322508</v>
      </c>
      <c r="B123" s="22">
        <v>0</v>
      </c>
      <c r="C123" s="27" t="s">
        <v>409</v>
      </c>
      <c r="D123" s="28">
        <v>4</v>
      </c>
      <c r="E123" s="28" t="s">
        <v>298</v>
      </c>
      <c r="F123" s="28" t="s">
        <v>1</v>
      </c>
      <c r="G123" s="28">
        <v>23</v>
      </c>
      <c r="H123" s="28"/>
      <c r="I123" s="28">
        <v>32</v>
      </c>
      <c r="J123" s="29">
        <v>27</v>
      </c>
    </row>
    <row r="124" spans="1:10" x14ac:dyDescent="0.35">
      <c r="A124" s="26">
        <v>322509</v>
      </c>
      <c r="B124" s="22">
        <v>0</v>
      </c>
      <c r="C124" s="27" t="s">
        <v>410</v>
      </c>
      <c r="D124" s="28">
        <v>4</v>
      </c>
      <c r="E124" s="28" t="s">
        <v>298</v>
      </c>
      <c r="F124" s="28" t="s">
        <v>1</v>
      </c>
      <c r="G124" s="28">
        <v>32</v>
      </c>
      <c r="H124" s="28"/>
      <c r="I124" s="28">
        <v>32</v>
      </c>
      <c r="J124" s="29">
        <v>25.92</v>
      </c>
    </row>
    <row r="125" spans="1:10" x14ac:dyDescent="0.35">
      <c r="A125" s="26">
        <v>322511</v>
      </c>
      <c r="B125" s="22">
        <v>0</v>
      </c>
      <c r="C125" s="27" t="s">
        <v>411</v>
      </c>
      <c r="D125" s="28">
        <v>4</v>
      </c>
      <c r="E125" s="28" t="s">
        <v>298</v>
      </c>
      <c r="F125" s="28" t="s">
        <v>1</v>
      </c>
      <c r="G125" s="28">
        <v>44.8</v>
      </c>
      <c r="H125" s="28"/>
      <c r="I125" s="28">
        <v>44.8</v>
      </c>
      <c r="J125" s="29">
        <v>23.6</v>
      </c>
    </row>
    <row r="126" spans="1:10" x14ac:dyDescent="0.35">
      <c r="A126" s="26">
        <v>322512</v>
      </c>
      <c r="B126" s="22">
        <v>0</v>
      </c>
      <c r="C126" s="27" t="s">
        <v>412</v>
      </c>
      <c r="D126" s="28">
        <v>4</v>
      </c>
      <c r="E126" s="28" t="s">
        <v>298</v>
      </c>
      <c r="F126" s="28" t="s">
        <v>1</v>
      </c>
      <c r="G126" s="28">
        <v>48.4</v>
      </c>
      <c r="H126" s="28"/>
      <c r="I126" s="28">
        <v>48.4</v>
      </c>
      <c r="J126" s="29">
        <v>23</v>
      </c>
    </row>
    <row r="127" spans="1:10" x14ac:dyDescent="0.35">
      <c r="A127" s="26">
        <v>322514</v>
      </c>
      <c r="B127" s="22">
        <v>0</v>
      </c>
      <c r="C127" s="27" t="s">
        <v>413</v>
      </c>
      <c r="D127" s="28">
        <v>4</v>
      </c>
      <c r="E127" s="28" t="s">
        <v>298</v>
      </c>
      <c r="F127" s="28" t="s">
        <v>1</v>
      </c>
      <c r="G127" s="28">
        <v>37.700000000000003</v>
      </c>
      <c r="H127" s="28"/>
      <c r="I127" s="28">
        <v>45.39</v>
      </c>
      <c r="J127" s="29">
        <v>30</v>
      </c>
    </row>
    <row r="128" spans="1:10" x14ac:dyDescent="0.35">
      <c r="A128" s="26">
        <v>322515</v>
      </c>
      <c r="B128" s="22">
        <v>0</v>
      </c>
      <c r="C128" s="27" t="s">
        <v>414</v>
      </c>
      <c r="D128" s="28">
        <v>2</v>
      </c>
      <c r="E128" s="28" t="s">
        <v>298</v>
      </c>
      <c r="F128" s="28" t="s">
        <v>1</v>
      </c>
      <c r="G128" s="28">
        <v>73.400000000000006</v>
      </c>
      <c r="H128" s="28"/>
      <c r="I128" s="28">
        <v>26.78</v>
      </c>
      <c r="J128" s="29">
        <v>15</v>
      </c>
    </row>
    <row r="129" spans="1:10" x14ac:dyDescent="0.35">
      <c r="A129" s="26">
        <v>322516</v>
      </c>
      <c r="B129" s="22">
        <v>0</v>
      </c>
      <c r="C129" s="27" t="s">
        <v>415</v>
      </c>
      <c r="D129" s="28">
        <v>4</v>
      </c>
      <c r="E129" s="28" t="s">
        <v>298</v>
      </c>
      <c r="F129" s="28" t="s">
        <v>1</v>
      </c>
      <c r="G129" s="28">
        <v>56.9</v>
      </c>
      <c r="H129" s="28"/>
      <c r="I129" s="28">
        <v>45.2</v>
      </c>
      <c r="J129" s="29">
        <v>23.24</v>
      </c>
    </row>
    <row r="130" spans="1:10" x14ac:dyDescent="0.35">
      <c r="A130" s="26">
        <v>322517</v>
      </c>
      <c r="B130" s="22">
        <v>0</v>
      </c>
      <c r="C130" s="27" t="s">
        <v>416</v>
      </c>
      <c r="D130" s="28">
        <v>4</v>
      </c>
      <c r="E130" s="28" t="s">
        <v>298</v>
      </c>
      <c r="F130" s="28" t="s">
        <v>1</v>
      </c>
      <c r="G130" s="28">
        <v>45.3</v>
      </c>
      <c r="H130" s="28"/>
      <c r="I130" s="28">
        <v>45.3</v>
      </c>
      <c r="J130" s="29">
        <v>25.88</v>
      </c>
    </row>
    <row r="131" spans="1:10" x14ac:dyDescent="0.35">
      <c r="A131" s="26">
        <v>322520</v>
      </c>
      <c r="B131" s="22">
        <v>0</v>
      </c>
      <c r="C131" s="27" t="s">
        <v>417</v>
      </c>
      <c r="D131" s="28">
        <v>4</v>
      </c>
      <c r="E131" s="28" t="s">
        <v>298</v>
      </c>
      <c r="F131" s="28" t="s">
        <v>12</v>
      </c>
      <c r="G131" s="28">
        <v>55</v>
      </c>
      <c r="H131" s="28"/>
      <c r="I131" s="28">
        <v>55</v>
      </c>
      <c r="J131" s="29">
        <v>30</v>
      </c>
    </row>
    <row r="132" spans="1:10" x14ac:dyDescent="0.35">
      <c r="A132" s="26">
        <v>322521</v>
      </c>
      <c r="B132" s="22">
        <v>0</v>
      </c>
      <c r="C132" s="27" t="s">
        <v>418</v>
      </c>
      <c r="D132" s="28">
        <v>4</v>
      </c>
      <c r="E132" s="28" t="s">
        <v>298</v>
      </c>
      <c r="F132" s="28" t="s">
        <v>1</v>
      </c>
      <c r="G132" s="28">
        <v>55</v>
      </c>
      <c r="H132" s="28"/>
      <c r="I132" s="28">
        <v>56.95</v>
      </c>
      <c r="J132" s="29">
        <v>27.52</v>
      </c>
    </row>
    <row r="133" spans="1:10" x14ac:dyDescent="0.35">
      <c r="A133" s="26">
        <v>322522</v>
      </c>
      <c r="B133" s="22">
        <v>0</v>
      </c>
      <c r="C133" s="27" t="s">
        <v>419</v>
      </c>
      <c r="D133" s="28">
        <v>4</v>
      </c>
      <c r="E133" s="28" t="s">
        <v>298</v>
      </c>
      <c r="F133" s="28" t="s">
        <v>1</v>
      </c>
      <c r="G133" s="28">
        <v>45.2</v>
      </c>
      <c r="H133" s="28"/>
      <c r="I133" s="28">
        <v>45.33</v>
      </c>
      <c r="J133" s="29">
        <v>25</v>
      </c>
    </row>
    <row r="134" spans="1:10" x14ac:dyDescent="0.35">
      <c r="A134" s="26">
        <v>322523</v>
      </c>
      <c r="B134" s="22">
        <v>0</v>
      </c>
      <c r="C134" s="27" t="s">
        <v>420</v>
      </c>
      <c r="D134" s="28">
        <v>4</v>
      </c>
      <c r="E134" s="28" t="s">
        <v>298</v>
      </c>
      <c r="F134" s="28" t="s">
        <v>1</v>
      </c>
      <c r="G134" s="28">
        <v>47.9</v>
      </c>
      <c r="H134" s="28"/>
      <c r="I134" s="28">
        <v>56.9</v>
      </c>
      <c r="J134" s="29">
        <v>30.36</v>
      </c>
    </row>
    <row r="135" spans="1:10" x14ac:dyDescent="0.35">
      <c r="A135" s="26">
        <v>322525</v>
      </c>
      <c r="B135" s="22">
        <v>0</v>
      </c>
      <c r="C135" s="27" t="s">
        <v>421</v>
      </c>
      <c r="D135" s="28">
        <v>4</v>
      </c>
      <c r="E135" s="28" t="s">
        <v>298</v>
      </c>
      <c r="F135" s="28" t="s">
        <v>1</v>
      </c>
      <c r="G135" s="28">
        <v>45</v>
      </c>
      <c r="H135" s="28"/>
      <c r="I135" s="28">
        <v>45</v>
      </c>
      <c r="J135" s="29">
        <v>27</v>
      </c>
    </row>
    <row r="136" spans="1:10" x14ac:dyDescent="0.35">
      <c r="A136" s="26">
        <v>322527</v>
      </c>
      <c r="B136" s="22">
        <v>0</v>
      </c>
      <c r="C136" s="27" t="s">
        <v>422</v>
      </c>
      <c r="D136" s="28">
        <v>4</v>
      </c>
      <c r="E136" s="28" t="s">
        <v>298</v>
      </c>
      <c r="F136" s="28" t="s">
        <v>1</v>
      </c>
      <c r="G136" s="28">
        <v>45.3</v>
      </c>
      <c r="H136" s="28"/>
      <c r="I136" s="28">
        <v>44.5</v>
      </c>
      <c r="J136" s="29">
        <v>30.12</v>
      </c>
    </row>
    <row r="137" spans="1:10" x14ac:dyDescent="0.35">
      <c r="A137" s="26">
        <v>322528</v>
      </c>
      <c r="B137" s="22">
        <v>0</v>
      </c>
      <c r="C137" s="27" t="s">
        <v>423</v>
      </c>
      <c r="D137" s="28">
        <v>4</v>
      </c>
      <c r="E137" s="28" t="s">
        <v>298</v>
      </c>
      <c r="F137" s="28" t="s">
        <v>1</v>
      </c>
      <c r="G137" s="28">
        <v>44.2</v>
      </c>
      <c r="H137" s="28"/>
      <c r="I137" s="28">
        <v>44.2</v>
      </c>
      <c r="J137" s="29">
        <v>25</v>
      </c>
    </row>
    <row r="138" spans="1:10" x14ac:dyDescent="0.35">
      <c r="A138" s="26">
        <v>322529</v>
      </c>
      <c r="B138" s="22">
        <v>0</v>
      </c>
      <c r="C138" s="27" t="s">
        <v>424</v>
      </c>
      <c r="D138" s="28">
        <v>4</v>
      </c>
      <c r="E138" s="28" t="s">
        <v>298</v>
      </c>
      <c r="F138" s="28" t="s">
        <v>1</v>
      </c>
      <c r="G138" s="28">
        <v>45</v>
      </c>
      <c r="H138" s="28"/>
      <c r="I138" s="28">
        <v>55.02</v>
      </c>
      <c r="J138" s="29">
        <v>27.92</v>
      </c>
    </row>
    <row r="139" spans="1:10" x14ac:dyDescent="0.35">
      <c r="A139" s="26">
        <v>322530</v>
      </c>
      <c r="B139" s="22">
        <v>0</v>
      </c>
      <c r="C139" s="27" t="s">
        <v>425</v>
      </c>
      <c r="D139" s="28">
        <v>4</v>
      </c>
      <c r="E139" s="28" t="s">
        <v>298</v>
      </c>
      <c r="F139" s="28" t="s">
        <v>1</v>
      </c>
      <c r="G139" s="28">
        <v>44.2</v>
      </c>
      <c r="H139" s="28"/>
      <c r="I139" s="28">
        <v>43</v>
      </c>
      <c r="J139" s="29">
        <v>28</v>
      </c>
    </row>
    <row r="140" spans="1:10" x14ac:dyDescent="0.35">
      <c r="A140" s="26">
        <v>322531</v>
      </c>
      <c r="B140" s="22">
        <v>0</v>
      </c>
      <c r="C140" s="27" t="s">
        <v>426</v>
      </c>
      <c r="D140" s="28">
        <v>4</v>
      </c>
      <c r="E140" s="28" t="s">
        <v>298</v>
      </c>
      <c r="F140" s="28" t="s">
        <v>12</v>
      </c>
      <c r="G140" s="28">
        <v>57</v>
      </c>
      <c r="H140" s="28"/>
      <c r="I140" s="28">
        <v>77</v>
      </c>
      <c r="J140" s="29">
        <v>29</v>
      </c>
    </row>
    <row r="141" spans="1:10" x14ac:dyDescent="0.35">
      <c r="A141" s="26">
        <v>322534</v>
      </c>
      <c r="B141" s="22">
        <v>0</v>
      </c>
      <c r="C141" s="27" t="s">
        <v>427</v>
      </c>
      <c r="D141" s="28">
        <v>4</v>
      </c>
      <c r="E141" s="28" t="s">
        <v>298</v>
      </c>
      <c r="F141" s="28" t="s">
        <v>1</v>
      </c>
      <c r="G141" s="28">
        <v>35</v>
      </c>
      <c r="H141" s="28"/>
      <c r="I141" s="28">
        <v>56.94</v>
      </c>
      <c r="J141" s="29">
        <v>23.24</v>
      </c>
    </row>
    <row r="142" spans="1:10" x14ac:dyDescent="0.35">
      <c r="A142" s="26">
        <v>322535</v>
      </c>
      <c r="B142" s="22">
        <v>0</v>
      </c>
      <c r="C142" s="27" t="s">
        <v>428</v>
      </c>
      <c r="D142" s="28">
        <v>8</v>
      </c>
      <c r="E142" s="28" t="s">
        <v>429</v>
      </c>
      <c r="F142" s="28" t="s">
        <v>430</v>
      </c>
      <c r="G142" s="28">
        <v>11.39</v>
      </c>
      <c r="H142" s="28"/>
      <c r="I142" s="28">
        <v>11</v>
      </c>
      <c r="J142" s="29">
        <v>30</v>
      </c>
    </row>
    <row r="143" spans="1:10" x14ac:dyDescent="0.35">
      <c r="A143" s="26">
        <v>322537</v>
      </c>
      <c r="B143" s="22">
        <v>0</v>
      </c>
      <c r="C143" s="27" t="s">
        <v>431</v>
      </c>
      <c r="D143" s="28">
        <v>8</v>
      </c>
      <c r="E143" s="28" t="s">
        <v>429</v>
      </c>
      <c r="F143" s="28" t="s">
        <v>430</v>
      </c>
      <c r="G143" s="28">
        <v>11.39</v>
      </c>
      <c r="H143" s="28"/>
      <c r="I143" s="28">
        <v>11</v>
      </c>
      <c r="J143" s="29">
        <v>33</v>
      </c>
    </row>
    <row r="144" spans="1:10" x14ac:dyDescent="0.35">
      <c r="A144" s="26">
        <v>322538</v>
      </c>
      <c r="B144" s="22">
        <v>0</v>
      </c>
      <c r="C144" s="27" t="s">
        <v>432</v>
      </c>
      <c r="D144" s="28">
        <v>2</v>
      </c>
      <c r="E144" s="28" t="s">
        <v>298</v>
      </c>
      <c r="F144" s="28" t="s">
        <v>1</v>
      </c>
      <c r="G144" s="28">
        <v>75</v>
      </c>
      <c r="H144" s="28"/>
      <c r="I144" s="28">
        <v>75</v>
      </c>
      <c r="J144" s="29">
        <v>31.94</v>
      </c>
    </row>
    <row r="145" spans="1:10" x14ac:dyDescent="0.35">
      <c r="A145" s="26">
        <v>322540</v>
      </c>
      <c r="B145" s="22">
        <v>0</v>
      </c>
      <c r="C145" s="27" t="s">
        <v>433</v>
      </c>
      <c r="D145" s="28">
        <v>8</v>
      </c>
      <c r="E145" s="28" t="s">
        <v>429</v>
      </c>
      <c r="F145" s="28" t="s">
        <v>430</v>
      </c>
      <c r="G145" s="28">
        <v>11.39</v>
      </c>
      <c r="H145" s="28"/>
      <c r="I145" s="28">
        <v>11</v>
      </c>
      <c r="J145" s="29">
        <v>33</v>
      </c>
    </row>
    <row r="146" spans="1:10" x14ac:dyDescent="0.35">
      <c r="A146" s="26">
        <v>322541</v>
      </c>
      <c r="B146" s="22">
        <v>0</v>
      </c>
      <c r="C146" s="27" t="s">
        <v>434</v>
      </c>
      <c r="D146" s="28">
        <v>4</v>
      </c>
      <c r="E146" s="28" t="s">
        <v>298</v>
      </c>
      <c r="F146" s="28" t="s">
        <v>1</v>
      </c>
      <c r="G146" s="28">
        <v>77.900000000000006</v>
      </c>
      <c r="H146" s="28"/>
      <c r="I146" s="28">
        <v>77.900000000000006</v>
      </c>
      <c r="J146" s="29">
        <v>36</v>
      </c>
    </row>
    <row r="147" spans="1:10" x14ac:dyDescent="0.35">
      <c r="A147" s="26">
        <v>322542</v>
      </c>
      <c r="B147" s="22">
        <v>0</v>
      </c>
      <c r="C147" s="27" t="s">
        <v>435</v>
      </c>
      <c r="D147" s="28">
        <v>8</v>
      </c>
      <c r="E147" s="28" t="s">
        <v>429</v>
      </c>
      <c r="F147" s="28" t="s">
        <v>430</v>
      </c>
      <c r="G147" s="28">
        <v>11.39</v>
      </c>
      <c r="H147" s="28"/>
      <c r="I147" s="28">
        <v>11</v>
      </c>
      <c r="J147" s="29">
        <v>33</v>
      </c>
    </row>
    <row r="148" spans="1:10" x14ac:dyDescent="0.35">
      <c r="A148" s="26">
        <v>322547</v>
      </c>
      <c r="B148" s="22">
        <v>0</v>
      </c>
      <c r="C148" s="27" t="s">
        <v>436</v>
      </c>
      <c r="D148" s="28">
        <v>4</v>
      </c>
      <c r="E148" s="28" t="s">
        <v>298</v>
      </c>
      <c r="F148" s="28" t="s">
        <v>1</v>
      </c>
      <c r="G148" s="28">
        <v>77</v>
      </c>
      <c r="H148" s="28"/>
      <c r="I148" s="28">
        <v>77</v>
      </c>
      <c r="J148" s="29">
        <v>36</v>
      </c>
    </row>
    <row r="149" spans="1:10" x14ac:dyDescent="0.35">
      <c r="A149" s="26">
        <v>322548</v>
      </c>
      <c r="B149" s="22">
        <v>0</v>
      </c>
      <c r="C149" s="27" t="s">
        <v>437</v>
      </c>
      <c r="D149" s="28">
        <v>4</v>
      </c>
      <c r="E149" s="28" t="s">
        <v>298</v>
      </c>
      <c r="F149" s="28" t="s">
        <v>1</v>
      </c>
      <c r="G149" s="28">
        <v>77</v>
      </c>
      <c r="H149" s="28"/>
      <c r="I149" s="28">
        <v>15.31</v>
      </c>
      <c r="J149" s="29">
        <v>38.92</v>
      </c>
    </row>
    <row r="150" spans="1:10" x14ac:dyDescent="0.35">
      <c r="A150" s="26">
        <v>322550</v>
      </c>
      <c r="B150" s="22">
        <v>0</v>
      </c>
      <c r="C150" s="27" t="s">
        <v>438</v>
      </c>
      <c r="D150" s="28">
        <v>2</v>
      </c>
      <c r="E150" s="28" t="s">
        <v>298</v>
      </c>
      <c r="F150" s="28" t="s">
        <v>1</v>
      </c>
      <c r="G150" s="28">
        <v>74</v>
      </c>
      <c r="H150" s="28"/>
      <c r="I150" s="28">
        <v>74</v>
      </c>
      <c r="J150" s="29">
        <v>30</v>
      </c>
    </row>
    <row r="151" spans="1:10" x14ac:dyDescent="0.35">
      <c r="A151" s="26">
        <v>322551</v>
      </c>
      <c r="B151" s="22">
        <v>0</v>
      </c>
      <c r="C151" s="27" t="s">
        <v>439</v>
      </c>
      <c r="D151" s="28">
        <v>8</v>
      </c>
      <c r="E151" s="28" t="s">
        <v>429</v>
      </c>
      <c r="F151" s="28" t="s">
        <v>440</v>
      </c>
      <c r="G151" s="28">
        <v>3.7</v>
      </c>
      <c r="H151" s="28"/>
      <c r="I151" s="28">
        <v>3.7</v>
      </c>
      <c r="J151" s="29">
        <v>17.600000000000001</v>
      </c>
    </row>
    <row r="152" spans="1:10" x14ac:dyDescent="0.35">
      <c r="A152" s="26">
        <v>322552</v>
      </c>
      <c r="B152" s="22">
        <v>0</v>
      </c>
      <c r="C152" s="27" t="s">
        <v>441</v>
      </c>
      <c r="D152" s="28">
        <v>4</v>
      </c>
      <c r="E152" s="28" t="s">
        <v>429</v>
      </c>
      <c r="F152" s="28" t="s">
        <v>440</v>
      </c>
      <c r="G152" s="28">
        <v>7.3000000000000007</v>
      </c>
      <c r="H152" s="28"/>
      <c r="I152" s="28">
        <v>7</v>
      </c>
      <c r="J152" s="29">
        <v>15.3</v>
      </c>
    </row>
    <row r="153" spans="1:10" x14ac:dyDescent="0.35">
      <c r="A153" s="26">
        <v>322553</v>
      </c>
      <c r="B153" s="22">
        <v>0</v>
      </c>
      <c r="C153" s="27" t="s">
        <v>442</v>
      </c>
      <c r="D153" s="28">
        <v>8</v>
      </c>
      <c r="E153" s="28" t="s">
        <v>429</v>
      </c>
      <c r="F153" s="28" t="s">
        <v>440</v>
      </c>
      <c r="G153" s="28">
        <v>3.87</v>
      </c>
      <c r="H153" s="28"/>
      <c r="I153" s="28">
        <v>4</v>
      </c>
      <c r="J153" s="29">
        <v>17.600000000000001</v>
      </c>
    </row>
    <row r="154" spans="1:10" x14ac:dyDescent="0.35">
      <c r="A154" s="26">
        <v>322556</v>
      </c>
      <c r="B154" s="22">
        <v>0</v>
      </c>
      <c r="C154" s="27" t="s">
        <v>443</v>
      </c>
      <c r="D154" s="28">
        <v>4</v>
      </c>
      <c r="E154" s="28" t="s">
        <v>298</v>
      </c>
      <c r="F154" s="28" t="s">
        <v>1</v>
      </c>
      <c r="G154" s="28">
        <v>48.9</v>
      </c>
      <c r="H154" s="28"/>
      <c r="I154" s="28">
        <v>48.5</v>
      </c>
      <c r="J154" s="29">
        <v>27.6</v>
      </c>
    </row>
    <row r="155" spans="1:10" x14ac:dyDescent="0.35">
      <c r="A155" s="26">
        <v>322557</v>
      </c>
      <c r="B155" s="22">
        <v>0</v>
      </c>
      <c r="C155" s="27" t="s">
        <v>444</v>
      </c>
      <c r="D155" s="28">
        <v>4</v>
      </c>
      <c r="E155" s="28" t="s">
        <v>429</v>
      </c>
      <c r="F155" s="28" t="s">
        <v>440</v>
      </c>
      <c r="G155" s="28">
        <v>10.3</v>
      </c>
      <c r="H155" s="28"/>
      <c r="I155" s="28">
        <v>7.2</v>
      </c>
      <c r="J155" s="29">
        <v>15.3</v>
      </c>
    </row>
    <row r="156" spans="1:10" x14ac:dyDescent="0.35">
      <c r="A156" s="26">
        <v>322558</v>
      </c>
      <c r="B156" s="22">
        <v>0</v>
      </c>
      <c r="C156" s="27" t="s">
        <v>445</v>
      </c>
      <c r="D156" s="28">
        <v>8</v>
      </c>
      <c r="E156" s="28" t="s">
        <v>429</v>
      </c>
      <c r="F156" s="28" t="s">
        <v>440</v>
      </c>
      <c r="G156" s="28">
        <v>3.75</v>
      </c>
      <c r="H156" s="28"/>
      <c r="I156" s="28">
        <v>4</v>
      </c>
      <c r="J156" s="29">
        <v>17.600000000000001</v>
      </c>
    </row>
    <row r="157" spans="1:10" x14ac:dyDescent="0.35">
      <c r="A157" s="26">
        <v>322559</v>
      </c>
      <c r="B157" s="22">
        <v>0</v>
      </c>
      <c r="C157" s="27" t="s">
        <v>446</v>
      </c>
      <c r="D157" s="28">
        <v>2</v>
      </c>
      <c r="E157" s="28" t="s">
        <v>298</v>
      </c>
      <c r="F157" s="28" t="s">
        <v>1</v>
      </c>
      <c r="G157" s="28">
        <v>74.2</v>
      </c>
      <c r="H157" s="28"/>
      <c r="I157" s="28">
        <v>73.39</v>
      </c>
      <c r="J157" s="29">
        <v>31.94</v>
      </c>
    </row>
    <row r="158" spans="1:10" x14ac:dyDescent="0.35">
      <c r="A158" s="26">
        <v>322560</v>
      </c>
      <c r="B158" s="22">
        <v>0</v>
      </c>
      <c r="C158" s="27" t="s">
        <v>447</v>
      </c>
      <c r="D158" s="28">
        <v>8</v>
      </c>
      <c r="E158" s="28" t="s">
        <v>429</v>
      </c>
      <c r="F158" s="28" t="s">
        <v>440</v>
      </c>
      <c r="G158" s="28">
        <v>4.3000000000000007</v>
      </c>
      <c r="H158" s="28"/>
      <c r="I158" s="28">
        <v>3.3</v>
      </c>
      <c r="J158" s="29">
        <v>17.600000000000001</v>
      </c>
    </row>
    <row r="159" spans="1:10" x14ac:dyDescent="0.35">
      <c r="A159" s="26">
        <v>322561</v>
      </c>
      <c r="B159" s="22">
        <v>0</v>
      </c>
      <c r="C159" s="27" t="s">
        <v>448</v>
      </c>
      <c r="D159" s="28">
        <v>8</v>
      </c>
      <c r="E159" s="28" t="s">
        <v>429</v>
      </c>
      <c r="F159" s="28" t="s">
        <v>440</v>
      </c>
      <c r="G159" s="28">
        <v>3.3000000000000003</v>
      </c>
      <c r="H159" s="28"/>
      <c r="I159" s="28">
        <v>3.3</v>
      </c>
      <c r="J159" s="29">
        <v>17.600000000000001</v>
      </c>
    </row>
    <row r="160" spans="1:10" x14ac:dyDescent="0.35">
      <c r="A160" s="26">
        <v>322562</v>
      </c>
      <c r="B160" s="22">
        <v>0</v>
      </c>
      <c r="C160" s="27" t="s">
        <v>449</v>
      </c>
      <c r="D160" s="28">
        <v>8</v>
      </c>
      <c r="E160" s="28" t="s">
        <v>429</v>
      </c>
      <c r="F160" s="28" t="s">
        <v>450</v>
      </c>
      <c r="G160" s="28">
        <v>4.6999999999999993</v>
      </c>
      <c r="H160" s="28"/>
      <c r="I160" s="28">
        <v>4.7</v>
      </c>
      <c r="J160" s="29">
        <v>4.6399999999999997</v>
      </c>
    </row>
    <row r="161" spans="1:10" x14ac:dyDescent="0.35">
      <c r="A161" s="26">
        <v>322564</v>
      </c>
      <c r="B161" s="22">
        <v>0</v>
      </c>
      <c r="C161" s="27" t="s">
        <v>451</v>
      </c>
      <c r="D161" s="28">
        <v>8</v>
      </c>
      <c r="E161" s="28" t="s">
        <v>429</v>
      </c>
      <c r="F161" s="28" t="s">
        <v>440</v>
      </c>
      <c r="G161" s="28">
        <v>4.87</v>
      </c>
      <c r="H161" s="28"/>
      <c r="I161" s="28">
        <v>4</v>
      </c>
      <c r="J161" s="29">
        <v>17.600000000000001</v>
      </c>
    </row>
    <row r="162" spans="1:10" x14ac:dyDescent="0.35">
      <c r="A162" s="26">
        <v>322567</v>
      </c>
      <c r="B162" s="22">
        <v>0</v>
      </c>
      <c r="C162" s="27" t="s">
        <v>452</v>
      </c>
      <c r="D162" s="28">
        <v>8</v>
      </c>
      <c r="E162" s="28" t="s">
        <v>429</v>
      </c>
      <c r="F162" s="28" t="s">
        <v>440</v>
      </c>
      <c r="G162" s="28">
        <v>3.7</v>
      </c>
      <c r="H162" s="28"/>
      <c r="I162" s="28">
        <v>3.7</v>
      </c>
      <c r="J162" s="29">
        <v>17.600000000000001</v>
      </c>
    </row>
    <row r="163" spans="1:10" x14ac:dyDescent="0.35">
      <c r="A163" s="26">
        <v>322568</v>
      </c>
      <c r="B163" s="22">
        <v>0</v>
      </c>
      <c r="C163" s="27" t="s">
        <v>453</v>
      </c>
      <c r="D163" s="28">
        <v>4</v>
      </c>
      <c r="E163" s="28" t="s">
        <v>429</v>
      </c>
      <c r="F163" s="28" t="s">
        <v>440</v>
      </c>
      <c r="G163" s="28">
        <v>7.3000000000000007</v>
      </c>
      <c r="H163" s="28"/>
      <c r="I163" s="28">
        <v>7</v>
      </c>
      <c r="J163" s="29">
        <v>15.3</v>
      </c>
    </row>
    <row r="164" spans="1:10" x14ac:dyDescent="0.35">
      <c r="A164" s="26">
        <v>322570</v>
      </c>
      <c r="B164" s="22">
        <v>0</v>
      </c>
      <c r="C164" s="27" t="s">
        <v>454</v>
      </c>
      <c r="D164" s="28">
        <v>4</v>
      </c>
      <c r="E164" s="28" t="s">
        <v>429</v>
      </c>
      <c r="F164" s="28" t="s">
        <v>440</v>
      </c>
      <c r="G164" s="28">
        <v>8.3000000000000007</v>
      </c>
      <c r="H164" s="28"/>
      <c r="I164" s="28">
        <v>56.9</v>
      </c>
      <c r="J164" s="29">
        <v>15.3</v>
      </c>
    </row>
    <row r="165" spans="1:10" x14ac:dyDescent="0.35">
      <c r="A165" s="26">
        <v>322571</v>
      </c>
      <c r="B165" s="22">
        <v>0</v>
      </c>
      <c r="C165" s="27" t="s">
        <v>455</v>
      </c>
      <c r="D165" s="28">
        <v>8</v>
      </c>
      <c r="E165" s="28" t="s">
        <v>429</v>
      </c>
      <c r="F165" s="28" t="s">
        <v>440</v>
      </c>
      <c r="G165" s="28">
        <v>3.87</v>
      </c>
      <c r="H165" s="28"/>
      <c r="I165" s="28">
        <v>3.87</v>
      </c>
      <c r="J165" s="29">
        <v>17.600000000000001</v>
      </c>
    </row>
    <row r="166" spans="1:10" x14ac:dyDescent="0.35">
      <c r="A166" s="26">
        <v>322573</v>
      </c>
      <c r="B166" s="22">
        <v>0</v>
      </c>
      <c r="C166" s="27" t="s">
        <v>456</v>
      </c>
      <c r="D166" s="28">
        <v>8</v>
      </c>
      <c r="E166" s="28" t="s">
        <v>429</v>
      </c>
      <c r="F166" s="28" t="s">
        <v>440</v>
      </c>
      <c r="G166" s="28">
        <v>3.75</v>
      </c>
      <c r="H166" s="28"/>
      <c r="I166" s="28"/>
      <c r="J166" s="29">
        <v>17.600000000000001</v>
      </c>
    </row>
    <row r="167" spans="1:10" x14ac:dyDescent="0.35">
      <c r="A167" s="26">
        <v>322574</v>
      </c>
      <c r="B167" s="22">
        <v>0</v>
      </c>
      <c r="C167" s="27" t="s">
        <v>457</v>
      </c>
      <c r="D167" s="28">
        <v>8</v>
      </c>
      <c r="E167" s="28" t="s">
        <v>429</v>
      </c>
      <c r="F167" s="28" t="s">
        <v>440</v>
      </c>
      <c r="G167" s="28">
        <v>4.7</v>
      </c>
      <c r="H167" s="28"/>
      <c r="I167" s="28">
        <v>5</v>
      </c>
      <c r="J167" s="29">
        <v>17.600000000000001</v>
      </c>
    </row>
    <row r="168" spans="1:10" x14ac:dyDescent="0.35">
      <c r="A168" s="26">
        <v>322576</v>
      </c>
      <c r="B168" s="22">
        <v>0</v>
      </c>
      <c r="C168" s="27" t="s">
        <v>458</v>
      </c>
      <c r="D168" s="28">
        <v>8</v>
      </c>
      <c r="E168" s="28" t="s">
        <v>429</v>
      </c>
      <c r="F168" s="28" t="s">
        <v>440</v>
      </c>
      <c r="G168" s="28">
        <v>3.3000000000000003</v>
      </c>
      <c r="H168" s="28"/>
      <c r="I168" s="28">
        <v>3.3</v>
      </c>
      <c r="J168" s="29">
        <v>17.600000000000001</v>
      </c>
    </row>
    <row r="169" spans="1:10" x14ac:dyDescent="0.35">
      <c r="A169" s="26">
        <v>322577</v>
      </c>
      <c r="B169" s="22">
        <v>0</v>
      </c>
      <c r="C169" s="27" t="s">
        <v>459</v>
      </c>
      <c r="D169" s="28">
        <v>8</v>
      </c>
      <c r="E169" s="28" t="s">
        <v>429</v>
      </c>
      <c r="F169" s="28" t="s">
        <v>440</v>
      </c>
      <c r="G169" s="28">
        <v>3.87</v>
      </c>
      <c r="H169" s="28"/>
      <c r="I169" s="28">
        <v>3.87</v>
      </c>
      <c r="J169" s="29">
        <v>17.600000000000001</v>
      </c>
    </row>
    <row r="170" spans="1:10" x14ac:dyDescent="0.35">
      <c r="A170" s="26">
        <v>322580</v>
      </c>
      <c r="B170" s="22">
        <v>0</v>
      </c>
      <c r="C170" s="27" t="s">
        <v>460</v>
      </c>
      <c r="D170" s="28">
        <v>8</v>
      </c>
      <c r="E170" s="28" t="s">
        <v>429</v>
      </c>
      <c r="F170" s="28" t="s">
        <v>440</v>
      </c>
      <c r="G170" s="28">
        <v>3.7</v>
      </c>
      <c r="H170" s="28"/>
      <c r="I170" s="28">
        <v>3.7</v>
      </c>
      <c r="J170" s="29">
        <v>17.600000000000001</v>
      </c>
    </row>
    <row r="171" spans="1:10" x14ac:dyDescent="0.35">
      <c r="A171" s="26">
        <v>322581</v>
      </c>
      <c r="B171" s="22">
        <v>0</v>
      </c>
      <c r="C171" s="27" t="s">
        <v>461</v>
      </c>
      <c r="D171" s="28">
        <v>4</v>
      </c>
      <c r="E171" s="28" t="s">
        <v>429</v>
      </c>
      <c r="F171" s="28" t="s">
        <v>440</v>
      </c>
      <c r="G171" s="28">
        <v>7.3000000000000007</v>
      </c>
      <c r="H171" s="28"/>
      <c r="I171" s="28">
        <v>7</v>
      </c>
      <c r="J171" s="29">
        <v>15.3</v>
      </c>
    </row>
    <row r="172" spans="1:10" x14ac:dyDescent="0.35">
      <c r="A172" s="26">
        <v>322582</v>
      </c>
      <c r="B172" s="22">
        <v>0</v>
      </c>
      <c r="C172" s="27" t="s">
        <v>462</v>
      </c>
      <c r="D172" s="28">
        <v>8</v>
      </c>
      <c r="E172" s="28" t="s">
        <v>429</v>
      </c>
      <c r="F172" s="28" t="s">
        <v>440</v>
      </c>
      <c r="G172" s="28">
        <v>3.87</v>
      </c>
      <c r="H172" s="28"/>
      <c r="I172" s="28">
        <v>4</v>
      </c>
      <c r="J172" s="29">
        <v>17.600000000000001</v>
      </c>
    </row>
    <row r="173" spans="1:10" x14ac:dyDescent="0.35">
      <c r="A173" s="26">
        <v>322583</v>
      </c>
      <c r="B173" s="22">
        <v>0</v>
      </c>
      <c r="C173" s="27" t="s">
        <v>463</v>
      </c>
      <c r="D173" s="28">
        <v>8</v>
      </c>
      <c r="E173" s="28" t="s">
        <v>429</v>
      </c>
      <c r="F173" s="28" t="s">
        <v>440</v>
      </c>
      <c r="G173" s="28">
        <v>3.75</v>
      </c>
      <c r="H173" s="28"/>
      <c r="I173" s="28"/>
      <c r="J173" s="29">
        <v>17.600000000000001</v>
      </c>
    </row>
    <row r="174" spans="1:10" x14ac:dyDescent="0.35">
      <c r="A174" s="26">
        <v>322584</v>
      </c>
      <c r="B174" s="22">
        <v>0</v>
      </c>
      <c r="C174" s="27" t="s">
        <v>464</v>
      </c>
      <c r="D174" s="28">
        <v>8</v>
      </c>
      <c r="E174" s="28" t="s">
        <v>429</v>
      </c>
      <c r="F174" s="28" t="s">
        <v>440</v>
      </c>
      <c r="G174" s="28">
        <v>3.3000000000000003</v>
      </c>
      <c r="H174" s="28"/>
      <c r="I174" s="28">
        <v>3.3</v>
      </c>
      <c r="J174" s="29">
        <v>17.600000000000001</v>
      </c>
    </row>
    <row r="175" spans="1:10" x14ac:dyDescent="0.35">
      <c r="A175" s="26">
        <v>322594</v>
      </c>
      <c r="B175" s="22">
        <v>0</v>
      </c>
      <c r="C175" s="27" t="s">
        <v>465</v>
      </c>
      <c r="D175" s="28">
        <v>4</v>
      </c>
      <c r="E175" s="28" t="s">
        <v>429</v>
      </c>
      <c r="F175" s="28" t="s">
        <v>440</v>
      </c>
      <c r="G175" s="28">
        <v>4.6499999999999995</v>
      </c>
      <c r="H175" s="28"/>
      <c r="I175" s="28">
        <v>5</v>
      </c>
      <c r="J175" s="29">
        <v>16.2</v>
      </c>
    </row>
    <row r="176" spans="1:10" x14ac:dyDescent="0.35">
      <c r="A176" s="26">
        <v>322595</v>
      </c>
      <c r="B176" s="22">
        <v>0</v>
      </c>
      <c r="C176" s="27" t="s">
        <v>466</v>
      </c>
      <c r="D176" s="28">
        <v>4</v>
      </c>
      <c r="E176" s="28" t="s">
        <v>429</v>
      </c>
      <c r="F176" s="28" t="s">
        <v>467</v>
      </c>
      <c r="G176" s="28">
        <v>4.8499999999999996</v>
      </c>
      <c r="H176" s="28"/>
      <c r="I176" s="28">
        <v>4.6500000000000004</v>
      </c>
      <c r="J176" s="29">
        <v>16.2</v>
      </c>
    </row>
    <row r="177" spans="1:10" x14ac:dyDescent="0.35">
      <c r="A177" s="26">
        <v>322596</v>
      </c>
      <c r="B177" s="22">
        <v>0</v>
      </c>
      <c r="C177" s="27" t="s">
        <v>468</v>
      </c>
      <c r="D177" s="28">
        <v>4</v>
      </c>
      <c r="E177" s="28" t="s">
        <v>429</v>
      </c>
      <c r="F177" s="28" t="s">
        <v>440</v>
      </c>
      <c r="G177" s="28">
        <v>4.6499999999999995</v>
      </c>
      <c r="H177" s="28"/>
      <c r="I177" s="28">
        <v>5</v>
      </c>
      <c r="J177" s="29">
        <v>16.2</v>
      </c>
    </row>
    <row r="178" spans="1:10" x14ac:dyDescent="0.35">
      <c r="A178" s="26">
        <v>322597</v>
      </c>
      <c r="B178" s="22">
        <v>0</v>
      </c>
      <c r="C178" s="27" t="s">
        <v>469</v>
      </c>
      <c r="D178" s="28">
        <v>4</v>
      </c>
      <c r="E178" s="28" t="s">
        <v>429</v>
      </c>
      <c r="F178" s="28" t="s">
        <v>467</v>
      </c>
      <c r="G178" s="28">
        <v>4.8499999999999996</v>
      </c>
      <c r="H178" s="28"/>
      <c r="I178" s="28">
        <v>4.6500000000000004</v>
      </c>
      <c r="J178" s="29">
        <v>16.2</v>
      </c>
    </row>
    <row r="179" spans="1:10" x14ac:dyDescent="0.35">
      <c r="A179" s="26">
        <v>322600</v>
      </c>
      <c r="B179" s="22">
        <v>0</v>
      </c>
      <c r="C179" s="27" t="s">
        <v>470</v>
      </c>
      <c r="D179" s="28">
        <v>4</v>
      </c>
      <c r="E179" s="28" t="s">
        <v>429</v>
      </c>
      <c r="F179" s="28" t="s">
        <v>440</v>
      </c>
      <c r="G179" s="28">
        <v>4.6499999999999995</v>
      </c>
      <c r="H179" s="28"/>
      <c r="I179" s="28">
        <v>5</v>
      </c>
      <c r="J179" s="29">
        <v>16.2</v>
      </c>
    </row>
    <row r="180" spans="1:10" x14ac:dyDescent="0.35">
      <c r="A180" s="26">
        <v>322601</v>
      </c>
      <c r="B180" s="22">
        <v>0</v>
      </c>
      <c r="C180" s="27" t="s">
        <v>471</v>
      </c>
      <c r="D180" s="28">
        <v>4</v>
      </c>
      <c r="E180" s="28" t="s">
        <v>429</v>
      </c>
      <c r="F180" s="28" t="s">
        <v>467</v>
      </c>
      <c r="G180" s="28">
        <v>4.8499999999999996</v>
      </c>
      <c r="H180" s="28"/>
      <c r="I180" s="28">
        <v>4.6500000000000004</v>
      </c>
      <c r="J180" s="29">
        <v>16.2</v>
      </c>
    </row>
    <row r="181" spans="1:10" x14ac:dyDescent="0.35">
      <c r="A181" s="26">
        <v>322602</v>
      </c>
      <c r="B181" s="22">
        <v>0</v>
      </c>
      <c r="C181" s="27" t="s">
        <v>472</v>
      </c>
      <c r="D181" s="28">
        <v>4</v>
      </c>
      <c r="E181" s="28" t="s">
        <v>429</v>
      </c>
      <c r="F181" s="28" t="s">
        <v>467</v>
      </c>
      <c r="G181" s="28">
        <v>4.8499999999999996</v>
      </c>
      <c r="H181" s="28"/>
      <c r="I181" s="28">
        <v>4.6500000000000004</v>
      </c>
      <c r="J181" s="29">
        <v>16.2</v>
      </c>
    </row>
    <row r="182" spans="1:10" x14ac:dyDescent="0.35">
      <c r="A182" s="26">
        <v>322603</v>
      </c>
      <c r="B182" s="22">
        <v>0</v>
      </c>
      <c r="C182" s="27" t="s">
        <v>473</v>
      </c>
      <c r="D182" s="28">
        <v>4</v>
      </c>
      <c r="E182" s="28" t="s">
        <v>429</v>
      </c>
      <c r="F182" s="28" t="s">
        <v>440</v>
      </c>
      <c r="G182" s="28">
        <v>4.6499999999999995</v>
      </c>
      <c r="H182" s="28"/>
      <c r="I182" s="28">
        <v>4.6499999999999995</v>
      </c>
      <c r="J182" s="29">
        <v>16.2</v>
      </c>
    </row>
    <row r="183" spans="1:10" x14ac:dyDescent="0.35">
      <c r="A183" s="26">
        <v>322605</v>
      </c>
      <c r="B183" s="22">
        <v>0</v>
      </c>
      <c r="C183" s="27" t="s">
        <v>474</v>
      </c>
      <c r="D183" s="28">
        <v>4</v>
      </c>
      <c r="E183" s="28" t="s">
        <v>429</v>
      </c>
      <c r="F183" s="28" t="s">
        <v>467</v>
      </c>
      <c r="G183" s="28">
        <v>4.8499999999999996</v>
      </c>
      <c r="H183" s="28"/>
      <c r="I183" s="28">
        <v>4.6500000000000004</v>
      </c>
      <c r="J183" s="29">
        <v>16.2</v>
      </c>
    </row>
    <row r="184" spans="1:10" x14ac:dyDescent="0.35">
      <c r="A184" s="26">
        <v>322606</v>
      </c>
      <c r="B184" s="22">
        <v>0</v>
      </c>
      <c r="C184" s="27" t="s">
        <v>475</v>
      </c>
      <c r="D184" s="28">
        <v>4</v>
      </c>
      <c r="E184" s="28" t="s">
        <v>429</v>
      </c>
      <c r="F184" s="28" t="s">
        <v>440</v>
      </c>
      <c r="G184" s="28">
        <v>4.6499999999999995</v>
      </c>
      <c r="H184" s="28"/>
      <c r="I184" s="28">
        <v>5</v>
      </c>
      <c r="J184" s="29">
        <v>16.2</v>
      </c>
    </row>
    <row r="185" spans="1:10" x14ac:dyDescent="0.35">
      <c r="A185" s="26">
        <v>322607</v>
      </c>
      <c r="B185" s="22">
        <v>0</v>
      </c>
      <c r="C185" s="27" t="s">
        <v>476</v>
      </c>
      <c r="D185" s="28">
        <v>4</v>
      </c>
      <c r="E185" s="28" t="s">
        <v>429</v>
      </c>
      <c r="F185" s="28" t="s">
        <v>467</v>
      </c>
      <c r="G185" s="28">
        <v>4.8499999999999996</v>
      </c>
      <c r="H185" s="28"/>
      <c r="I185" s="28">
        <v>4.6500000000000004</v>
      </c>
      <c r="J185" s="29">
        <v>16.2</v>
      </c>
    </row>
    <row r="186" spans="1:10" x14ac:dyDescent="0.35">
      <c r="A186" s="26">
        <v>322608</v>
      </c>
      <c r="B186" s="22">
        <v>0</v>
      </c>
      <c r="C186" s="27" t="s">
        <v>477</v>
      </c>
      <c r="D186" s="28">
        <v>4</v>
      </c>
      <c r="E186" s="28" t="s">
        <v>429</v>
      </c>
      <c r="F186" s="28" t="s">
        <v>440</v>
      </c>
      <c r="G186" s="28">
        <v>4.6499999999999995</v>
      </c>
      <c r="H186" s="28"/>
      <c r="I186" s="28">
        <v>5</v>
      </c>
      <c r="J186" s="29">
        <v>16.2</v>
      </c>
    </row>
    <row r="187" spans="1:10" x14ac:dyDescent="0.35">
      <c r="A187" s="26">
        <v>322609</v>
      </c>
      <c r="B187" s="22">
        <v>0</v>
      </c>
      <c r="C187" s="27" t="s">
        <v>478</v>
      </c>
      <c r="D187" s="28">
        <v>4</v>
      </c>
      <c r="E187" s="28" t="s">
        <v>429</v>
      </c>
      <c r="F187" s="28" t="s">
        <v>467</v>
      </c>
      <c r="G187" s="28">
        <v>4.8499999999999996</v>
      </c>
      <c r="H187" s="28"/>
      <c r="I187" s="28">
        <v>4.6500000000000004</v>
      </c>
      <c r="J187" s="29">
        <v>16.2</v>
      </c>
    </row>
    <row r="188" spans="1:10" x14ac:dyDescent="0.35">
      <c r="A188" s="26">
        <v>322610</v>
      </c>
      <c r="B188" s="22">
        <v>0</v>
      </c>
      <c r="C188" s="27" t="s">
        <v>479</v>
      </c>
      <c r="D188" s="28">
        <v>4</v>
      </c>
      <c r="E188" s="28" t="s">
        <v>429</v>
      </c>
      <c r="F188" s="28" t="s">
        <v>440</v>
      </c>
      <c r="G188" s="28">
        <v>4.6499999999999995</v>
      </c>
      <c r="H188" s="28"/>
      <c r="I188" s="28">
        <v>4.7</v>
      </c>
      <c r="J188" s="29">
        <v>16.2</v>
      </c>
    </row>
    <row r="189" spans="1:10" x14ac:dyDescent="0.35">
      <c r="A189" s="26">
        <v>322611</v>
      </c>
      <c r="B189" s="22">
        <v>0</v>
      </c>
      <c r="C189" s="27" t="s">
        <v>480</v>
      </c>
      <c r="D189" s="28">
        <v>4</v>
      </c>
      <c r="E189" s="28" t="s">
        <v>429</v>
      </c>
      <c r="F189" s="28" t="s">
        <v>467</v>
      </c>
      <c r="G189" s="28">
        <v>4.8499999999999996</v>
      </c>
      <c r="H189" s="28"/>
      <c r="I189" s="28">
        <v>4.6500000000000004</v>
      </c>
      <c r="J189" s="29">
        <v>16.2</v>
      </c>
    </row>
    <row r="190" spans="1:10" x14ac:dyDescent="0.35">
      <c r="A190" s="26">
        <v>322612</v>
      </c>
      <c r="B190" s="22">
        <v>0</v>
      </c>
      <c r="C190" s="27" t="s">
        <v>481</v>
      </c>
      <c r="D190" s="28">
        <v>4</v>
      </c>
      <c r="E190" s="28" t="s">
        <v>429</v>
      </c>
      <c r="F190" s="28" t="s">
        <v>440</v>
      </c>
      <c r="G190" s="28">
        <v>4.6499999999999995</v>
      </c>
      <c r="H190" s="28"/>
      <c r="I190" s="28">
        <v>5</v>
      </c>
      <c r="J190" s="29">
        <v>16.2</v>
      </c>
    </row>
    <row r="191" spans="1:10" x14ac:dyDescent="0.35">
      <c r="A191" s="26">
        <v>322613</v>
      </c>
      <c r="B191" s="22">
        <v>0</v>
      </c>
      <c r="C191" s="27" t="s">
        <v>482</v>
      </c>
      <c r="D191" s="28">
        <v>4</v>
      </c>
      <c r="E191" s="28" t="s">
        <v>429</v>
      </c>
      <c r="F191" s="28" t="s">
        <v>440</v>
      </c>
      <c r="G191" s="28">
        <v>3.6</v>
      </c>
      <c r="H191" s="28"/>
      <c r="I191" s="28">
        <v>3.6</v>
      </c>
      <c r="J191" s="29">
        <v>20</v>
      </c>
    </row>
    <row r="192" spans="1:10" x14ac:dyDescent="0.35">
      <c r="A192" s="26">
        <v>322614</v>
      </c>
      <c r="B192" s="22">
        <v>0</v>
      </c>
      <c r="C192" s="27" t="s">
        <v>483</v>
      </c>
      <c r="D192" s="28">
        <v>8</v>
      </c>
      <c r="E192" s="28" t="s">
        <v>429</v>
      </c>
      <c r="F192" s="28" t="s">
        <v>440</v>
      </c>
      <c r="G192" s="28">
        <v>3.7</v>
      </c>
      <c r="H192" s="28"/>
      <c r="I192" s="28"/>
      <c r="J192" s="29">
        <v>17.600000000000001</v>
      </c>
    </row>
    <row r="193" spans="1:10" x14ac:dyDescent="0.35">
      <c r="A193" s="26">
        <v>322615</v>
      </c>
      <c r="B193" s="22">
        <v>0</v>
      </c>
      <c r="C193" s="27" t="s">
        <v>484</v>
      </c>
      <c r="D193" s="28">
        <v>2</v>
      </c>
      <c r="E193" s="28" t="s">
        <v>429</v>
      </c>
      <c r="F193" s="28" t="s">
        <v>440</v>
      </c>
      <c r="G193" s="28">
        <v>48.26</v>
      </c>
      <c r="H193" s="28"/>
      <c r="I193" s="28">
        <v>48.26</v>
      </c>
      <c r="J193" s="29">
        <v>45</v>
      </c>
    </row>
    <row r="194" spans="1:10" x14ac:dyDescent="0.35">
      <c r="A194" s="26">
        <v>322616</v>
      </c>
      <c r="B194" s="22">
        <v>0</v>
      </c>
      <c r="C194" s="27" t="s">
        <v>485</v>
      </c>
      <c r="D194" s="28">
        <v>8</v>
      </c>
      <c r="E194" s="28" t="s">
        <v>429</v>
      </c>
      <c r="F194" s="28" t="s">
        <v>440</v>
      </c>
      <c r="G194" s="28">
        <v>3.3000000000000003</v>
      </c>
      <c r="H194" s="28"/>
      <c r="I194" s="28">
        <v>3.3</v>
      </c>
      <c r="J194" s="29">
        <v>17.600000000000001</v>
      </c>
    </row>
    <row r="195" spans="1:10" x14ac:dyDescent="0.35">
      <c r="A195" s="26">
        <v>322617</v>
      </c>
      <c r="B195" s="22">
        <v>0</v>
      </c>
      <c r="C195" s="27" t="s">
        <v>486</v>
      </c>
      <c r="D195" s="28">
        <v>4</v>
      </c>
      <c r="E195" s="28" t="s">
        <v>429</v>
      </c>
      <c r="F195" s="28" t="s">
        <v>440</v>
      </c>
      <c r="G195" s="28">
        <v>7.3000000000000007</v>
      </c>
      <c r="H195" s="28"/>
      <c r="I195" s="28">
        <v>7</v>
      </c>
      <c r="J195" s="29">
        <v>15.3</v>
      </c>
    </row>
    <row r="196" spans="1:10" x14ac:dyDescent="0.35">
      <c r="A196" s="26">
        <v>322618</v>
      </c>
      <c r="B196" s="22">
        <v>0</v>
      </c>
      <c r="C196" s="27" t="s">
        <v>487</v>
      </c>
      <c r="D196" s="28">
        <v>8</v>
      </c>
      <c r="E196" s="28" t="s">
        <v>429</v>
      </c>
      <c r="F196" s="28" t="s">
        <v>440</v>
      </c>
      <c r="G196" s="28">
        <v>3.87</v>
      </c>
      <c r="H196" s="28"/>
      <c r="I196" s="28">
        <v>4</v>
      </c>
      <c r="J196" s="29">
        <v>17.600000000000001</v>
      </c>
    </row>
    <row r="197" spans="1:10" x14ac:dyDescent="0.35">
      <c r="A197" s="26">
        <v>322620</v>
      </c>
      <c r="B197" s="22">
        <v>0</v>
      </c>
      <c r="C197" s="27" t="s">
        <v>488</v>
      </c>
      <c r="D197" s="28">
        <v>8</v>
      </c>
      <c r="E197" s="28" t="s">
        <v>429</v>
      </c>
      <c r="F197" s="28" t="s">
        <v>440</v>
      </c>
      <c r="G197" s="28">
        <v>3.75</v>
      </c>
      <c r="H197" s="28"/>
      <c r="I197" s="28">
        <v>4</v>
      </c>
      <c r="J197" s="29">
        <v>17.600000000000001</v>
      </c>
    </row>
    <row r="198" spans="1:10" x14ac:dyDescent="0.35">
      <c r="A198" s="26">
        <v>322623</v>
      </c>
      <c r="B198" s="22">
        <v>0</v>
      </c>
      <c r="C198" s="27" t="s">
        <v>489</v>
      </c>
      <c r="D198" s="28">
        <v>2</v>
      </c>
      <c r="E198" s="28" t="s">
        <v>429</v>
      </c>
      <c r="F198" s="28" t="s">
        <v>440</v>
      </c>
      <c r="G198" s="28">
        <v>48.260000000000005</v>
      </c>
      <c r="H198" s="28"/>
      <c r="I198" s="28">
        <v>48.3</v>
      </c>
      <c r="J198" s="29">
        <v>24.6</v>
      </c>
    </row>
    <row r="199" spans="1:10" x14ac:dyDescent="0.35">
      <c r="A199" s="26">
        <v>322624</v>
      </c>
      <c r="B199" s="22">
        <v>0</v>
      </c>
      <c r="C199" s="27" t="s">
        <v>490</v>
      </c>
      <c r="D199" s="28">
        <v>8</v>
      </c>
      <c r="E199" s="28" t="s">
        <v>429</v>
      </c>
      <c r="F199" s="28" t="s">
        <v>440</v>
      </c>
      <c r="G199" s="28">
        <v>3.7</v>
      </c>
      <c r="H199" s="28"/>
      <c r="I199" s="28">
        <v>3.7</v>
      </c>
      <c r="J199" s="29">
        <v>17.600000000000001</v>
      </c>
    </row>
    <row r="200" spans="1:10" x14ac:dyDescent="0.35">
      <c r="A200" s="26">
        <v>322625</v>
      </c>
      <c r="B200" s="22">
        <v>0</v>
      </c>
      <c r="C200" s="27" t="s">
        <v>491</v>
      </c>
      <c r="D200" s="28">
        <v>8</v>
      </c>
      <c r="E200" s="28" t="s">
        <v>429</v>
      </c>
      <c r="F200" s="28" t="s">
        <v>440</v>
      </c>
      <c r="G200" s="28">
        <v>3.3000000000000003</v>
      </c>
      <c r="H200" s="28"/>
      <c r="I200" s="28">
        <v>3.3000000000000003</v>
      </c>
      <c r="J200" s="29">
        <v>17.600000000000001</v>
      </c>
    </row>
    <row r="201" spans="1:10" x14ac:dyDescent="0.35">
      <c r="A201" s="26">
        <v>322626</v>
      </c>
      <c r="B201" s="22">
        <v>0</v>
      </c>
      <c r="C201" s="27" t="s">
        <v>492</v>
      </c>
      <c r="D201" s="28">
        <v>4</v>
      </c>
      <c r="E201" s="28" t="s">
        <v>429</v>
      </c>
      <c r="F201" s="28" t="s">
        <v>440</v>
      </c>
      <c r="G201" s="28">
        <v>7.3000000000000007</v>
      </c>
      <c r="H201" s="28"/>
      <c r="I201" s="28">
        <v>7</v>
      </c>
      <c r="J201" s="29">
        <v>15.3</v>
      </c>
    </row>
    <row r="202" spans="1:10" x14ac:dyDescent="0.35">
      <c r="A202" s="26">
        <v>322631</v>
      </c>
      <c r="B202" s="22">
        <v>0</v>
      </c>
      <c r="C202" s="27" t="s">
        <v>493</v>
      </c>
      <c r="D202" s="28">
        <v>8</v>
      </c>
      <c r="E202" s="28" t="s">
        <v>429</v>
      </c>
      <c r="F202" s="28" t="s">
        <v>440</v>
      </c>
      <c r="G202" s="28">
        <v>3.87</v>
      </c>
      <c r="H202" s="28"/>
      <c r="I202" s="28">
        <v>3.87</v>
      </c>
      <c r="J202" s="29">
        <v>17.600000000000001</v>
      </c>
    </row>
    <row r="203" spans="1:10" x14ac:dyDescent="0.35">
      <c r="A203" s="26">
        <v>322632</v>
      </c>
      <c r="B203" s="22">
        <v>0</v>
      </c>
      <c r="C203" s="27" t="s">
        <v>494</v>
      </c>
      <c r="D203" s="28">
        <v>4</v>
      </c>
      <c r="E203" s="28" t="s">
        <v>429</v>
      </c>
      <c r="F203" s="28" t="s">
        <v>440</v>
      </c>
      <c r="G203" s="28">
        <v>7.3000000000000007</v>
      </c>
      <c r="H203" s="28"/>
      <c r="I203" s="28">
        <v>7</v>
      </c>
      <c r="J203" s="29">
        <v>15.3</v>
      </c>
    </row>
    <row r="204" spans="1:10" x14ac:dyDescent="0.35">
      <c r="A204" s="26">
        <v>322633</v>
      </c>
      <c r="B204" s="22">
        <v>0</v>
      </c>
      <c r="C204" s="27" t="s">
        <v>495</v>
      </c>
      <c r="D204" s="28">
        <v>8</v>
      </c>
      <c r="E204" s="28" t="s">
        <v>429</v>
      </c>
      <c r="F204" s="28" t="s">
        <v>440</v>
      </c>
      <c r="G204" s="28">
        <v>3.7</v>
      </c>
      <c r="H204" s="28"/>
      <c r="I204" s="28">
        <v>3.7</v>
      </c>
      <c r="J204" s="29">
        <v>17.600000000000001</v>
      </c>
    </row>
    <row r="205" spans="1:10" x14ac:dyDescent="0.35">
      <c r="A205" s="26">
        <v>322634</v>
      </c>
      <c r="B205" s="22">
        <v>0</v>
      </c>
      <c r="C205" s="27" t="s">
        <v>496</v>
      </c>
      <c r="D205" s="28">
        <v>8</v>
      </c>
      <c r="E205" s="28" t="s">
        <v>429</v>
      </c>
      <c r="F205" s="28" t="s">
        <v>440</v>
      </c>
      <c r="G205" s="28">
        <v>3.3000000000000003</v>
      </c>
      <c r="H205" s="28"/>
      <c r="I205" s="28">
        <v>3.3</v>
      </c>
      <c r="J205" s="29">
        <v>17.600000000000001</v>
      </c>
    </row>
    <row r="206" spans="1:10" x14ac:dyDescent="0.35">
      <c r="A206" s="26">
        <v>322635</v>
      </c>
      <c r="B206" s="22">
        <v>0</v>
      </c>
      <c r="C206" s="27" t="s">
        <v>497</v>
      </c>
      <c r="D206" s="28">
        <v>4</v>
      </c>
      <c r="E206" s="28" t="s">
        <v>429</v>
      </c>
      <c r="F206" s="28" t="s">
        <v>440</v>
      </c>
      <c r="G206" s="28">
        <v>7.3000000000000007</v>
      </c>
      <c r="H206" s="28"/>
      <c r="I206" s="28">
        <v>7</v>
      </c>
      <c r="J206" s="29">
        <v>15.3</v>
      </c>
    </row>
    <row r="207" spans="1:10" x14ac:dyDescent="0.35">
      <c r="A207" s="26">
        <v>322636</v>
      </c>
      <c r="B207" s="22">
        <v>0</v>
      </c>
      <c r="C207" s="27" t="s">
        <v>498</v>
      </c>
      <c r="D207" s="28">
        <v>8</v>
      </c>
      <c r="E207" s="28" t="s">
        <v>429</v>
      </c>
      <c r="F207" s="28" t="s">
        <v>440</v>
      </c>
      <c r="G207" s="28">
        <v>3.87</v>
      </c>
      <c r="H207" s="28"/>
      <c r="I207" s="28">
        <v>3.87</v>
      </c>
      <c r="J207" s="29">
        <v>17.600000000000001</v>
      </c>
    </row>
    <row r="208" spans="1:10" x14ac:dyDescent="0.35">
      <c r="A208" s="26">
        <v>322638</v>
      </c>
      <c r="B208" s="22">
        <v>0</v>
      </c>
      <c r="C208" s="27" t="s">
        <v>499</v>
      </c>
      <c r="D208" s="28">
        <v>8</v>
      </c>
      <c r="E208" s="28" t="s">
        <v>429</v>
      </c>
      <c r="F208" s="28" t="s">
        <v>440</v>
      </c>
      <c r="G208" s="28">
        <v>3.75</v>
      </c>
      <c r="H208" s="28"/>
      <c r="I208" s="28">
        <v>4</v>
      </c>
      <c r="J208" s="29">
        <v>17.600000000000001</v>
      </c>
    </row>
    <row r="209" spans="1:10" x14ac:dyDescent="0.35">
      <c r="A209" s="26">
        <v>322639</v>
      </c>
      <c r="B209" s="22">
        <v>0</v>
      </c>
      <c r="C209" s="27" t="s">
        <v>500</v>
      </c>
      <c r="D209" s="28">
        <v>8</v>
      </c>
      <c r="E209" s="28" t="s">
        <v>429</v>
      </c>
      <c r="F209" s="28" t="s">
        <v>440</v>
      </c>
      <c r="G209" s="28">
        <v>3.7</v>
      </c>
      <c r="H209" s="28"/>
      <c r="I209" s="28">
        <v>3.7</v>
      </c>
      <c r="J209" s="29">
        <v>17.600000000000001</v>
      </c>
    </row>
    <row r="210" spans="1:10" x14ac:dyDescent="0.35">
      <c r="A210" s="26">
        <v>322640</v>
      </c>
      <c r="B210" s="22">
        <v>0</v>
      </c>
      <c r="C210" s="27" t="s">
        <v>501</v>
      </c>
      <c r="D210" s="28">
        <v>4</v>
      </c>
      <c r="E210" s="28" t="s">
        <v>429</v>
      </c>
      <c r="F210" s="28" t="s">
        <v>440</v>
      </c>
      <c r="G210" s="28">
        <v>7.3000000000000007</v>
      </c>
      <c r="H210" s="28"/>
      <c r="I210" s="28">
        <v>7</v>
      </c>
      <c r="J210" s="29">
        <v>15.3</v>
      </c>
    </row>
    <row r="211" spans="1:10" x14ac:dyDescent="0.35">
      <c r="A211" s="26">
        <v>322641</v>
      </c>
      <c r="B211" s="22">
        <v>0</v>
      </c>
      <c r="C211" s="27" t="s">
        <v>502</v>
      </c>
      <c r="D211" s="28">
        <v>8</v>
      </c>
      <c r="E211" s="28" t="s">
        <v>429</v>
      </c>
      <c r="F211" s="28" t="s">
        <v>440</v>
      </c>
      <c r="G211" s="28">
        <v>3.87</v>
      </c>
      <c r="H211" s="28"/>
      <c r="I211" s="28">
        <v>3.87</v>
      </c>
      <c r="J211" s="29">
        <v>17.600000000000001</v>
      </c>
    </row>
    <row r="212" spans="1:10" x14ac:dyDescent="0.35">
      <c r="A212" s="26">
        <v>322643</v>
      </c>
      <c r="B212" s="22">
        <v>0</v>
      </c>
      <c r="C212" s="27" t="s">
        <v>503</v>
      </c>
      <c r="D212" s="28">
        <v>8</v>
      </c>
      <c r="E212" s="28" t="s">
        <v>429</v>
      </c>
      <c r="F212" s="28" t="s">
        <v>440</v>
      </c>
      <c r="G212" s="28">
        <v>3.75</v>
      </c>
      <c r="H212" s="28"/>
      <c r="I212" s="28">
        <v>3.75</v>
      </c>
      <c r="J212" s="29">
        <v>17.600000000000001</v>
      </c>
    </row>
    <row r="213" spans="1:10" x14ac:dyDescent="0.35">
      <c r="A213" s="26">
        <v>322644</v>
      </c>
      <c r="B213" s="22">
        <v>0</v>
      </c>
      <c r="C213" s="27" t="s">
        <v>504</v>
      </c>
      <c r="D213" s="28">
        <v>8</v>
      </c>
      <c r="E213" s="28" t="s">
        <v>429</v>
      </c>
      <c r="F213" s="28" t="s">
        <v>440</v>
      </c>
      <c r="G213" s="28">
        <v>3.3000000000000003</v>
      </c>
      <c r="H213" s="28"/>
      <c r="I213" s="28">
        <v>3.3000000000000003</v>
      </c>
      <c r="J213" s="29">
        <v>17.600000000000001</v>
      </c>
    </row>
    <row r="214" spans="1:10" x14ac:dyDescent="0.35">
      <c r="A214" s="26">
        <v>322646</v>
      </c>
      <c r="B214" s="22">
        <v>0</v>
      </c>
      <c r="C214" s="27" t="s">
        <v>505</v>
      </c>
      <c r="D214" s="28">
        <v>4</v>
      </c>
      <c r="E214" s="28" t="s">
        <v>429</v>
      </c>
      <c r="F214" s="28" t="s">
        <v>430</v>
      </c>
      <c r="G214" s="28">
        <v>13.200000000000001</v>
      </c>
      <c r="H214" s="28"/>
      <c r="I214" s="28">
        <v>13.2</v>
      </c>
      <c r="J214" s="29">
        <v>20</v>
      </c>
    </row>
    <row r="215" spans="1:10" x14ac:dyDescent="0.35">
      <c r="A215" s="26">
        <v>322647</v>
      </c>
      <c r="B215" s="22">
        <v>0</v>
      </c>
      <c r="C215" s="27" t="s">
        <v>506</v>
      </c>
      <c r="D215" s="28">
        <v>4</v>
      </c>
      <c r="E215" s="28" t="s">
        <v>429</v>
      </c>
      <c r="F215" s="28" t="s">
        <v>430</v>
      </c>
      <c r="G215" s="28">
        <v>13.200000000000001</v>
      </c>
      <c r="H215" s="28"/>
      <c r="I215" s="28">
        <v>13.2</v>
      </c>
      <c r="J215" s="29">
        <v>20</v>
      </c>
    </row>
    <row r="216" spans="1:10" x14ac:dyDescent="0.35">
      <c r="A216" s="26">
        <v>322648</v>
      </c>
      <c r="B216" s="22">
        <v>0</v>
      </c>
      <c r="C216" s="27" t="s">
        <v>507</v>
      </c>
      <c r="D216" s="28">
        <v>4</v>
      </c>
      <c r="E216" s="28" t="s">
        <v>429</v>
      </c>
      <c r="F216" s="28" t="s">
        <v>430</v>
      </c>
      <c r="G216" s="28">
        <v>13.200000000000001</v>
      </c>
      <c r="H216" s="28"/>
      <c r="I216" s="28">
        <v>13.2</v>
      </c>
      <c r="J216" s="29">
        <v>20</v>
      </c>
    </row>
    <row r="217" spans="1:10" x14ac:dyDescent="0.35">
      <c r="A217" s="26">
        <v>322649</v>
      </c>
      <c r="B217" s="22">
        <v>0</v>
      </c>
      <c r="C217" s="27" t="s">
        <v>508</v>
      </c>
      <c r="D217" s="28">
        <v>4</v>
      </c>
      <c r="E217" s="28" t="s">
        <v>429</v>
      </c>
      <c r="F217" s="28" t="s">
        <v>430</v>
      </c>
      <c r="G217" s="28">
        <v>13.200000000000001</v>
      </c>
      <c r="H217" s="28"/>
      <c r="I217" s="28">
        <v>13.2</v>
      </c>
      <c r="J217" s="29">
        <v>20</v>
      </c>
    </row>
    <row r="218" spans="1:10" x14ac:dyDescent="0.35">
      <c r="A218" s="26">
        <v>322650</v>
      </c>
      <c r="B218" s="22">
        <v>0</v>
      </c>
      <c r="C218" s="27" t="s">
        <v>509</v>
      </c>
      <c r="D218" s="28">
        <v>4</v>
      </c>
      <c r="E218" s="28" t="s">
        <v>429</v>
      </c>
      <c r="F218" s="28" t="s">
        <v>430</v>
      </c>
      <c r="G218" s="28">
        <v>13.200000000000001</v>
      </c>
      <c r="H218" s="28"/>
      <c r="I218" s="28">
        <v>13.2</v>
      </c>
      <c r="J218" s="29">
        <v>20</v>
      </c>
    </row>
    <row r="219" spans="1:10" x14ac:dyDescent="0.35">
      <c r="A219" s="26">
        <v>322653</v>
      </c>
      <c r="B219" s="22">
        <v>0</v>
      </c>
      <c r="C219" s="27" t="s">
        <v>510</v>
      </c>
      <c r="D219" s="28">
        <v>4</v>
      </c>
      <c r="E219" s="28" t="s">
        <v>429</v>
      </c>
      <c r="F219" s="28" t="s">
        <v>430</v>
      </c>
      <c r="G219" s="28">
        <v>13.200000000000001</v>
      </c>
      <c r="H219" s="28"/>
      <c r="I219" s="28">
        <v>13.200000000000001</v>
      </c>
      <c r="J219" s="29">
        <v>20</v>
      </c>
    </row>
    <row r="220" spans="1:10" x14ac:dyDescent="0.35">
      <c r="A220" s="26">
        <v>322654</v>
      </c>
      <c r="B220" s="22">
        <v>0</v>
      </c>
      <c r="C220" s="27" t="s">
        <v>511</v>
      </c>
      <c r="D220" s="28">
        <v>4</v>
      </c>
      <c r="E220" s="28" t="s">
        <v>429</v>
      </c>
      <c r="F220" s="28" t="s">
        <v>430</v>
      </c>
      <c r="G220" s="28">
        <v>14.200000000000001</v>
      </c>
      <c r="H220" s="28"/>
      <c r="I220" s="28">
        <v>13.2</v>
      </c>
      <c r="J220" s="29">
        <v>20</v>
      </c>
    </row>
    <row r="221" spans="1:10" x14ac:dyDescent="0.35">
      <c r="A221" s="26">
        <v>322655</v>
      </c>
      <c r="B221" s="22">
        <v>0</v>
      </c>
      <c r="C221" s="27" t="s">
        <v>512</v>
      </c>
      <c r="D221" s="28">
        <v>2</v>
      </c>
      <c r="E221" s="28" t="s">
        <v>429</v>
      </c>
      <c r="F221" s="28" t="s">
        <v>430</v>
      </c>
      <c r="G221" s="28">
        <v>15.1</v>
      </c>
      <c r="H221" s="28"/>
      <c r="I221" s="28">
        <v>15.1</v>
      </c>
      <c r="J221" s="29">
        <v>6.76</v>
      </c>
    </row>
    <row r="222" spans="1:10" x14ac:dyDescent="0.35">
      <c r="A222" s="26">
        <v>322656</v>
      </c>
      <c r="B222" s="22">
        <v>0</v>
      </c>
      <c r="C222" s="27" t="s">
        <v>513</v>
      </c>
      <c r="D222" s="28">
        <v>2</v>
      </c>
      <c r="E222" s="28" t="s">
        <v>429</v>
      </c>
      <c r="F222" s="28" t="s">
        <v>430</v>
      </c>
      <c r="G222" s="28">
        <v>15.1</v>
      </c>
      <c r="H222" s="28"/>
      <c r="I222" s="28">
        <v>13.85</v>
      </c>
      <c r="J222" s="29">
        <v>6.76</v>
      </c>
    </row>
    <row r="223" spans="1:10" x14ac:dyDescent="0.35">
      <c r="A223" s="26">
        <v>322657</v>
      </c>
      <c r="B223" s="22">
        <v>0</v>
      </c>
      <c r="C223" s="27" t="s">
        <v>514</v>
      </c>
      <c r="D223" s="28">
        <v>2</v>
      </c>
      <c r="E223" s="28" t="s">
        <v>429</v>
      </c>
      <c r="F223" s="28" t="s">
        <v>430</v>
      </c>
      <c r="G223" s="28">
        <v>15.1</v>
      </c>
      <c r="H223" s="28"/>
      <c r="I223" s="28">
        <v>13.85</v>
      </c>
      <c r="J223" s="29">
        <v>6.76</v>
      </c>
    </row>
    <row r="224" spans="1:10" x14ac:dyDescent="0.35">
      <c r="A224" s="26">
        <v>322658</v>
      </c>
      <c r="B224" s="22">
        <v>0</v>
      </c>
      <c r="C224" s="27" t="s">
        <v>515</v>
      </c>
      <c r="D224" s="28">
        <v>2</v>
      </c>
      <c r="E224" s="28" t="s">
        <v>429</v>
      </c>
      <c r="F224" s="28" t="s">
        <v>430</v>
      </c>
      <c r="G224" s="28">
        <v>15.1</v>
      </c>
      <c r="H224" s="28"/>
      <c r="I224" s="28">
        <v>15.1</v>
      </c>
      <c r="J224" s="29">
        <v>6.76</v>
      </c>
    </row>
    <row r="225" spans="1:10" x14ac:dyDescent="0.35">
      <c r="A225" s="26">
        <v>322659</v>
      </c>
      <c r="B225" s="22">
        <v>0</v>
      </c>
      <c r="C225" s="27" t="s">
        <v>516</v>
      </c>
      <c r="D225" s="28">
        <v>2</v>
      </c>
      <c r="E225" s="28" t="s">
        <v>429</v>
      </c>
      <c r="F225" s="28" t="s">
        <v>430</v>
      </c>
      <c r="G225" s="28">
        <v>15.1</v>
      </c>
      <c r="H225" s="28"/>
      <c r="I225" s="28">
        <v>15.1</v>
      </c>
      <c r="J225" s="29">
        <v>6.76</v>
      </c>
    </row>
    <row r="226" spans="1:10" x14ac:dyDescent="0.35">
      <c r="A226" s="26">
        <v>322665</v>
      </c>
      <c r="B226" s="22">
        <v>0</v>
      </c>
      <c r="C226" s="27" t="s">
        <v>517</v>
      </c>
      <c r="D226" s="28">
        <v>4</v>
      </c>
      <c r="E226" s="28" t="s">
        <v>429</v>
      </c>
      <c r="F226" s="28" t="s">
        <v>430</v>
      </c>
      <c r="G226" s="28">
        <v>13.200000000000001</v>
      </c>
      <c r="H226" s="28"/>
      <c r="I226" s="28">
        <v>13.2</v>
      </c>
      <c r="J226" s="29">
        <v>20</v>
      </c>
    </row>
    <row r="227" spans="1:10" x14ac:dyDescent="0.35">
      <c r="A227" s="26">
        <v>322666</v>
      </c>
      <c r="B227" s="22">
        <v>0</v>
      </c>
      <c r="C227" s="27" t="s">
        <v>518</v>
      </c>
      <c r="D227" s="28">
        <v>4</v>
      </c>
      <c r="E227" s="28" t="s">
        <v>429</v>
      </c>
      <c r="F227" s="28" t="s">
        <v>430</v>
      </c>
      <c r="G227" s="28">
        <v>13.200000000000001</v>
      </c>
      <c r="H227" s="28"/>
      <c r="I227" s="28">
        <v>13.2</v>
      </c>
      <c r="J227" s="29">
        <v>20</v>
      </c>
    </row>
    <row r="228" spans="1:10" x14ac:dyDescent="0.35">
      <c r="A228" s="26">
        <v>322668</v>
      </c>
      <c r="B228" s="22">
        <v>0</v>
      </c>
      <c r="C228" s="27" t="s">
        <v>519</v>
      </c>
      <c r="D228" s="28">
        <v>8</v>
      </c>
      <c r="E228" s="28" t="s">
        <v>429</v>
      </c>
      <c r="F228" s="28" t="s">
        <v>440</v>
      </c>
      <c r="G228" s="28">
        <v>3.7</v>
      </c>
      <c r="H228" s="28"/>
      <c r="I228" s="28">
        <v>3.7</v>
      </c>
      <c r="J228" s="29">
        <v>17.600000000000001</v>
      </c>
    </row>
    <row r="229" spans="1:10" x14ac:dyDescent="0.35">
      <c r="A229" s="26">
        <v>322670</v>
      </c>
      <c r="B229" s="22">
        <v>0</v>
      </c>
      <c r="C229" s="27" t="s">
        <v>520</v>
      </c>
      <c r="D229" s="28">
        <v>8</v>
      </c>
      <c r="E229" s="28" t="s">
        <v>429</v>
      </c>
      <c r="F229" s="28" t="s">
        <v>440</v>
      </c>
      <c r="G229" s="28">
        <v>3.3000000000000003</v>
      </c>
      <c r="H229" s="28"/>
      <c r="I229" s="28">
        <v>3.5</v>
      </c>
      <c r="J229" s="29">
        <v>17.600000000000001</v>
      </c>
    </row>
    <row r="230" spans="1:10" x14ac:dyDescent="0.35">
      <c r="A230" s="26">
        <v>322671</v>
      </c>
      <c r="B230" s="22">
        <v>0</v>
      </c>
      <c r="C230" s="27" t="s">
        <v>521</v>
      </c>
      <c r="D230" s="28">
        <v>8</v>
      </c>
      <c r="E230" s="28" t="s">
        <v>429</v>
      </c>
      <c r="F230" s="28" t="s">
        <v>440</v>
      </c>
      <c r="G230" s="28">
        <v>3.6999999999999997</v>
      </c>
      <c r="H230" s="28"/>
      <c r="I230" s="28"/>
      <c r="J230" s="29">
        <v>17.600000000000001</v>
      </c>
    </row>
    <row r="231" spans="1:10" x14ac:dyDescent="0.35">
      <c r="A231" s="26">
        <v>322672</v>
      </c>
      <c r="B231" s="22">
        <v>0</v>
      </c>
      <c r="C231" s="27" t="s">
        <v>522</v>
      </c>
      <c r="D231" s="28">
        <v>4</v>
      </c>
      <c r="E231" s="28" t="s">
        <v>429</v>
      </c>
      <c r="F231" s="28" t="s">
        <v>440</v>
      </c>
      <c r="G231" s="28">
        <v>7.3000000000000007</v>
      </c>
      <c r="H231" s="28"/>
      <c r="I231" s="28">
        <v>7</v>
      </c>
      <c r="J231" s="29">
        <v>15.3</v>
      </c>
    </row>
    <row r="232" spans="1:10" x14ac:dyDescent="0.35">
      <c r="A232" s="26">
        <v>322674</v>
      </c>
      <c r="B232" s="22">
        <v>0</v>
      </c>
      <c r="C232" s="27" t="s">
        <v>523</v>
      </c>
      <c r="D232" s="28">
        <v>4</v>
      </c>
      <c r="E232" s="28" t="s">
        <v>429</v>
      </c>
      <c r="F232" s="28" t="s">
        <v>440</v>
      </c>
      <c r="G232" s="28">
        <v>10.3</v>
      </c>
      <c r="H232" s="28"/>
      <c r="I232" s="28">
        <v>7</v>
      </c>
      <c r="J232" s="29">
        <v>15.3</v>
      </c>
    </row>
    <row r="233" spans="1:10" x14ac:dyDescent="0.35">
      <c r="A233" s="26">
        <v>322675</v>
      </c>
      <c r="B233" s="22">
        <v>0</v>
      </c>
      <c r="C233" s="27" t="s">
        <v>524</v>
      </c>
      <c r="D233" s="28">
        <v>8</v>
      </c>
      <c r="E233" s="28" t="s">
        <v>429</v>
      </c>
      <c r="F233" s="28" t="s">
        <v>440</v>
      </c>
      <c r="G233" s="28">
        <v>3.87</v>
      </c>
      <c r="H233" s="28"/>
      <c r="I233" s="28">
        <v>4</v>
      </c>
      <c r="J233" s="29">
        <v>17.600000000000001</v>
      </c>
    </row>
    <row r="234" spans="1:10" x14ac:dyDescent="0.35">
      <c r="A234" s="26">
        <v>322677</v>
      </c>
      <c r="B234" s="22">
        <v>0</v>
      </c>
      <c r="C234" s="27" t="s">
        <v>525</v>
      </c>
      <c r="D234" s="28">
        <v>8</v>
      </c>
      <c r="E234" s="28" t="s">
        <v>429</v>
      </c>
      <c r="F234" s="28" t="s">
        <v>440</v>
      </c>
      <c r="G234" s="28">
        <v>3.75</v>
      </c>
      <c r="H234" s="28"/>
      <c r="I234" s="28"/>
      <c r="J234" s="29">
        <v>17.600000000000001</v>
      </c>
    </row>
    <row r="235" spans="1:10" x14ac:dyDescent="0.35">
      <c r="A235" s="26">
        <v>322678</v>
      </c>
      <c r="B235" s="22">
        <v>0</v>
      </c>
      <c r="C235" s="27" t="s">
        <v>526</v>
      </c>
      <c r="D235" s="28">
        <v>8</v>
      </c>
      <c r="E235" s="28" t="s">
        <v>429</v>
      </c>
      <c r="F235" s="28" t="s">
        <v>440</v>
      </c>
      <c r="G235" s="28">
        <v>3.7</v>
      </c>
      <c r="H235" s="28"/>
      <c r="I235" s="28">
        <v>3.7</v>
      </c>
      <c r="J235" s="29">
        <v>17.600000000000001</v>
      </c>
    </row>
    <row r="236" spans="1:10" x14ac:dyDescent="0.35">
      <c r="A236" s="26">
        <v>322679</v>
      </c>
      <c r="B236" s="22">
        <v>0</v>
      </c>
      <c r="C236" s="27" t="s">
        <v>527</v>
      </c>
      <c r="D236" s="28">
        <v>4</v>
      </c>
      <c r="E236" s="28" t="s">
        <v>429</v>
      </c>
      <c r="F236" s="28" t="s">
        <v>440</v>
      </c>
      <c r="G236" s="28">
        <v>7.3000000000000007</v>
      </c>
      <c r="H236" s="28"/>
      <c r="I236" s="28">
        <v>7</v>
      </c>
      <c r="J236" s="29">
        <v>15.3</v>
      </c>
    </row>
    <row r="237" spans="1:10" x14ac:dyDescent="0.35">
      <c r="A237" s="26">
        <v>322680</v>
      </c>
      <c r="B237" s="22">
        <v>0</v>
      </c>
      <c r="C237" s="27" t="s">
        <v>528</v>
      </c>
      <c r="D237" s="28">
        <v>4</v>
      </c>
      <c r="E237" s="28" t="s">
        <v>429</v>
      </c>
      <c r="F237" s="28" t="s">
        <v>440</v>
      </c>
      <c r="G237" s="28">
        <v>7.3000000000000007</v>
      </c>
      <c r="H237" s="28"/>
      <c r="I237" s="28">
        <v>7</v>
      </c>
      <c r="J237" s="29">
        <v>15.3</v>
      </c>
    </row>
    <row r="238" spans="1:10" x14ac:dyDescent="0.35">
      <c r="A238" s="26">
        <v>322682</v>
      </c>
      <c r="B238" s="22">
        <v>0</v>
      </c>
      <c r="C238" s="27" t="s">
        <v>529</v>
      </c>
      <c r="D238" s="28">
        <v>8</v>
      </c>
      <c r="E238" s="28" t="s">
        <v>429</v>
      </c>
      <c r="F238" s="28" t="s">
        <v>440</v>
      </c>
      <c r="G238" s="28">
        <v>3.75</v>
      </c>
      <c r="H238" s="28"/>
      <c r="I238" s="28">
        <v>4</v>
      </c>
      <c r="J238" s="29">
        <v>17.600000000000001</v>
      </c>
    </row>
    <row r="239" spans="1:10" x14ac:dyDescent="0.35">
      <c r="A239" s="26">
        <v>322683</v>
      </c>
      <c r="B239" s="22">
        <v>0</v>
      </c>
      <c r="C239" s="27" t="s">
        <v>530</v>
      </c>
      <c r="D239" s="28">
        <v>8</v>
      </c>
      <c r="E239" s="28" t="s">
        <v>429</v>
      </c>
      <c r="F239" s="28" t="s">
        <v>440</v>
      </c>
      <c r="G239" s="28">
        <v>3.3000000000000003</v>
      </c>
      <c r="H239" s="28"/>
      <c r="I239" s="28">
        <v>3.3</v>
      </c>
      <c r="J239" s="29">
        <v>17.600000000000001</v>
      </c>
    </row>
    <row r="240" spans="1:10" x14ac:dyDescent="0.35">
      <c r="A240" s="26">
        <v>322684</v>
      </c>
      <c r="B240" s="22">
        <v>0</v>
      </c>
      <c r="C240" s="27" t="s">
        <v>531</v>
      </c>
      <c r="D240" s="28">
        <v>8</v>
      </c>
      <c r="E240" s="28" t="s">
        <v>429</v>
      </c>
      <c r="F240" s="28" t="s">
        <v>440</v>
      </c>
      <c r="G240" s="28">
        <v>3.7</v>
      </c>
      <c r="H240" s="28"/>
      <c r="I240" s="28">
        <v>3.7</v>
      </c>
      <c r="J240" s="29">
        <v>17.600000000000001</v>
      </c>
    </row>
    <row r="241" spans="1:10" x14ac:dyDescent="0.35">
      <c r="A241" s="26">
        <v>322685</v>
      </c>
      <c r="B241" s="22">
        <v>0</v>
      </c>
      <c r="C241" s="27" t="s">
        <v>532</v>
      </c>
      <c r="D241" s="28">
        <v>4</v>
      </c>
      <c r="E241" s="28" t="s">
        <v>429</v>
      </c>
      <c r="F241" s="28" t="s">
        <v>440</v>
      </c>
      <c r="G241" s="28">
        <v>6.4</v>
      </c>
      <c r="H241" s="28"/>
      <c r="I241" s="28">
        <v>6.4</v>
      </c>
      <c r="J241" s="29">
        <v>10.52</v>
      </c>
    </row>
    <row r="242" spans="1:10" x14ac:dyDescent="0.35">
      <c r="A242" s="26">
        <v>322688</v>
      </c>
      <c r="B242" s="22">
        <v>0</v>
      </c>
      <c r="C242" s="27" t="s">
        <v>533</v>
      </c>
      <c r="D242" s="28">
        <v>4</v>
      </c>
      <c r="E242" s="28" t="s">
        <v>429</v>
      </c>
      <c r="F242" s="28" t="s">
        <v>440</v>
      </c>
      <c r="G242" s="28">
        <v>6.4</v>
      </c>
      <c r="H242" s="28"/>
      <c r="I242" s="28">
        <v>6.4</v>
      </c>
      <c r="J242" s="29">
        <v>10.52</v>
      </c>
    </row>
    <row r="243" spans="1:10" x14ac:dyDescent="0.35">
      <c r="A243" s="26">
        <v>322689</v>
      </c>
      <c r="B243" s="22">
        <v>0</v>
      </c>
      <c r="C243" s="27" t="s">
        <v>534</v>
      </c>
      <c r="D243" s="28">
        <v>2</v>
      </c>
      <c r="E243" s="28" t="s">
        <v>429</v>
      </c>
      <c r="F243" s="28" t="s">
        <v>440</v>
      </c>
      <c r="G243" s="28">
        <v>1.7</v>
      </c>
      <c r="H243" s="28"/>
      <c r="I243" s="28">
        <v>6.6</v>
      </c>
      <c r="J243" s="29">
        <v>21</v>
      </c>
    </row>
    <row r="244" spans="1:10" x14ac:dyDescent="0.35">
      <c r="A244" s="26">
        <v>322690</v>
      </c>
      <c r="B244" s="22">
        <v>0</v>
      </c>
      <c r="C244" s="27" t="s">
        <v>535</v>
      </c>
      <c r="D244" s="28">
        <v>8</v>
      </c>
      <c r="E244" s="28" t="s">
        <v>429</v>
      </c>
      <c r="F244" s="28" t="s">
        <v>440</v>
      </c>
      <c r="G244" s="28">
        <v>3.87</v>
      </c>
      <c r="H244" s="28"/>
      <c r="I244" s="28">
        <v>3.87</v>
      </c>
      <c r="J244" s="29">
        <v>17.600000000000001</v>
      </c>
    </row>
    <row r="245" spans="1:10" x14ac:dyDescent="0.35">
      <c r="A245" s="26">
        <v>322691</v>
      </c>
      <c r="B245" s="22">
        <v>0</v>
      </c>
      <c r="C245" s="27" t="s">
        <v>536</v>
      </c>
      <c r="D245" s="28">
        <v>8</v>
      </c>
      <c r="E245" s="28" t="s">
        <v>429</v>
      </c>
      <c r="F245" s="28" t="s">
        <v>467</v>
      </c>
      <c r="G245" s="28">
        <v>1.7</v>
      </c>
      <c r="H245" s="28"/>
      <c r="I245" s="28">
        <v>1.7</v>
      </c>
      <c r="J245" s="29">
        <v>20</v>
      </c>
    </row>
    <row r="246" spans="1:10" x14ac:dyDescent="0.35">
      <c r="A246" s="26">
        <v>322692</v>
      </c>
      <c r="B246" s="22">
        <v>0</v>
      </c>
      <c r="C246" s="27" t="s">
        <v>537</v>
      </c>
      <c r="D246" s="28">
        <v>8</v>
      </c>
      <c r="E246" s="28" t="s">
        <v>429</v>
      </c>
      <c r="F246" s="28" t="s">
        <v>538</v>
      </c>
      <c r="G246" s="28">
        <v>1</v>
      </c>
      <c r="H246" s="28"/>
      <c r="I246" s="28"/>
      <c r="J246" s="29">
        <v>8.8000000000000007</v>
      </c>
    </row>
    <row r="247" spans="1:10" x14ac:dyDescent="0.35">
      <c r="A247" s="26">
        <v>322694</v>
      </c>
      <c r="B247" s="22">
        <v>0</v>
      </c>
      <c r="C247" s="27" t="s">
        <v>539</v>
      </c>
      <c r="D247" s="28">
        <v>4</v>
      </c>
      <c r="E247" s="28" t="s">
        <v>429</v>
      </c>
      <c r="F247" s="28" t="s">
        <v>450</v>
      </c>
      <c r="G247" s="28">
        <v>2.8</v>
      </c>
      <c r="H247" s="28"/>
      <c r="I247" s="28">
        <v>2.8</v>
      </c>
      <c r="J247" s="29">
        <v>9.5</v>
      </c>
    </row>
    <row r="248" spans="1:10" x14ac:dyDescent="0.35">
      <c r="A248" s="26">
        <v>322695</v>
      </c>
      <c r="B248" s="22">
        <v>0</v>
      </c>
      <c r="C248" s="27" t="s">
        <v>540</v>
      </c>
      <c r="D248" s="28">
        <v>4</v>
      </c>
      <c r="E248" s="28" t="s">
        <v>429</v>
      </c>
      <c r="F248" s="28" t="s">
        <v>450</v>
      </c>
      <c r="G248" s="28">
        <v>2.8000000000000003</v>
      </c>
      <c r="H248" s="28"/>
      <c r="I248" s="28">
        <v>2.8</v>
      </c>
      <c r="J248" s="29">
        <v>9.5</v>
      </c>
    </row>
    <row r="249" spans="1:10" x14ac:dyDescent="0.35">
      <c r="A249" s="26">
        <v>322698</v>
      </c>
      <c r="B249" s="22">
        <v>0</v>
      </c>
      <c r="C249" s="27" t="s">
        <v>541</v>
      </c>
      <c r="D249" s="28">
        <v>4</v>
      </c>
      <c r="E249" s="28" t="s">
        <v>429</v>
      </c>
      <c r="F249" s="28" t="s">
        <v>450</v>
      </c>
      <c r="G249" s="28">
        <v>2.8000000000000003</v>
      </c>
      <c r="H249" s="28"/>
      <c r="I249" s="28">
        <v>2.8</v>
      </c>
      <c r="J249" s="29">
        <v>9.5</v>
      </c>
    </row>
    <row r="250" spans="1:10" x14ac:dyDescent="0.35">
      <c r="A250" s="26">
        <v>322699</v>
      </c>
      <c r="B250" s="22">
        <v>0</v>
      </c>
      <c r="C250" s="27" t="s">
        <v>542</v>
      </c>
      <c r="D250" s="28">
        <v>2</v>
      </c>
      <c r="E250" s="28" t="s">
        <v>429</v>
      </c>
      <c r="F250" s="28" t="s">
        <v>467</v>
      </c>
      <c r="G250" s="28">
        <v>2</v>
      </c>
      <c r="H250" s="28"/>
      <c r="I250" s="28">
        <v>2</v>
      </c>
      <c r="J250" s="29">
        <v>13</v>
      </c>
    </row>
    <row r="251" spans="1:10" x14ac:dyDescent="0.35">
      <c r="A251" s="26">
        <v>322999</v>
      </c>
      <c r="B251" s="22">
        <v>0</v>
      </c>
      <c r="C251" s="27" t="s">
        <v>543</v>
      </c>
      <c r="D251" s="28">
        <v>4</v>
      </c>
      <c r="E251" s="28" t="s">
        <v>298</v>
      </c>
      <c r="F251" s="28" t="s">
        <v>1</v>
      </c>
      <c r="G251" s="28">
        <v>23</v>
      </c>
      <c r="H251" s="28"/>
      <c r="I251" s="28">
        <v>23</v>
      </c>
      <c r="J251" s="29">
        <v>18</v>
      </c>
    </row>
    <row r="252" spans="1:10" x14ac:dyDescent="0.35">
      <c r="A252" s="26">
        <v>323000</v>
      </c>
      <c r="B252" s="22">
        <v>0</v>
      </c>
      <c r="C252" s="27" t="s">
        <v>544</v>
      </c>
      <c r="D252" s="28">
        <v>4</v>
      </c>
      <c r="E252" s="28" t="s">
        <v>298</v>
      </c>
      <c r="F252" s="28" t="s">
        <v>1</v>
      </c>
      <c r="G252" s="28">
        <v>24</v>
      </c>
      <c r="H252" s="28"/>
      <c r="I252" s="28">
        <v>23</v>
      </c>
      <c r="J252" s="29">
        <v>36</v>
      </c>
    </row>
    <row r="253" spans="1:10" x14ac:dyDescent="0.35">
      <c r="A253" s="26">
        <v>323005</v>
      </c>
      <c r="B253" s="22">
        <v>0</v>
      </c>
      <c r="C253" s="27" t="s">
        <v>545</v>
      </c>
      <c r="D253" s="28">
        <v>4</v>
      </c>
      <c r="E253" s="28" t="s">
        <v>298</v>
      </c>
      <c r="F253" s="28" t="s">
        <v>1</v>
      </c>
      <c r="G253" s="28">
        <v>55</v>
      </c>
      <c r="H253" s="28"/>
      <c r="I253" s="28">
        <v>45.28</v>
      </c>
      <c r="J253" s="29">
        <v>23.52</v>
      </c>
    </row>
    <row r="254" spans="1:10" x14ac:dyDescent="0.35">
      <c r="A254" s="26">
        <v>323009</v>
      </c>
      <c r="B254" s="22">
        <v>0</v>
      </c>
      <c r="C254" s="27" t="s">
        <v>546</v>
      </c>
      <c r="D254" s="28">
        <v>4</v>
      </c>
      <c r="E254" s="28" t="s">
        <v>298</v>
      </c>
      <c r="F254" s="28" t="s">
        <v>1</v>
      </c>
      <c r="G254" s="28">
        <v>45</v>
      </c>
      <c r="H254" s="28"/>
      <c r="I254" s="28">
        <v>56.5</v>
      </c>
      <c r="J254" s="29">
        <v>26.4</v>
      </c>
    </row>
    <row r="255" spans="1:10" x14ac:dyDescent="0.35">
      <c r="A255" s="26">
        <v>323011</v>
      </c>
      <c r="B255" s="22">
        <v>0</v>
      </c>
      <c r="C255" s="27" t="s">
        <v>547</v>
      </c>
      <c r="D255" s="28">
        <v>2</v>
      </c>
      <c r="E255" s="28" t="s">
        <v>298</v>
      </c>
      <c r="F255" s="28" t="s">
        <v>12</v>
      </c>
      <c r="G255" s="28">
        <v>55.9</v>
      </c>
      <c r="H255" s="28"/>
      <c r="I255" s="28">
        <v>55.9</v>
      </c>
      <c r="J255" s="29">
        <v>13</v>
      </c>
    </row>
    <row r="256" spans="1:10" x14ac:dyDescent="0.35">
      <c r="A256" s="26">
        <v>323012</v>
      </c>
      <c r="B256" s="22">
        <v>0</v>
      </c>
      <c r="C256" s="27" t="s">
        <v>548</v>
      </c>
      <c r="D256" s="28">
        <v>2</v>
      </c>
      <c r="E256" s="28" t="s">
        <v>298</v>
      </c>
      <c r="F256" s="28" t="s">
        <v>1</v>
      </c>
      <c r="G256" s="28">
        <v>55</v>
      </c>
      <c r="H256" s="28"/>
      <c r="I256" s="28">
        <v>55</v>
      </c>
      <c r="J256" s="29">
        <v>36</v>
      </c>
    </row>
    <row r="257" spans="1:10" x14ac:dyDescent="0.35">
      <c r="A257" s="26">
        <v>323015</v>
      </c>
      <c r="B257" s="22">
        <v>0</v>
      </c>
      <c r="C257" s="27" t="s">
        <v>549</v>
      </c>
      <c r="D257" s="28">
        <v>4</v>
      </c>
      <c r="E257" s="28" t="s">
        <v>298</v>
      </c>
      <c r="F257" s="28" t="s">
        <v>1</v>
      </c>
      <c r="G257" s="28">
        <v>22.5</v>
      </c>
      <c r="H257" s="28"/>
      <c r="I257" s="28">
        <v>23</v>
      </c>
      <c r="J257" s="29">
        <v>14</v>
      </c>
    </row>
    <row r="258" spans="1:10" x14ac:dyDescent="0.35">
      <c r="A258" s="26">
        <v>323027</v>
      </c>
      <c r="B258" s="22">
        <v>0</v>
      </c>
      <c r="C258" s="27" t="s">
        <v>550</v>
      </c>
      <c r="D258" s="28">
        <v>4</v>
      </c>
      <c r="E258" s="28" t="s">
        <v>298</v>
      </c>
      <c r="F258" s="28" t="s">
        <v>1</v>
      </c>
      <c r="G258" s="28">
        <v>23.9</v>
      </c>
      <c r="H258" s="28"/>
      <c r="I258" s="28">
        <v>29.15</v>
      </c>
      <c r="J258" s="29">
        <v>27.44</v>
      </c>
    </row>
    <row r="259" spans="1:10" x14ac:dyDescent="0.35">
      <c r="A259" s="26">
        <v>323037</v>
      </c>
      <c r="B259" s="22">
        <v>0</v>
      </c>
      <c r="C259" s="27" t="s">
        <v>551</v>
      </c>
      <c r="D259" s="28">
        <v>4</v>
      </c>
      <c r="E259" s="28" t="s">
        <v>298</v>
      </c>
      <c r="F259" s="28" t="s">
        <v>1</v>
      </c>
      <c r="G259" s="28">
        <v>39.14</v>
      </c>
      <c r="H259" s="28"/>
      <c r="I259" s="28">
        <v>39.1</v>
      </c>
      <c r="J259" s="29">
        <v>22</v>
      </c>
    </row>
    <row r="260" spans="1:10" x14ac:dyDescent="0.35">
      <c r="A260" s="26">
        <v>323039</v>
      </c>
      <c r="B260" s="22">
        <v>0</v>
      </c>
      <c r="C260" s="27" t="s">
        <v>552</v>
      </c>
      <c r="D260" s="28">
        <v>4</v>
      </c>
      <c r="E260" s="28" t="s">
        <v>298</v>
      </c>
      <c r="F260" s="28" t="s">
        <v>1</v>
      </c>
      <c r="G260" s="28">
        <v>34.5</v>
      </c>
      <c r="H260" s="28"/>
      <c r="I260" s="28">
        <v>33</v>
      </c>
      <c r="J260" s="29">
        <v>22</v>
      </c>
    </row>
    <row r="261" spans="1:10" x14ac:dyDescent="0.35">
      <c r="A261" s="26">
        <v>323046</v>
      </c>
      <c r="B261" s="22">
        <v>0</v>
      </c>
      <c r="C261" s="27" t="s">
        <v>553</v>
      </c>
      <c r="D261" s="28">
        <v>4</v>
      </c>
      <c r="E261" s="28" t="s">
        <v>298</v>
      </c>
      <c r="F261" s="28" t="s">
        <v>1</v>
      </c>
      <c r="G261" s="28">
        <v>34.5</v>
      </c>
      <c r="H261" s="28"/>
      <c r="I261" s="28">
        <v>44</v>
      </c>
      <c r="J261" s="29">
        <v>22</v>
      </c>
    </row>
    <row r="262" spans="1:10" x14ac:dyDescent="0.35">
      <c r="A262" s="26">
        <v>323071</v>
      </c>
      <c r="B262" s="22">
        <v>0</v>
      </c>
      <c r="C262" s="27" t="s">
        <v>554</v>
      </c>
      <c r="D262" s="28">
        <v>4</v>
      </c>
      <c r="E262" s="28" t="s">
        <v>298</v>
      </c>
      <c r="F262" s="28" t="s">
        <v>1</v>
      </c>
      <c r="G262" s="28">
        <v>45.8</v>
      </c>
      <c r="H262" s="28"/>
      <c r="I262" s="28">
        <v>45.8</v>
      </c>
      <c r="J262" s="29">
        <v>27</v>
      </c>
    </row>
    <row r="263" spans="1:10" x14ac:dyDescent="0.35">
      <c r="A263" s="26">
        <v>323072</v>
      </c>
      <c r="B263" s="22">
        <v>0</v>
      </c>
      <c r="C263" s="27" t="s">
        <v>555</v>
      </c>
      <c r="D263" s="28">
        <v>4</v>
      </c>
      <c r="E263" s="28" t="s">
        <v>298</v>
      </c>
      <c r="F263" s="28" t="s">
        <v>1</v>
      </c>
      <c r="G263" s="28">
        <v>34.5</v>
      </c>
      <c r="H263" s="28"/>
      <c r="I263" s="28">
        <v>34.5</v>
      </c>
      <c r="J263" s="29">
        <v>22</v>
      </c>
    </row>
    <row r="264" spans="1:10" x14ac:dyDescent="0.35">
      <c r="A264" s="26">
        <v>323077</v>
      </c>
      <c r="B264" s="22">
        <v>0</v>
      </c>
      <c r="C264" s="27" t="s">
        <v>556</v>
      </c>
      <c r="D264" s="28">
        <v>4</v>
      </c>
      <c r="E264" s="28" t="s">
        <v>298</v>
      </c>
      <c r="F264" s="28" t="s">
        <v>1</v>
      </c>
      <c r="G264" s="28">
        <v>57.9</v>
      </c>
      <c r="H264" s="28"/>
      <c r="I264" s="28">
        <v>56.89</v>
      </c>
      <c r="J264" s="29">
        <v>31.68</v>
      </c>
    </row>
    <row r="265" spans="1:10" x14ac:dyDescent="0.35">
      <c r="A265" s="26">
        <v>323079</v>
      </c>
      <c r="B265" s="22">
        <v>0</v>
      </c>
      <c r="C265" s="27" t="s">
        <v>557</v>
      </c>
      <c r="D265" s="28">
        <v>4</v>
      </c>
      <c r="E265" s="28" t="s">
        <v>298</v>
      </c>
      <c r="F265" s="28" t="s">
        <v>1</v>
      </c>
      <c r="G265" s="28">
        <v>57.9</v>
      </c>
      <c r="H265" s="28"/>
      <c r="I265" s="28">
        <v>57.9</v>
      </c>
      <c r="J265" s="29">
        <v>31.68</v>
      </c>
    </row>
    <row r="266" spans="1:10" x14ac:dyDescent="0.35">
      <c r="A266" s="26">
        <v>323081</v>
      </c>
      <c r="B266" s="22">
        <v>0</v>
      </c>
      <c r="C266" s="27" t="s">
        <v>558</v>
      </c>
      <c r="D266" s="28">
        <v>4</v>
      </c>
      <c r="E266" s="28" t="s">
        <v>298</v>
      </c>
      <c r="F266" s="28" t="s">
        <v>1</v>
      </c>
      <c r="G266" s="28">
        <v>57.9</v>
      </c>
      <c r="H266" s="28"/>
      <c r="I266" s="28">
        <v>56.9</v>
      </c>
      <c r="J266" s="29">
        <v>31.68</v>
      </c>
    </row>
    <row r="267" spans="1:10" x14ac:dyDescent="0.35">
      <c r="A267" s="26">
        <v>323083</v>
      </c>
      <c r="B267" s="22">
        <v>0</v>
      </c>
      <c r="C267" s="27" t="s">
        <v>559</v>
      </c>
      <c r="D267" s="28">
        <v>4</v>
      </c>
      <c r="E267" s="28" t="s">
        <v>298</v>
      </c>
      <c r="F267" s="28" t="s">
        <v>1</v>
      </c>
      <c r="G267" s="28">
        <v>57.9</v>
      </c>
      <c r="H267" s="28"/>
      <c r="I267" s="28">
        <v>56.9</v>
      </c>
      <c r="J267" s="29">
        <v>31.68</v>
      </c>
    </row>
    <row r="268" spans="1:10" x14ac:dyDescent="0.35">
      <c r="A268" s="26">
        <v>323084</v>
      </c>
      <c r="B268" s="22">
        <v>0</v>
      </c>
      <c r="C268" s="27" t="s">
        <v>560</v>
      </c>
      <c r="D268" s="28">
        <v>8</v>
      </c>
      <c r="E268" s="28" t="s">
        <v>429</v>
      </c>
      <c r="F268" s="28" t="s">
        <v>430</v>
      </c>
      <c r="G268" s="28">
        <v>11.39</v>
      </c>
      <c r="H268" s="28"/>
      <c r="I268" s="28">
        <v>11</v>
      </c>
      <c r="J268" s="29">
        <v>30</v>
      </c>
    </row>
    <row r="269" spans="1:10" x14ac:dyDescent="0.35">
      <c r="A269" s="26">
        <v>323087</v>
      </c>
      <c r="B269" s="22">
        <v>0</v>
      </c>
      <c r="C269" s="27" t="s">
        <v>561</v>
      </c>
      <c r="D269" s="28">
        <v>4</v>
      </c>
      <c r="E269" s="28" t="s">
        <v>298</v>
      </c>
      <c r="F269" s="28" t="s">
        <v>1</v>
      </c>
      <c r="G269" s="28">
        <v>56</v>
      </c>
      <c r="H269" s="28"/>
      <c r="I269" s="28">
        <v>56</v>
      </c>
      <c r="J269" s="29">
        <v>23.52</v>
      </c>
    </row>
    <row r="270" spans="1:10" x14ac:dyDescent="0.35">
      <c r="A270" s="26">
        <v>323089</v>
      </c>
      <c r="B270" s="22">
        <v>0</v>
      </c>
      <c r="C270" s="27" t="s">
        <v>562</v>
      </c>
      <c r="D270" s="28">
        <v>4</v>
      </c>
      <c r="E270" s="28" t="s">
        <v>298</v>
      </c>
      <c r="F270" s="28" t="s">
        <v>1</v>
      </c>
      <c r="G270" s="28">
        <v>56</v>
      </c>
      <c r="H270" s="28"/>
      <c r="I270" s="28">
        <v>55.51</v>
      </c>
      <c r="J270" s="29">
        <v>23.52</v>
      </c>
    </row>
    <row r="271" spans="1:10" x14ac:dyDescent="0.35">
      <c r="A271" s="26">
        <v>323091</v>
      </c>
      <c r="B271" s="22">
        <v>0</v>
      </c>
      <c r="C271" s="27" t="s">
        <v>563</v>
      </c>
      <c r="D271" s="28">
        <v>4</v>
      </c>
      <c r="E271" s="28" t="s">
        <v>298</v>
      </c>
      <c r="F271" s="28" t="s">
        <v>1</v>
      </c>
      <c r="G271" s="28">
        <v>48.71</v>
      </c>
      <c r="H271" s="28"/>
      <c r="I271" s="28">
        <v>48.71</v>
      </c>
      <c r="J271" s="29">
        <v>26.4</v>
      </c>
    </row>
    <row r="272" spans="1:10" x14ac:dyDescent="0.35">
      <c r="A272" s="26">
        <v>323092</v>
      </c>
      <c r="B272" s="22">
        <v>0</v>
      </c>
      <c r="C272" s="27" t="s">
        <v>133</v>
      </c>
      <c r="D272" s="28">
        <v>4</v>
      </c>
      <c r="E272" s="28" t="s">
        <v>298</v>
      </c>
      <c r="F272" s="28" t="s">
        <v>1</v>
      </c>
      <c r="G272" s="28">
        <v>48.9</v>
      </c>
      <c r="H272" s="28"/>
      <c r="I272" s="28">
        <v>48.9</v>
      </c>
      <c r="J272" s="29">
        <v>27.6</v>
      </c>
    </row>
    <row r="273" spans="1:10" x14ac:dyDescent="0.35">
      <c r="A273" s="26">
        <v>323094</v>
      </c>
      <c r="B273" s="22">
        <v>0</v>
      </c>
      <c r="C273" s="27" t="s">
        <v>564</v>
      </c>
      <c r="D273" s="28">
        <v>4</v>
      </c>
      <c r="E273" s="28" t="s">
        <v>298</v>
      </c>
      <c r="F273" s="28" t="s">
        <v>1</v>
      </c>
      <c r="G273" s="28">
        <v>77.2</v>
      </c>
      <c r="H273" s="28"/>
      <c r="I273" s="28">
        <v>77.2</v>
      </c>
      <c r="J273" s="29">
        <v>32</v>
      </c>
    </row>
    <row r="274" spans="1:10" x14ac:dyDescent="0.35">
      <c r="A274" s="26">
        <v>323102</v>
      </c>
      <c r="B274" s="22">
        <v>0</v>
      </c>
      <c r="C274" s="27" t="s">
        <v>565</v>
      </c>
      <c r="D274" s="28">
        <v>4</v>
      </c>
      <c r="E274" s="28" t="s">
        <v>298</v>
      </c>
      <c r="F274" s="28" t="s">
        <v>1</v>
      </c>
      <c r="G274" s="28">
        <v>56.9</v>
      </c>
      <c r="H274" s="28"/>
      <c r="I274" s="28">
        <v>56.9</v>
      </c>
      <c r="J274" s="29">
        <v>26</v>
      </c>
    </row>
    <row r="275" spans="1:10" x14ac:dyDescent="0.35">
      <c r="A275" s="26">
        <v>323104</v>
      </c>
      <c r="B275" s="22">
        <v>0</v>
      </c>
      <c r="C275" s="27" t="s">
        <v>566</v>
      </c>
      <c r="D275" s="28">
        <v>4</v>
      </c>
      <c r="E275" s="28" t="s">
        <v>298</v>
      </c>
      <c r="F275" s="28" t="s">
        <v>1</v>
      </c>
      <c r="G275" s="28">
        <v>56.9</v>
      </c>
      <c r="H275" s="28"/>
      <c r="I275" s="28">
        <v>55.9</v>
      </c>
      <c r="J275" s="29">
        <v>26</v>
      </c>
    </row>
    <row r="276" spans="1:10" x14ac:dyDescent="0.35">
      <c r="A276" s="26">
        <v>323106</v>
      </c>
      <c r="B276" s="22">
        <v>0</v>
      </c>
      <c r="C276" s="27" t="s">
        <v>567</v>
      </c>
      <c r="D276" s="28">
        <v>2</v>
      </c>
      <c r="E276" s="28" t="s">
        <v>298</v>
      </c>
      <c r="F276" s="28" t="s">
        <v>1</v>
      </c>
      <c r="G276" s="28">
        <v>75</v>
      </c>
      <c r="H276" s="28"/>
      <c r="I276" s="28">
        <v>75</v>
      </c>
      <c r="J276" s="29">
        <v>31.94</v>
      </c>
    </row>
    <row r="277" spans="1:10" x14ac:dyDescent="0.35">
      <c r="A277" s="26">
        <v>323107</v>
      </c>
      <c r="B277" s="22">
        <v>0</v>
      </c>
      <c r="C277" s="27" t="s">
        <v>568</v>
      </c>
      <c r="D277" s="28">
        <v>2</v>
      </c>
      <c r="E277" s="28" t="s">
        <v>298</v>
      </c>
      <c r="F277" s="28" t="s">
        <v>1</v>
      </c>
      <c r="G277" s="28">
        <v>75</v>
      </c>
      <c r="H277" s="28"/>
      <c r="I277" s="28">
        <v>75</v>
      </c>
      <c r="J277" s="29">
        <v>31.94</v>
      </c>
    </row>
    <row r="278" spans="1:10" x14ac:dyDescent="0.35">
      <c r="A278" s="26">
        <v>323110</v>
      </c>
      <c r="B278" s="22">
        <v>0</v>
      </c>
      <c r="C278" s="27" t="s">
        <v>569</v>
      </c>
      <c r="D278" s="28">
        <v>2</v>
      </c>
      <c r="E278" s="28" t="s">
        <v>298</v>
      </c>
      <c r="F278" s="28" t="s">
        <v>1</v>
      </c>
      <c r="G278" s="28">
        <v>75</v>
      </c>
      <c r="H278" s="28"/>
      <c r="I278" s="28">
        <v>73.2</v>
      </c>
      <c r="J278" s="29">
        <v>33</v>
      </c>
    </row>
    <row r="279" spans="1:10" x14ac:dyDescent="0.35">
      <c r="A279" s="26">
        <v>323111</v>
      </c>
      <c r="B279" s="22">
        <v>0</v>
      </c>
      <c r="C279" s="27" t="s">
        <v>570</v>
      </c>
      <c r="D279" s="28">
        <v>2</v>
      </c>
      <c r="E279" s="28" t="s">
        <v>298</v>
      </c>
      <c r="F279" s="28" t="s">
        <v>1</v>
      </c>
      <c r="G279" s="28">
        <v>75</v>
      </c>
      <c r="H279" s="28"/>
      <c r="I279" s="28">
        <v>73.2</v>
      </c>
      <c r="J279" s="29">
        <v>33</v>
      </c>
    </row>
    <row r="280" spans="1:10" x14ac:dyDescent="0.35">
      <c r="A280" s="26">
        <v>323113</v>
      </c>
      <c r="B280" s="22">
        <v>0</v>
      </c>
      <c r="C280" s="27" t="s">
        <v>571</v>
      </c>
      <c r="D280" s="28">
        <v>2</v>
      </c>
      <c r="E280" s="28" t="s">
        <v>298</v>
      </c>
      <c r="F280" s="28" t="s">
        <v>1</v>
      </c>
      <c r="G280" s="28">
        <v>75</v>
      </c>
      <c r="H280" s="28"/>
      <c r="I280" s="28">
        <v>73.2</v>
      </c>
      <c r="J280" s="29">
        <v>33</v>
      </c>
    </row>
    <row r="281" spans="1:10" x14ac:dyDescent="0.35">
      <c r="A281" s="26">
        <v>323115</v>
      </c>
      <c r="B281" s="22">
        <v>0</v>
      </c>
      <c r="C281" s="27" t="s">
        <v>572</v>
      </c>
      <c r="D281" s="28">
        <v>2</v>
      </c>
      <c r="E281" s="28" t="s">
        <v>298</v>
      </c>
      <c r="F281" s="28" t="s">
        <v>1</v>
      </c>
      <c r="G281" s="28">
        <v>56</v>
      </c>
      <c r="H281" s="28"/>
      <c r="I281" s="28">
        <v>78</v>
      </c>
      <c r="J281" s="29">
        <v>17</v>
      </c>
    </row>
    <row r="282" spans="1:10" x14ac:dyDescent="0.35">
      <c r="A282" s="26">
        <v>323117</v>
      </c>
      <c r="B282" s="22">
        <v>0</v>
      </c>
      <c r="C282" s="27" t="s">
        <v>573</v>
      </c>
      <c r="D282" s="28">
        <v>2</v>
      </c>
      <c r="E282" s="28" t="s">
        <v>298</v>
      </c>
      <c r="F282" s="28" t="s">
        <v>1</v>
      </c>
      <c r="G282" s="28">
        <v>75</v>
      </c>
      <c r="H282" s="28"/>
      <c r="I282" s="28">
        <v>73.2</v>
      </c>
      <c r="J282" s="29">
        <v>33</v>
      </c>
    </row>
    <row r="283" spans="1:10" x14ac:dyDescent="0.35">
      <c r="A283" s="26">
        <v>323118</v>
      </c>
      <c r="B283" s="22">
        <v>0</v>
      </c>
      <c r="C283" s="27" t="s">
        <v>574</v>
      </c>
      <c r="D283" s="28">
        <v>8</v>
      </c>
      <c r="E283" s="28" t="s">
        <v>429</v>
      </c>
      <c r="F283" s="28" t="s">
        <v>430</v>
      </c>
      <c r="G283" s="28">
        <v>11.39</v>
      </c>
      <c r="H283" s="28"/>
      <c r="I283" s="28">
        <v>11</v>
      </c>
      <c r="J283" s="29">
        <v>30</v>
      </c>
    </row>
    <row r="284" spans="1:10" x14ac:dyDescent="0.35">
      <c r="A284" s="26">
        <v>323132</v>
      </c>
      <c r="B284" s="22">
        <v>0</v>
      </c>
      <c r="C284" s="27" t="s">
        <v>575</v>
      </c>
      <c r="D284" s="28">
        <v>4</v>
      </c>
      <c r="E284" s="28" t="s">
        <v>298</v>
      </c>
      <c r="F284" s="28" t="s">
        <v>1</v>
      </c>
      <c r="G284" s="28">
        <v>76</v>
      </c>
      <c r="H284" s="28"/>
      <c r="I284" s="28">
        <v>76</v>
      </c>
      <c r="J284" s="29">
        <v>35</v>
      </c>
    </row>
    <row r="285" spans="1:10" x14ac:dyDescent="0.35">
      <c r="A285" s="26">
        <v>323133</v>
      </c>
      <c r="B285" s="22">
        <v>0</v>
      </c>
      <c r="C285" s="27" t="s">
        <v>26</v>
      </c>
      <c r="D285" s="28">
        <v>4</v>
      </c>
      <c r="E285" s="28" t="s">
        <v>298</v>
      </c>
      <c r="F285" s="28" t="s">
        <v>1</v>
      </c>
      <c r="G285" s="28">
        <v>77</v>
      </c>
      <c r="H285" s="28"/>
      <c r="I285" s="28">
        <v>77</v>
      </c>
      <c r="J285" s="29">
        <v>35</v>
      </c>
    </row>
    <row r="286" spans="1:10" x14ac:dyDescent="0.35">
      <c r="A286" s="26">
        <v>323135</v>
      </c>
      <c r="B286" s="22">
        <v>0</v>
      </c>
      <c r="C286" s="27" t="s">
        <v>576</v>
      </c>
      <c r="D286" s="28">
        <v>4</v>
      </c>
      <c r="E286" s="28" t="s">
        <v>298</v>
      </c>
      <c r="F286" s="28" t="s">
        <v>1</v>
      </c>
      <c r="G286" s="28">
        <v>77</v>
      </c>
      <c r="H286" s="28"/>
      <c r="I286" s="28">
        <v>77</v>
      </c>
      <c r="J286" s="29">
        <v>35</v>
      </c>
    </row>
    <row r="287" spans="1:10" x14ac:dyDescent="0.35">
      <c r="A287" s="26">
        <v>323509</v>
      </c>
      <c r="B287" s="22">
        <v>0</v>
      </c>
      <c r="C287" s="27" t="s">
        <v>577</v>
      </c>
      <c r="D287" s="28">
        <v>4</v>
      </c>
      <c r="E287" s="28" t="s">
        <v>429</v>
      </c>
      <c r="F287" s="28" t="s">
        <v>467</v>
      </c>
      <c r="G287" s="28">
        <v>4.8499999999999996</v>
      </c>
      <c r="H287" s="28"/>
      <c r="I287" s="28">
        <v>4.6500000000000004</v>
      </c>
      <c r="J287" s="29">
        <v>16.2</v>
      </c>
    </row>
    <row r="288" spans="1:10" x14ac:dyDescent="0.35">
      <c r="A288" s="26">
        <v>324108</v>
      </c>
      <c r="B288" s="22">
        <v>0</v>
      </c>
      <c r="C288" s="27" t="s">
        <v>578</v>
      </c>
      <c r="D288" s="28">
        <v>4</v>
      </c>
      <c r="E288" s="28" t="s">
        <v>298</v>
      </c>
      <c r="F288" s="28" t="s">
        <v>1</v>
      </c>
      <c r="G288" s="28">
        <v>29</v>
      </c>
      <c r="H288" s="28"/>
      <c r="I288" s="28">
        <v>28.5</v>
      </c>
      <c r="J288" s="29">
        <v>27.388000000000002</v>
      </c>
    </row>
    <row r="289" spans="1:10" x14ac:dyDescent="0.35">
      <c r="A289" s="26">
        <v>324124</v>
      </c>
      <c r="B289" s="22">
        <v>0</v>
      </c>
      <c r="C289" s="27" t="s">
        <v>579</v>
      </c>
      <c r="D289" s="28">
        <v>4</v>
      </c>
      <c r="E289" s="28" t="s">
        <v>298</v>
      </c>
      <c r="F289" s="28" t="s">
        <v>1</v>
      </c>
      <c r="G289" s="28">
        <v>23</v>
      </c>
      <c r="H289" s="28"/>
      <c r="I289" s="28">
        <v>23</v>
      </c>
      <c r="J289" s="29">
        <v>27.64</v>
      </c>
    </row>
    <row r="290" spans="1:10" x14ac:dyDescent="0.35">
      <c r="A290" s="26">
        <v>324125</v>
      </c>
      <c r="B290" s="22">
        <v>0</v>
      </c>
      <c r="C290" s="27" t="s">
        <v>580</v>
      </c>
      <c r="D290" s="28">
        <v>4</v>
      </c>
      <c r="E290" s="28" t="s">
        <v>298</v>
      </c>
      <c r="F290" s="28" t="s">
        <v>1</v>
      </c>
      <c r="G290" s="28">
        <v>22.8</v>
      </c>
      <c r="H290" s="28"/>
      <c r="I290" s="28">
        <v>22.8</v>
      </c>
      <c r="J290" s="29">
        <v>34.72</v>
      </c>
    </row>
    <row r="291" spans="1:10" x14ac:dyDescent="0.35">
      <c r="A291" s="26">
        <v>324126</v>
      </c>
      <c r="B291" s="22">
        <v>0</v>
      </c>
      <c r="C291" s="27" t="s">
        <v>581</v>
      </c>
      <c r="D291" s="28">
        <v>4</v>
      </c>
      <c r="E291" s="28" t="s">
        <v>298</v>
      </c>
      <c r="F291" s="28" t="s">
        <v>1</v>
      </c>
      <c r="G291" s="28">
        <v>22.6</v>
      </c>
      <c r="H291" s="28"/>
      <c r="I291" s="28">
        <v>31</v>
      </c>
      <c r="J291" s="29">
        <v>16.04</v>
      </c>
    </row>
    <row r="292" spans="1:10" x14ac:dyDescent="0.35">
      <c r="A292" s="26">
        <v>324142</v>
      </c>
      <c r="B292" s="22">
        <v>0</v>
      </c>
      <c r="C292" s="27" t="s">
        <v>582</v>
      </c>
      <c r="D292" s="28">
        <v>4</v>
      </c>
      <c r="E292" s="28" t="s">
        <v>298</v>
      </c>
      <c r="F292" s="28" t="s">
        <v>1</v>
      </c>
      <c r="G292" s="28">
        <v>27</v>
      </c>
      <c r="H292" s="28"/>
      <c r="I292" s="28">
        <v>28.7</v>
      </c>
      <c r="J292" s="29">
        <v>22</v>
      </c>
    </row>
    <row r="293" spans="1:10" x14ac:dyDescent="0.35">
      <c r="A293" s="26">
        <v>324143</v>
      </c>
      <c r="B293" s="22">
        <v>0</v>
      </c>
      <c r="C293" s="27" t="s">
        <v>583</v>
      </c>
      <c r="D293" s="28">
        <v>4</v>
      </c>
      <c r="E293" s="28" t="s">
        <v>298</v>
      </c>
      <c r="F293" s="28" t="s">
        <v>1</v>
      </c>
      <c r="G293" s="28">
        <v>34.5</v>
      </c>
      <c r="H293" s="28"/>
      <c r="I293" s="28">
        <v>45.3</v>
      </c>
      <c r="J293" s="29">
        <v>22</v>
      </c>
    </row>
    <row r="294" spans="1:10" x14ac:dyDescent="0.35">
      <c r="A294" s="26">
        <v>324144</v>
      </c>
      <c r="B294" s="22">
        <v>0</v>
      </c>
      <c r="C294" s="27" t="s">
        <v>584</v>
      </c>
      <c r="D294" s="28">
        <v>4</v>
      </c>
      <c r="E294" s="28" t="s">
        <v>298</v>
      </c>
      <c r="F294" s="28" t="s">
        <v>1</v>
      </c>
      <c r="G294" s="28">
        <v>45.3</v>
      </c>
      <c r="H294" s="28"/>
      <c r="I294" s="28">
        <v>44.7</v>
      </c>
      <c r="J294" s="29">
        <v>24</v>
      </c>
    </row>
    <row r="295" spans="1:10" x14ac:dyDescent="0.35">
      <c r="A295" s="26">
        <v>324145</v>
      </c>
      <c r="B295" s="22">
        <v>0</v>
      </c>
      <c r="C295" s="27" t="s">
        <v>585</v>
      </c>
      <c r="D295" s="28">
        <v>4</v>
      </c>
      <c r="E295" s="28" t="s">
        <v>298</v>
      </c>
      <c r="F295" s="28" t="s">
        <v>1</v>
      </c>
      <c r="G295" s="28">
        <v>34.5</v>
      </c>
      <c r="H295" s="28"/>
      <c r="I295" s="28">
        <v>33.68</v>
      </c>
      <c r="J295" s="29">
        <v>22</v>
      </c>
    </row>
    <row r="296" spans="1:10" x14ac:dyDescent="0.35">
      <c r="A296" s="26">
        <v>324150</v>
      </c>
      <c r="B296" s="22">
        <v>0</v>
      </c>
      <c r="C296" s="27" t="s">
        <v>586</v>
      </c>
      <c r="D296" s="28">
        <v>4</v>
      </c>
      <c r="E296" s="28" t="s">
        <v>298</v>
      </c>
      <c r="F296" s="28" t="s">
        <v>1</v>
      </c>
      <c r="G296" s="28">
        <v>56.8</v>
      </c>
      <c r="H296" s="28"/>
      <c r="I296" s="28">
        <v>56.5</v>
      </c>
      <c r="J296" s="29">
        <v>28.5</v>
      </c>
    </row>
    <row r="297" spans="1:10" x14ac:dyDescent="0.35">
      <c r="A297" s="26">
        <v>324151</v>
      </c>
      <c r="B297" s="22">
        <v>0</v>
      </c>
      <c r="C297" s="27" t="s">
        <v>587</v>
      </c>
      <c r="D297" s="28">
        <v>4</v>
      </c>
      <c r="E297" s="28" t="s">
        <v>298</v>
      </c>
      <c r="F297" s="28" t="s">
        <v>1</v>
      </c>
      <c r="G297" s="28">
        <v>31.3</v>
      </c>
      <c r="H297" s="28"/>
      <c r="I297" s="28">
        <v>31.5</v>
      </c>
      <c r="J297" s="29">
        <v>28</v>
      </c>
    </row>
    <row r="298" spans="1:10" x14ac:dyDescent="0.35">
      <c r="A298" s="26">
        <v>324152</v>
      </c>
      <c r="B298" s="22">
        <v>0</v>
      </c>
      <c r="C298" s="27" t="s">
        <v>588</v>
      </c>
      <c r="D298" s="28">
        <v>4</v>
      </c>
      <c r="E298" s="28" t="s">
        <v>298</v>
      </c>
      <c r="F298" s="28" t="s">
        <v>1</v>
      </c>
      <c r="G298" s="28">
        <v>31.5</v>
      </c>
      <c r="H298" s="28"/>
      <c r="I298" s="28">
        <v>29.4</v>
      </c>
      <c r="J298" s="29">
        <v>36.4</v>
      </c>
    </row>
    <row r="299" spans="1:10" x14ac:dyDescent="0.35">
      <c r="A299" s="26">
        <v>324154</v>
      </c>
      <c r="B299" s="22">
        <v>0</v>
      </c>
      <c r="C299" s="27" t="s">
        <v>589</v>
      </c>
      <c r="D299" s="28">
        <v>8</v>
      </c>
      <c r="E299" s="28" t="s">
        <v>429</v>
      </c>
      <c r="F299" s="28" t="s">
        <v>440</v>
      </c>
      <c r="G299" s="28">
        <v>3.75</v>
      </c>
      <c r="H299" s="28"/>
      <c r="I299" s="28">
        <v>3.75</v>
      </c>
      <c r="J299" s="29">
        <v>17.600000000000001</v>
      </c>
    </row>
    <row r="300" spans="1:10" x14ac:dyDescent="0.35">
      <c r="A300" s="26">
        <v>324155</v>
      </c>
      <c r="B300" s="22">
        <v>0</v>
      </c>
      <c r="C300" s="27" t="s">
        <v>590</v>
      </c>
      <c r="D300" s="28">
        <v>4</v>
      </c>
      <c r="E300" s="28" t="s">
        <v>429</v>
      </c>
      <c r="F300" s="28" t="s">
        <v>440</v>
      </c>
      <c r="G300" s="28">
        <v>7.3000000000000007</v>
      </c>
      <c r="H300" s="28"/>
      <c r="I300" s="28">
        <v>7</v>
      </c>
      <c r="J300" s="29">
        <v>15.3</v>
      </c>
    </row>
    <row r="301" spans="1:10" x14ac:dyDescent="0.35">
      <c r="A301" s="26">
        <v>324156</v>
      </c>
      <c r="B301" s="22">
        <v>0</v>
      </c>
      <c r="C301" s="27" t="s">
        <v>591</v>
      </c>
      <c r="D301" s="28">
        <v>4</v>
      </c>
      <c r="E301" s="28" t="s">
        <v>429</v>
      </c>
      <c r="F301" s="28" t="s">
        <v>440</v>
      </c>
      <c r="G301" s="28">
        <v>7.3000000000000007</v>
      </c>
      <c r="H301" s="28"/>
      <c r="I301" s="28">
        <v>7</v>
      </c>
      <c r="J301" s="29">
        <v>15.3</v>
      </c>
    </row>
    <row r="302" spans="1:10" x14ac:dyDescent="0.35">
      <c r="A302" s="26">
        <v>324158</v>
      </c>
      <c r="B302" s="22">
        <v>0</v>
      </c>
      <c r="C302" s="27" t="s">
        <v>592</v>
      </c>
      <c r="D302" s="28">
        <v>4</v>
      </c>
      <c r="E302" s="28" t="s">
        <v>429</v>
      </c>
      <c r="F302" s="28" t="s">
        <v>593</v>
      </c>
      <c r="G302" s="28">
        <v>2.9</v>
      </c>
      <c r="H302" s="28"/>
      <c r="I302" s="28">
        <v>2.9</v>
      </c>
      <c r="J302" s="29">
        <v>16</v>
      </c>
    </row>
    <row r="303" spans="1:10" x14ac:dyDescent="0.35">
      <c r="A303" s="26">
        <v>324159</v>
      </c>
      <c r="B303" s="22">
        <v>0</v>
      </c>
      <c r="C303" s="27" t="s">
        <v>594</v>
      </c>
      <c r="D303" s="28">
        <v>4</v>
      </c>
      <c r="E303" s="28" t="s">
        <v>429</v>
      </c>
      <c r="F303" s="28" t="s">
        <v>440</v>
      </c>
      <c r="G303" s="28">
        <v>6.4</v>
      </c>
      <c r="H303" s="28"/>
      <c r="I303" s="28">
        <v>6.4</v>
      </c>
      <c r="J303" s="29">
        <v>10.52</v>
      </c>
    </row>
    <row r="304" spans="1:10" x14ac:dyDescent="0.35">
      <c r="A304" s="26">
        <v>324160</v>
      </c>
      <c r="B304" s="22">
        <v>0</v>
      </c>
      <c r="C304" s="27" t="s">
        <v>595</v>
      </c>
      <c r="D304" s="28">
        <v>4</v>
      </c>
      <c r="E304" s="28" t="s">
        <v>429</v>
      </c>
      <c r="F304" s="28" t="s">
        <v>440</v>
      </c>
      <c r="G304" s="28">
        <v>6.4</v>
      </c>
      <c r="H304" s="28"/>
      <c r="I304" s="28">
        <v>6.4</v>
      </c>
      <c r="J304" s="29">
        <v>10.52</v>
      </c>
    </row>
    <row r="305" spans="1:10" x14ac:dyDescent="0.35">
      <c r="A305" s="26">
        <v>324161</v>
      </c>
      <c r="B305" s="22">
        <v>0</v>
      </c>
      <c r="C305" s="27" t="s">
        <v>596</v>
      </c>
      <c r="D305" s="28">
        <v>8</v>
      </c>
      <c r="E305" s="28" t="s">
        <v>429</v>
      </c>
      <c r="F305" s="28" t="s">
        <v>440</v>
      </c>
      <c r="G305" s="28">
        <v>0.30000000000000004</v>
      </c>
      <c r="H305" s="28"/>
      <c r="I305" s="28">
        <v>2.4</v>
      </c>
      <c r="J305" s="29">
        <v>17.600000000000001</v>
      </c>
    </row>
    <row r="306" spans="1:10" x14ac:dyDescent="0.35">
      <c r="A306" s="26">
        <v>324162</v>
      </c>
      <c r="B306" s="22">
        <v>0</v>
      </c>
      <c r="C306" s="27" t="s">
        <v>597</v>
      </c>
      <c r="D306" s="28">
        <v>4</v>
      </c>
      <c r="E306" s="28" t="s">
        <v>298</v>
      </c>
      <c r="F306" s="28" t="s">
        <v>1</v>
      </c>
      <c r="G306" s="28">
        <v>28</v>
      </c>
      <c r="H306" s="28"/>
      <c r="I306" s="28">
        <v>30.5</v>
      </c>
      <c r="J306" s="29">
        <v>28.08</v>
      </c>
    </row>
    <row r="307" spans="1:10" x14ac:dyDescent="0.35">
      <c r="A307" s="26">
        <v>324163</v>
      </c>
      <c r="B307" s="22">
        <v>0</v>
      </c>
      <c r="C307" s="27" t="s">
        <v>131</v>
      </c>
      <c r="D307" s="28">
        <v>4</v>
      </c>
      <c r="E307" s="28" t="s">
        <v>298</v>
      </c>
      <c r="F307" s="28" t="s">
        <v>1</v>
      </c>
      <c r="G307" s="28">
        <v>23.5</v>
      </c>
      <c r="H307" s="28"/>
      <c r="I307" s="28">
        <v>24</v>
      </c>
      <c r="J307" s="29">
        <v>22.5</v>
      </c>
    </row>
    <row r="308" spans="1:10" x14ac:dyDescent="0.35">
      <c r="A308" s="26">
        <v>324165</v>
      </c>
      <c r="B308" s="22">
        <v>0</v>
      </c>
      <c r="C308" s="27" t="s">
        <v>15</v>
      </c>
      <c r="D308" s="28">
        <v>4</v>
      </c>
      <c r="E308" s="28" t="s">
        <v>298</v>
      </c>
      <c r="F308" s="28" t="s">
        <v>1</v>
      </c>
      <c r="G308" s="28">
        <v>33</v>
      </c>
      <c r="H308" s="28"/>
      <c r="I308" s="28">
        <v>32.56</v>
      </c>
      <c r="J308" s="29">
        <v>22</v>
      </c>
    </row>
    <row r="309" spans="1:10" x14ac:dyDescent="0.35">
      <c r="A309" s="26">
        <v>324166</v>
      </c>
      <c r="B309" s="22">
        <v>0</v>
      </c>
      <c r="C309" s="27" t="s">
        <v>598</v>
      </c>
      <c r="D309" s="28">
        <v>4</v>
      </c>
      <c r="E309" s="28" t="s">
        <v>298</v>
      </c>
      <c r="F309" s="28" t="s">
        <v>1</v>
      </c>
      <c r="G309" s="28">
        <v>34.5</v>
      </c>
      <c r="H309" s="28"/>
      <c r="I309" s="28">
        <v>33.26</v>
      </c>
      <c r="J309" s="29">
        <v>22</v>
      </c>
    </row>
    <row r="310" spans="1:10" x14ac:dyDescent="0.35">
      <c r="A310" s="26">
        <v>324167</v>
      </c>
      <c r="B310" s="22">
        <v>0</v>
      </c>
      <c r="C310" s="27" t="s">
        <v>599</v>
      </c>
      <c r="D310" s="28">
        <v>4</v>
      </c>
      <c r="E310" s="28" t="s">
        <v>298</v>
      </c>
      <c r="F310" s="28" t="s">
        <v>1</v>
      </c>
      <c r="G310" s="28">
        <v>34.5</v>
      </c>
      <c r="H310" s="28"/>
      <c r="I310" s="28">
        <v>34</v>
      </c>
      <c r="J310" s="29">
        <v>22</v>
      </c>
    </row>
    <row r="311" spans="1:10" x14ac:dyDescent="0.35">
      <c r="A311" s="26">
        <v>324168</v>
      </c>
      <c r="B311" s="22">
        <v>0</v>
      </c>
      <c r="C311" s="27" t="s">
        <v>600</v>
      </c>
      <c r="D311" s="28">
        <v>4</v>
      </c>
      <c r="E311" s="28" t="s">
        <v>298</v>
      </c>
      <c r="F311" s="28" t="s">
        <v>1</v>
      </c>
      <c r="G311" s="28">
        <v>40</v>
      </c>
      <c r="H311" s="28"/>
      <c r="I311" s="28">
        <v>34.5</v>
      </c>
      <c r="J311" s="29">
        <v>22</v>
      </c>
    </row>
    <row r="312" spans="1:10" x14ac:dyDescent="0.35">
      <c r="A312" s="26">
        <v>324169</v>
      </c>
      <c r="B312" s="22">
        <v>0</v>
      </c>
      <c r="C312" s="27" t="s">
        <v>601</v>
      </c>
      <c r="D312" s="28">
        <v>4</v>
      </c>
      <c r="E312" s="28" t="s">
        <v>298</v>
      </c>
      <c r="F312" s="28" t="s">
        <v>1</v>
      </c>
      <c r="G312" s="28">
        <v>26.900000000000002</v>
      </c>
      <c r="H312" s="28"/>
      <c r="I312" s="28">
        <v>24.8</v>
      </c>
      <c r="J312" s="29">
        <v>20.12</v>
      </c>
    </row>
    <row r="313" spans="1:10" x14ac:dyDescent="0.35">
      <c r="A313" s="26">
        <v>324170</v>
      </c>
      <c r="B313" s="22">
        <v>0</v>
      </c>
      <c r="C313" s="27" t="s">
        <v>602</v>
      </c>
      <c r="D313" s="28">
        <v>4</v>
      </c>
      <c r="E313" s="28" t="s">
        <v>298</v>
      </c>
      <c r="F313" s="28" t="s">
        <v>1</v>
      </c>
      <c r="G313" s="28">
        <v>35</v>
      </c>
      <c r="H313" s="28"/>
      <c r="I313" s="28">
        <v>35</v>
      </c>
      <c r="J313" s="29">
        <v>22</v>
      </c>
    </row>
    <row r="314" spans="1:10" x14ac:dyDescent="0.35">
      <c r="A314" s="26">
        <v>324171</v>
      </c>
      <c r="B314" s="22">
        <v>0</v>
      </c>
      <c r="C314" s="27" t="s">
        <v>603</v>
      </c>
      <c r="D314" s="28">
        <v>4</v>
      </c>
      <c r="E314" s="28" t="s">
        <v>298</v>
      </c>
      <c r="F314" s="28" t="s">
        <v>1</v>
      </c>
      <c r="G314" s="28">
        <v>33</v>
      </c>
      <c r="H314" s="28"/>
      <c r="I314" s="28">
        <v>32.700000000000003</v>
      </c>
      <c r="J314" s="29">
        <v>22</v>
      </c>
    </row>
    <row r="315" spans="1:10" x14ac:dyDescent="0.35">
      <c r="A315" s="26">
        <v>324172</v>
      </c>
      <c r="B315" s="22">
        <v>0</v>
      </c>
      <c r="C315" s="27" t="s">
        <v>604</v>
      </c>
      <c r="D315" s="28">
        <v>4</v>
      </c>
      <c r="E315" s="28" t="s">
        <v>298</v>
      </c>
      <c r="F315" s="28" t="s">
        <v>1</v>
      </c>
      <c r="G315" s="28">
        <v>34.5</v>
      </c>
      <c r="H315" s="28"/>
      <c r="I315" s="28">
        <v>47.47</v>
      </c>
      <c r="J315" s="29">
        <v>22</v>
      </c>
    </row>
    <row r="316" spans="1:10" x14ac:dyDescent="0.35">
      <c r="A316" s="26">
        <v>324173</v>
      </c>
      <c r="B316" s="22">
        <v>0</v>
      </c>
      <c r="C316" s="27" t="s">
        <v>605</v>
      </c>
      <c r="D316" s="28">
        <v>4</v>
      </c>
      <c r="E316" s="28" t="s">
        <v>298</v>
      </c>
      <c r="F316" s="28" t="s">
        <v>1</v>
      </c>
      <c r="G316" s="28">
        <v>34.5</v>
      </c>
      <c r="H316" s="28"/>
      <c r="I316" s="28">
        <v>34</v>
      </c>
      <c r="J316" s="29">
        <v>22</v>
      </c>
    </row>
    <row r="317" spans="1:10" x14ac:dyDescent="0.35">
      <c r="A317" s="26">
        <v>324174</v>
      </c>
      <c r="B317" s="22">
        <v>0</v>
      </c>
      <c r="C317" s="27" t="s">
        <v>606</v>
      </c>
      <c r="D317" s="28">
        <v>4</v>
      </c>
      <c r="E317" s="28" t="s">
        <v>298</v>
      </c>
      <c r="F317" s="28" t="s">
        <v>1</v>
      </c>
      <c r="G317" s="28">
        <v>24</v>
      </c>
      <c r="H317" s="28"/>
      <c r="I317" s="28">
        <v>24</v>
      </c>
      <c r="J317" s="29">
        <v>20.12</v>
      </c>
    </row>
    <row r="318" spans="1:10" x14ac:dyDescent="0.35">
      <c r="A318" s="26">
        <v>324175</v>
      </c>
      <c r="B318" s="22">
        <v>0</v>
      </c>
      <c r="C318" s="27" t="s">
        <v>607</v>
      </c>
      <c r="D318" s="28">
        <v>4</v>
      </c>
      <c r="E318" s="28" t="s">
        <v>298</v>
      </c>
      <c r="F318" s="28" t="s">
        <v>1</v>
      </c>
      <c r="G318" s="28">
        <v>44</v>
      </c>
      <c r="H318" s="28"/>
      <c r="I318" s="28">
        <v>33</v>
      </c>
      <c r="J318" s="29">
        <v>20.399999999999999</v>
      </c>
    </row>
    <row r="319" spans="1:10" x14ac:dyDescent="0.35">
      <c r="A319" s="26">
        <v>324176</v>
      </c>
      <c r="B319" s="22">
        <v>0</v>
      </c>
      <c r="C319" s="27" t="s">
        <v>608</v>
      </c>
      <c r="D319" s="28">
        <v>4</v>
      </c>
      <c r="E319" s="28" t="s">
        <v>298</v>
      </c>
      <c r="F319" s="28" t="s">
        <v>1</v>
      </c>
      <c r="G319" s="28">
        <v>34.5</v>
      </c>
      <c r="H319" s="28"/>
      <c r="I319" s="28">
        <v>34</v>
      </c>
      <c r="J319" s="29">
        <v>22</v>
      </c>
    </row>
    <row r="320" spans="1:10" x14ac:dyDescent="0.35">
      <c r="A320" s="26">
        <v>324177</v>
      </c>
      <c r="B320" s="22">
        <v>0</v>
      </c>
      <c r="C320" s="27" t="s">
        <v>609</v>
      </c>
      <c r="D320" s="28">
        <v>4</v>
      </c>
      <c r="E320" s="28" t="s">
        <v>298</v>
      </c>
      <c r="F320" s="28" t="s">
        <v>1</v>
      </c>
      <c r="G320" s="28">
        <v>34.5</v>
      </c>
      <c r="H320" s="28"/>
      <c r="I320" s="28">
        <v>34.5</v>
      </c>
      <c r="J320" s="29">
        <v>22</v>
      </c>
    </row>
    <row r="321" spans="1:10" x14ac:dyDescent="0.35">
      <c r="A321" s="26">
        <v>324178</v>
      </c>
      <c r="B321" s="22">
        <v>0</v>
      </c>
      <c r="C321" s="27" t="s">
        <v>610</v>
      </c>
      <c r="D321" s="28">
        <v>4</v>
      </c>
      <c r="E321" s="28" t="s">
        <v>298</v>
      </c>
      <c r="F321" s="28" t="s">
        <v>1</v>
      </c>
      <c r="G321" s="28">
        <v>23</v>
      </c>
      <c r="H321" s="28"/>
      <c r="I321" s="28">
        <v>44</v>
      </c>
      <c r="J321" s="29">
        <v>25</v>
      </c>
    </row>
    <row r="322" spans="1:10" x14ac:dyDescent="0.35">
      <c r="A322" s="26">
        <v>324179</v>
      </c>
      <c r="B322" s="22">
        <v>0</v>
      </c>
      <c r="C322" s="27" t="s">
        <v>611</v>
      </c>
      <c r="D322" s="28">
        <v>4</v>
      </c>
      <c r="E322" s="28" t="s">
        <v>298</v>
      </c>
      <c r="F322" s="28" t="s">
        <v>1</v>
      </c>
      <c r="G322" s="28">
        <v>23</v>
      </c>
      <c r="H322" s="28"/>
      <c r="I322" s="28">
        <v>23.6</v>
      </c>
      <c r="J322" s="29">
        <v>19.32</v>
      </c>
    </row>
    <row r="323" spans="1:10" x14ac:dyDescent="0.35">
      <c r="A323" s="26">
        <v>324180</v>
      </c>
      <c r="B323" s="22">
        <v>0</v>
      </c>
      <c r="C323" s="27" t="s">
        <v>612</v>
      </c>
      <c r="D323" s="28">
        <v>4</v>
      </c>
      <c r="E323" s="28" t="s">
        <v>298</v>
      </c>
      <c r="F323" s="28" t="s">
        <v>1</v>
      </c>
      <c r="G323" s="28">
        <v>23.7</v>
      </c>
      <c r="H323" s="28"/>
      <c r="I323" s="28">
        <v>23</v>
      </c>
      <c r="J323" s="29">
        <v>19.32</v>
      </c>
    </row>
    <row r="324" spans="1:10" x14ac:dyDescent="0.35">
      <c r="A324" s="26">
        <v>324182</v>
      </c>
      <c r="B324" s="22">
        <v>0</v>
      </c>
      <c r="C324" s="27" t="s">
        <v>613</v>
      </c>
      <c r="D324" s="28">
        <v>4</v>
      </c>
      <c r="E324" s="28" t="s">
        <v>298</v>
      </c>
      <c r="F324" s="28" t="s">
        <v>1</v>
      </c>
      <c r="G324" s="28">
        <v>36.800000000000004</v>
      </c>
      <c r="H324" s="28"/>
      <c r="I324" s="28">
        <v>47.840000000000011</v>
      </c>
      <c r="J324" s="29">
        <v>35</v>
      </c>
    </row>
    <row r="325" spans="1:10" x14ac:dyDescent="0.35">
      <c r="A325" s="26">
        <v>324183</v>
      </c>
      <c r="B325" s="22">
        <v>0</v>
      </c>
      <c r="C325" s="27" t="s">
        <v>614</v>
      </c>
      <c r="D325" s="28">
        <v>4</v>
      </c>
      <c r="E325" s="28" t="s">
        <v>298</v>
      </c>
      <c r="F325" s="28" t="s">
        <v>1</v>
      </c>
      <c r="G325" s="28">
        <v>36.729999999999997</v>
      </c>
      <c r="H325" s="28"/>
      <c r="I325" s="28">
        <v>36.729999999999997</v>
      </c>
      <c r="J325" s="29">
        <v>34.119999999999997</v>
      </c>
    </row>
    <row r="326" spans="1:10" x14ac:dyDescent="0.35">
      <c r="A326" s="26">
        <v>324184</v>
      </c>
      <c r="B326" s="22">
        <v>0</v>
      </c>
      <c r="C326" s="27" t="s">
        <v>615</v>
      </c>
      <c r="D326" s="28">
        <v>4</v>
      </c>
      <c r="E326" s="28" t="s">
        <v>298</v>
      </c>
      <c r="F326" s="28" t="s">
        <v>1</v>
      </c>
      <c r="G326" s="28">
        <v>36.729999999999997</v>
      </c>
      <c r="H326" s="28"/>
      <c r="I326" s="28">
        <v>36.799999999999997</v>
      </c>
      <c r="J326" s="29">
        <v>34.119999999999997</v>
      </c>
    </row>
    <row r="327" spans="1:10" x14ac:dyDescent="0.35">
      <c r="A327" s="26">
        <v>324185</v>
      </c>
      <c r="B327" s="22">
        <v>0</v>
      </c>
      <c r="C327" s="27" t="s">
        <v>616</v>
      </c>
      <c r="D327" s="28">
        <v>4</v>
      </c>
      <c r="E327" s="28" t="s">
        <v>298</v>
      </c>
      <c r="F327" s="28" t="s">
        <v>1</v>
      </c>
      <c r="G327" s="28">
        <v>36.729999999999997</v>
      </c>
      <c r="H327" s="28"/>
      <c r="I327" s="28">
        <v>36.729999999999997</v>
      </c>
      <c r="J327" s="29">
        <v>34.119999999999997</v>
      </c>
    </row>
    <row r="328" spans="1:10" x14ac:dyDescent="0.35">
      <c r="A328" s="26">
        <v>324186</v>
      </c>
      <c r="B328" s="22">
        <v>0</v>
      </c>
      <c r="C328" s="27" t="s">
        <v>617</v>
      </c>
      <c r="D328" s="28">
        <v>4</v>
      </c>
      <c r="E328" s="28" t="s">
        <v>298</v>
      </c>
      <c r="F328" s="28" t="s">
        <v>1</v>
      </c>
      <c r="G328" s="28">
        <v>36.729999999999997</v>
      </c>
      <c r="H328" s="28"/>
      <c r="I328" s="28">
        <v>36.729999999999997</v>
      </c>
      <c r="J328" s="29">
        <v>34.119999999999997</v>
      </c>
    </row>
    <row r="329" spans="1:10" x14ac:dyDescent="0.35">
      <c r="A329" s="26">
        <v>324187</v>
      </c>
      <c r="B329" s="22">
        <v>0</v>
      </c>
      <c r="C329" s="27" t="s">
        <v>618</v>
      </c>
      <c r="D329" s="28">
        <v>4</v>
      </c>
      <c r="E329" s="28" t="s">
        <v>298</v>
      </c>
      <c r="F329" s="28" t="s">
        <v>1</v>
      </c>
      <c r="G329" s="28">
        <v>36.729999999999997</v>
      </c>
      <c r="H329" s="28"/>
      <c r="I329" s="28">
        <v>36.729999999999997</v>
      </c>
      <c r="J329" s="29">
        <v>34.119999999999997</v>
      </c>
    </row>
    <row r="330" spans="1:10" x14ac:dyDescent="0.35">
      <c r="A330" s="26">
        <v>324188</v>
      </c>
      <c r="B330" s="22">
        <v>0</v>
      </c>
      <c r="C330" s="27" t="s">
        <v>619</v>
      </c>
      <c r="D330" s="28">
        <v>4</v>
      </c>
      <c r="E330" s="28" t="s">
        <v>298</v>
      </c>
      <c r="F330" s="28" t="s">
        <v>1</v>
      </c>
      <c r="G330" s="28">
        <v>36.800000000000004</v>
      </c>
      <c r="H330" s="28"/>
      <c r="I330" s="30">
        <v>36.800000000000004</v>
      </c>
      <c r="J330" s="29">
        <v>35</v>
      </c>
    </row>
    <row r="331" spans="1:10" x14ac:dyDescent="0.35">
      <c r="A331" s="26">
        <v>324190</v>
      </c>
      <c r="B331" s="22">
        <v>0</v>
      </c>
      <c r="C331" s="27" t="s">
        <v>620</v>
      </c>
      <c r="D331" s="28">
        <v>4</v>
      </c>
      <c r="E331" s="28" t="s">
        <v>298</v>
      </c>
      <c r="F331" s="28" t="s">
        <v>1</v>
      </c>
      <c r="G331" s="28">
        <v>15.5</v>
      </c>
      <c r="H331" s="28"/>
      <c r="I331" s="28">
        <v>15.5</v>
      </c>
      <c r="J331" s="29">
        <v>34.119999999999997</v>
      </c>
    </row>
    <row r="332" spans="1:10" x14ac:dyDescent="0.35">
      <c r="A332" s="26">
        <v>324191</v>
      </c>
      <c r="B332" s="22">
        <v>0</v>
      </c>
      <c r="C332" s="27" t="s">
        <v>621</v>
      </c>
      <c r="D332" s="28">
        <v>4</v>
      </c>
      <c r="E332" s="28" t="s">
        <v>298</v>
      </c>
      <c r="F332" s="28" t="s">
        <v>1</v>
      </c>
      <c r="G332" s="28">
        <v>44</v>
      </c>
      <c r="H332" s="28"/>
      <c r="I332" s="28">
        <v>32</v>
      </c>
      <c r="J332" s="29">
        <v>27.9</v>
      </c>
    </row>
    <row r="333" spans="1:10" x14ac:dyDescent="0.35">
      <c r="A333" s="26">
        <v>324192</v>
      </c>
      <c r="B333" s="22">
        <v>0</v>
      </c>
      <c r="C333" s="27" t="s">
        <v>622</v>
      </c>
      <c r="D333" s="28">
        <v>4</v>
      </c>
      <c r="E333" s="28" t="s">
        <v>298</v>
      </c>
      <c r="F333" s="28" t="s">
        <v>1</v>
      </c>
      <c r="G333" s="28">
        <v>11.299999999999999</v>
      </c>
      <c r="H333" s="28"/>
      <c r="I333" s="28">
        <v>11.299999999999999</v>
      </c>
      <c r="J333" s="29">
        <v>16</v>
      </c>
    </row>
    <row r="334" spans="1:10" x14ac:dyDescent="0.35">
      <c r="A334" s="26">
        <v>324193</v>
      </c>
      <c r="B334" s="22">
        <v>0</v>
      </c>
      <c r="C334" s="27" t="s">
        <v>623</v>
      </c>
      <c r="D334" s="28">
        <v>4</v>
      </c>
      <c r="E334" s="28" t="s">
        <v>298</v>
      </c>
      <c r="F334" s="28" t="s">
        <v>1</v>
      </c>
      <c r="G334" s="28">
        <v>11.3</v>
      </c>
      <c r="H334" s="28"/>
      <c r="I334" s="28">
        <v>11.3</v>
      </c>
      <c r="J334" s="29">
        <v>16</v>
      </c>
    </row>
    <row r="335" spans="1:10" x14ac:dyDescent="0.35">
      <c r="A335" s="26">
        <v>324194</v>
      </c>
      <c r="B335" s="22">
        <v>0</v>
      </c>
      <c r="C335" s="27" t="s">
        <v>624</v>
      </c>
      <c r="D335" s="28">
        <v>4</v>
      </c>
      <c r="E335" s="28" t="s">
        <v>298</v>
      </c>
      <c r="F335" s="28" t="s">
        <v>1</v>
      </c>
      <c r="G335" s="28">
        <v>17</v>
      </c>
      <c r="H335" s="28"/>
      <c r="I335" s="28">
        <v>16.899999999999999</v>
      </c>
      <c r="J335" s="29">
        <v>18.32</v>
      </c>
    </row>
    <row r="336" spans="1:10" x14ac:dyDescent="0.35">
      <c r="A336" s="26">
        <v>324195</v>
      </c>
      <c r="B336" s="22">
        <v>0</v>
      </c>
      <c r="C336" s="27" t="s">
        <v>625</v>
      </c>
      <c r="D336" s="28">
        <v>4</v>
      </c>
      <c r="E336" s="28" t="s">
        <v>298</v>
      </c>
      <c r="F336" s="28" t="s">
        <v>1</v>
      </c>
      <c r="G336" s="28">
        <v>19</v>
      </c>
      <c r="H336" s="28"/>
      <c r="I336" s="28">
        <v>18.5</v>
      </c>
      <c r="J336" s="29">
        <v>16</v>
      </c>
    </row>
    <row r="337" spans="1:10" x14ac:dyDescent="0.35">
      <c r="A337" s="26">
        <v>324196</v>
      </c>
      <c r="B337" s="22">
        <v>0</v>
      </c>
      <c r="C337" s="27" t="s">
        <v>626</v>
      </c>
      <c r="D337" s="28">
        <v>4</v>
      </c>
      <c r="E337" s="28" t="s">
        <v>298</v>
      </c>
      <c r="F337" s="28" t="s">
        <v>1</v>
      </c>
      <c r="G337" s="28">
        <v>20</v>
      </c>
      <c r="H337" s="28"/>
      <c r="I337" s="28">
        <v>20</v>
      </c>
      <c r="J337" s="29">
        <v>21.64</v>
      </c>
    </row>
    <row r="338" spans="1:10" x14ac:dyDescent="0.35">
      <c r="A338" s="26">
        <v>324197</v>
      </c>
      <c r="B338" s="22">
        <v>0</v>
      </c>
      <c r="C338" s="27" t="s">
        <v>627</v>
      </c>
      <c r="D338" s="28">
        <v>4</v>
      </c>
      <c r="E338" s="28" t="s">
        <v>298</v>
      </c>
      <c r="F338" s="28" t="s">
        <v>1</v>
      </c>
      <c r="G338" s="28">
        <v>11.3</v>
      </c>
      <c r="H338" s="28"/>
      <c r="I338" s="28">
        <v>18.84</v>
      </c>
      <c r="J338" s="29">
        <v>16</v>
      </c>
    </row>
    <row r="339" spans="1:10" x14ac:dyDescent="0.35">
      <c r="A339" s="26">
        <v>324198</v>
      </c>
      <c r="B339" s="22">
        <v>0</v>
      </c>
      <c r="C339" s="27" t="s">
        <v>628</v>
      </c>
      <c r="D339" s="28">
        <v>4</v>
      </c>
      <c r="E339" s="28" t="s">
        <v>298</v>
      </c>
      <c r="F339" s="28" t="s">
        <v>1</v>
      </c>
      <c r="G339" s="28">
        <v>20</v>
      </c>
      <c r="H339" s="28"/>
      <c r="I339" s="28">
        <v>20</v>
      </c>
      <c r="J339" s="29">
        <v>19.5</v>
      </c>
    </row>
    <row r="340" spans="1:10" x14ac:dyDescent="0.35">
      <c r="A340" s="26">
        <v>324199</v>
      </c>
      <c r="B340" s="22">
        <v>0</v>
      </c>
      <c r="C340" s="27" t="s">
        <v>629</v>
      </c>
      <c r="D340" s="28">
        <v>4</v>
      </c>
      <c r="E340" s="28" t="s">
        <v>298</v>
      </c>
      <c r="F340" s="28" t="s">
        <v>1</v>
      </c>
      <c r="G340" s="28">
        <v>29.5</v>
      </c>
      <c r="H340" s="28"/>
      <c r="I340" s="28">
        <v>29.5</v>
      </c>
      <c r="J340" s="29">
        <v>19.32</v>
      </c>
    </row>
    <row r="341" spans="1:10" x14ac:dyDescent="0.35">
      <c r="A341" s="26">
        <v>324200</v>
      </c>
      <c r="B341" s="22">
        <v>0</v>
      </c>
      <c r="C341" s="27" t="s">
        <v>630</v>
      </c>
      <c r="D341" s="28">
        <v>4</v>
      </c>
      <c r="E341" s="28" t="s">
        <v>298</v>
      </c>
      <c r="F341" s="28" t="s">
        <v>1</v>
      </c>
      <c r="G341" s="28">
        <v>20</v>
      </c>
      <c r="H341" s="28"/>
      <c r="I341" s="28">
        <v>20</v>
      </c>
      <c r="J341" s="29">
        <v>21.64</v>
      </c>
    </row>
    <row r="342" spans="1:10" x14ac:dyDescent="0.35">
      <c r="A342" s="26">
        <v>324202</v>
      </c>
      <c r="B342" s="22">
        <v>0</v>
      </c>
      <c r="C342" s="27" t="s">
        <v>631</v>
      </c>
      <c r="D342" s="28">
        <v>4</v>
      </c>
      <c r="E342" s="28" t="s">
        <v>298</v>
      </c>
      <c r="F342" s="28" t="s">
        <v>1</v>
      </c>
      <c r="G342" s="28">
        <v>18.700000000000003</v>
      </c>
      <c r="H342" s="28"/>
      <c r="I342" s="28">
        <v>28</v>
      </c>
      <c r="J342" s="29">
        <v>20</v>
      </c>
    </row>
    <row r="343" spans="1:10" x14ac:dyDescent="0.35">
      <c r="A343" s="26">
        <v>324203</v>
      </c>
      <c r="B343" s="22">
        <v>0</v>
      </c>
      <c r="C343" s="27" t="s">
        <v>632</v>
      </c>
      <c r="D343" s="28">
        <v>4</v>
      </c>
      <c r="E343" s="28" t="s">
        <v>298</v>
      </c>
      <c r="F343" s="28" t="s">
        <v>1</v>
      </c>
      <c r="G343" s="28">
        <v>36</v>
      </c>
      <c r="H343" s="28"/>
      <c r="I343" s="28">
        <v>29.1</v>
      </c>
      <c r="J343" s="29">
        <v>20.12</v>
      </c>
    </row>
    <row r="344" spans="1:10" x14ac:dyDescent="0.35">
      <c r="A344" s="26">
        <v>324204</v>
      </c>
      <c r="B344" s="22">
        <v>0</v>
      </c>
      <c r="C344" s="27" t="s">
        <v>633</v>
      </c>
      <c r="D344" s="28">
        <v>4</v>
      </c>
      <c r="E344" s="28" t="s">
        <v>298</v>
      </c>
      <c r="F344" s="28" t="s">
        <v>1</v>
      </c>
      <c r="G344" s="28">
        <v>29.5</v>
      </c>
      <c r="H344" s="28"/>
      <c r="I344" s="28">
        <v>23.34</v>
      </c>
      <c r="J344" s="29">
        <v>19.32</v>
      </c>
    </row>
    <row r="345" spans="1:10" x14ac:dyDescent="0.35">
      <c r="A345" s="26">
        <v>324205</v>
      </c>
      <c r="B345" s="22">
        <v>0</v>
      </c>
      <c r="C345" s="27" t="s">
        <v>634</v>
      </c>
      <c r="D345" s="28">
        <v>2</v>
      </c>
      <c r="E345" s="28" t="s">
        <v>298</v>
      </c>
      <c r="F345" s="28" t="s">
        <v>1</v>
      </c>
      <c r="G345" s="28">
        <v>57</v>
      </c>
      <c r="H345" s="28"/>
      <c r="I345" s="28">
        <v>45.04</v>
      </c>
      <c r="J345" s="29">
        <v>18</v>
      </c>
    </row>
    <row r="346" spans="1:10" x14ac:dyDescent="0.35">
      <c r="A346" s="26">
        <v>324206</v>
      </c>
      <c r="B346" s="22">
        <v>0</v>
      </c>
      <c r="C346" s="27" t="s">
        <v>42</v>
      </c>
      <c r="D346" s="28">
        <v>4</v>
      </c>
      <c r="E346" s="28" t="s">
        <v>298</v>
      </c>
      <c r="F346" s="28" t="s">
        <v>1</v>
      </c>
      <c r="G346" s="28">
        <v>48</v>
      </c>
      <c r="H346" s="28"/>
      <c r="I346" s="28">
        <v>49</v>
      </c>
      <c r="J346" s="29">
        <v>25</v>
      </c>
    </row>
    <row r="347" spans="1:10" x14ac:dyDescent="0.35">
      <c r="A347" s="26">
        <v>324207</v>
      </c>
      <c r="B347" s="22">
        <v>0</v>
      </c>
      <c r="C347" s="27" t="s">
        <v>635</v>
      </c>
      <c r="D347" s="28">
        <v>4</v>
      </c>
      <c r="E347" s="28" t="s">
        <v>298</v>
      </c>
      <c r="F347" s="28" t="s">
        <v>1</v>
      </c>
      <c r="G347" s="28">
        <v>27</v>
      </c>
      <c r="H347" s="28"/>
      <c r="I347" s="28">
        <v>27</v>
      </c>
      <c r="J347" s="29">
        <v>18.32</v>
      </c>
    </row>
    <row r="348" spans="1:10" x14ac:dyDescent="0.35">
      <c r="A348" s="26">
        <v>324208</v>
      </c>
      <c r="B348" s="22">
        <v>0</v>
      </c>
      <c r="C348" s="27" t="s">
        <v>636</v>
      </c>
      <c r="D348" s="28">
        <v>4</v>
      </c>
      <c r="E348" s="28" t="s">
        <v>298</v>
      </c>
      <c r="F348" s="28" t="s">
        <v>1</v>
      </c>
      <c r="G348" s="28">
        <v>58.9</v>
      </c>
      <c r="H348" s="28"/>
      <c r="I348" s="28">
        <v>58.9</v>
      </c>
      <c r="J348" s="29">
        <v>25</v>
      </c>
    </row>
    <row r="349" spans="1:10" x14ac:dyDescent="0.35">
      <c r="A349" s="26">
        <v>324210</v>
      </c>
      <c r="B349" s="22">
        <v>0</v>
      </c>
      <c r="C349" s="27" t="s">
        <v>637</v>
      </c>
      <c r="D349" s="28">
        <v>4</v>
      </c>
      <c r="E349" s="28" t="s">
        <v>298</v>
      </c>
      <c r="F349" s="28" t="s">
        <v>1</v>
      </c>
      <c r="G349" s="28">
        <v>48.3</v>
      </c>
      <c r="H349" s="28"/>
      <c r="I349" s="28">
        <v>48.4</v>
      </c>
      <c r="J349" s="29">
        <v>25</v>
      </c>
    </row>
    <row r="350" spans="1:10" x14ac:dyDescent="0.35">
      <c r="A350" s="26">
        <v>324211</v>
      </c>
      <c r="B350" s="22">
        <v>0</v>
      </c>
      <c r="C350" s="27" t="s">
        <v>638</v>
      </c>
      <c r="D350" s="28">
        <v>4</v>
      </c>
      <c r="E350" s="28" t="s">
        <v>298</v>
      </c>
      <c r="F350" s="28" t="s">
        <v>1</v>
      </c>
      <c r="G350" s="28">
        <v>44</v>
      </c>
      <c r="H350" s="28"/>
      <c r="I350" s="28">
        <v>73.2</v>
      </c>
      <c r="J350" s="29">
        <v>36</v>
      </c>
    </row>
    <row r="351" spans="1:10" x14ac:dyDescent="0.35">
      <c r="A351" s="26">
        <v>324212</v>
      </c>
      <c r="B351" s="22">
        <v>0</v>
      </c>
      <c r="C351" s="27" t="s">
        <v>639</v>
      </c>
      <c r="D351" s="28">
        <v>4</v>
      </c>
      <c r="E351" s="28" t="s">
        <v>298</v>
      </c>
      <c r="F351" s="28" t="s">
        <v>1</v>
      </c>
      <c r="G351" s="28">
        <v>16</v>
      </c>
      <c r="H351" s="28"/>
      <c r="I351" s="28">
        <v>16</v>
      </c>
      <c r="J351" s="29">
        <v>18.32</v>
      </c>
    </row>
    <row r="352" spans="1:10" x14ac:dyDescent="0.35">
      <c r="A352" s="26">
        <v>324214</v>
      </c>
      <c r="B352" s="22">
        <v>0</v>
      </c>
      <c r="C352" s="27" t="s">
        <v>640</v>
      </c>
      <c r="D352" s="28">
        <v>4</v>
      </c>
      <c r="E352" s="28" t="s">
        <v>298</v>
      </c>
      <c r="F352" s="28" t="s">
        <v>1</v>
      </c>
      <c r="G352" s="28">
        <v>27</v>
      </c>
      <c r="H352" s="28"/>
      <c r="I352" s="28">
        <v>29</v>
      </c>
      <c r="J352" s="29">
        <v>20.12</v>
      </c>
    </row>
    <row r="353" spans="1:10" x14ac:dyDescent="0.35">
      <c r="A353" s="26">
        <v>324215</v>
      </c>
      <c r="B353" s="22">
        <v>0</v>
      </c>
      <c r="C353" s="27" t="s">
        <v>641</v>
      </c>
      <c r="D353" s="28">
        <v>4</v>
      </c>
      <c r="E353" s="28" t="s">
        <v>298</v>
      </c>
      <c r="F353" s="28" t="s">
        <v>1</v>
      </c>
      <c r="G353" s="28">
        <v>27</v>
      </c>
      <c r="H353" s="28"/>
      <c r="I353" s="28">
        <v>23</v>
      </c>
      <c r="J353" s="29">
        <v>20.12</v>
      </c>
    </row>
    <row r="354" spans="1:10" x14ac:dyDescent="0.35">
      <c r="A354" s="26">
        <v>324216</v>
      </c>
      <c r="B354" s="22">
        <v>0</v>
      </c>
      <c r="C354" s="27" t="s">
        <v>642</v>
      </c>
      <c r="D354" s="28">
        <v>1</v>
      </c>
      <c r="E354" s="28" t="s">
        <v>298</v>
      </c>
      <c r="F354" s="28" t="s">
        <v>1</v>
      </c>
      <c r="G354" s="28">
        <v>150.19999999999999</v>
      </c>
      <c r="H354" s="28"/>
      <c r="I354" s="28">
        <v>29</v>
      </c>
      <c r="J354" s="29">
        <v>31</v>
      </c>
    </row>
    <row r="355" spans="1:10" x14ac:dyDescent="0.35">
      <c r="A355" s="26">
        <v>324217</v>
      </c>
      <c r="B355" s="22">
        <v>0</v>
      </c>
      <c r="C355" s="27" t="s">
        <v>643</v>
      </c>
      <c r="D355" s="28">
        <v>2</v>
      </c>
      <c r="E355" s="28" t="s">
        <v>298</v>
      </c>
      <c r="F355" s="28" t="s">
        <v>1</v>
      </c>
      <c r="G355" s="28">
        <v>75.599999999999994</v>
      </c>
      <c r="H355" s="28"/>
      <c r="I355" s="28">
        <v>77</v>
      </c>
      <c r="J355" s="29">
        <v>18</v>
      </c>
    </row>
    <row r="356" spans="1:10" x14ac:dyDescent="0.35">
      <c r="A356" s="26">
        <v>324218</v>
      </c>
      <c r="B356" s="22">
        <v>0</v>
      </c>
      <c r="C356" s="27" t="s">
        <v>644</v>
      </c>
      <c r="D356" s="28">
        <v>4</v>
      </c>
      <c r="E356" s="28" t="s">
        <v>298</v>
      </c>
      <c r="F356" s="28" t="s">
        <v>1</v>
      </c>
      <c r="G356" s="28">
        <v>77</v>
      </c>
      <c r="H356" s="28"/>
      <c r="I356" s="28">
        <v>11</v>
      </c>
      <c r="J356" s="29">
        <v>42.4</v>
      </c>
    </row>
    <row r="357" spans="1:10" x14ac:dyDescent="0.35">
      <c r="A357" s="26">
        <v>324219</v>
      </c>
      <c r="B357" s="22">
        <v>0</v>
      </c>
      <c r="C357" s="27" t="s">
        <v>645</v>
      </c>
      <c r="D357" s="28">
        <v>4</v>
      </c>
      <c r="E357" s="28" t="s">
        <v>429</v>
      </c>
      <c r="F357" s="28" t="s">
        <v>430</v>
      </c>
      <c r="G357" s="28">
        <v>13.200000000000001</v>
      </c>
      <c r="H357" s="28"/>
      <c r="I357" s="28">
        <v>13.2</v>
      </c>
      <c r="J357" s="29">
        <v>20</v>
      </c>
    </row>
    <row r="358" spans="1:10" x14ac:dyDescent="0.35">
      <c r="A358" s="26">
        <v>324220</v>
      </c>
      <c r="B358" s="22">
        <v>0</v>
      </c>
      <c r="C358" s="27" t="s">
        <v>646</v>
      </c>
      <c r="D358" s="28">
        <v>4</v>
      </c>
      <c r="E358" s="28" t="s">
        <v>429</v>
      </c>
      <c r="F358" s="28" t="s">
        <v>430</v>
      </c>
      <c r="G358" s="28">
        <v>3.6</v>
      </c>
      <c r="H358" s="28"/>
      <c r="I358" s="28">
        <v>3.6</v>
      </c>
      <c r="J358" s="29">
        <v>14</v>
      </c>
    </row>
    <row r="359" spans="1:10" x14ac:dyDescent="0.35">
      <c r="A359" s="26">
        <v>324221</v>
      </c>
      <c r="B359" s="22">
        <v>0</v>
      </c>
      <c r="C359" s="27" t="s">
        <v>647</v>
      </c>
      <c r="D359" s="28">
        <v>4</v>
      </c>
      <c r="E359" s="28" t="s">
        <v>429</v>
      </c>
      <c r="F359" s="28" t="s">
        <v>440</v>
      </c>
      <c r="G359" s="28">
        <v>2.9</v>
      </c>
      <c r="H359" s="28"/>
      <c r="I359" s="28">
        <v>4</v>
      </c>
      <c r="J359" s="29">
        <v>18</v>
      </c>
    </row>
    <row r="360" spans="1:10" x14ac:dyDescent="0.35">
      <c r="A360" s="26">
        <v>324222</v>
      </c>
      <c r="B360" s="22">
        <v>0</v>
      </c>
      <c r="C360" s="27" t="s">
        <v>648</v>
      </c>
      <c r="D360" s="28">
        <v>4</v>
      </c>
      <c r="E360" s="28" t="s">
        <v>429</v>
      </c>
      <c r="F360" s="28" t="s">
        <v>430</v>
      </c>
      <c r="G360" s="28">
        <v>8.1999999999999993</v>
      </c>
      <c r="H360" s="28"/>
      <c r="I360" s="28">
        <v>13</v>
      </c>
      <c r="J360" s="29">
        <v>16.88</v>
      </c>
    </row>
    <row r="361" spans="1:10" x14ac:dyDescent="0.35">
      <c r="A361" s="26">
        <v>324223</v>
      </c>
      <c r="B361" s="22">
        <v>0</v>
      </c>
      <c r="C361" s="27" t="s">
        <v>649</v>
      </c>
      <c r="D361" s="28">
        <v>4</v>
      </c>
      <c r="E361" s="28" t="s">
        <v>429</v>
      </c>
      <c r="F361" s="28" t="s">
        <v>430</v>
      </c>
      <c r="G361" s="28">
        <v>8.1999999999999993</v>
      </c>
      <c r="H361" s="28"/>
      <c r="I361" s="28">
        <v>8.1999999999999993</v>
      </c>
      <c r="J361" s="29">
        <v>16.88</v>
      </c>
    </row>
    <row r="362" spans="1:10" x14ac:dyDescent="0.35">
      <c r="A362" s="26">
        <v>324224</v>
      </c>
      <c r="B362" s="22">
        <v>0</v>
      </c>
      <c r="C362" s="27" t="s">
        <v>650</v>
      </c>
      <c r="D362" s="28">
        <v>4</v>
      </c>
      <c r="E362" s="28" t="s">
        <v>429</v>
      </c>
      <c r="F362" s="28" t="s">
        <v>430</v>
      </c>
      <c r="G362" s="28">
        <v>8.1999999999999993</v>
      </c>
      <c r="H362" s="28"/>
      <c r="I362" s="28">
        <v>13</v>
      </c>
      <c r="J362" s="29">
        <v>16.88</v>
      </c>
    </row>
    <row r="363" spans="1:10" x14ac:dyDescent="0.35">
      <c r="A363" s="26">
        <v>324225</v>
      </c>
      <c r="B363" s="22">
        <v>0</v>
      </c>
      <c r="C363" s="27" t="s">
        <v>651</v>
      </c>
      <c r="D363" s="28">
        <v>4</v>
      </c>
      <c r="E363" s="28" t="s">
        <v>429</v>
      </c>
      <c r="F363" s="28" t="s">
        <v>430</v>
      </c>
      <c r="G363" s="28">
        <v>4.5999999999999996</v>
      </c>
      <c r="H363" s="28"/>
      <c r="I363" s="28">
        <v>13</v>
      </c>
      <c r="J363" s="29">
        <v>17.8</v>
      </c>
    </row>
    <row r="364" spans="1:10" x14ac:dyDescent="0.35">
      <c r="A364" s="26">
        <v>324230</v>
      </c>
      <c r="B364" s="22">
        <v>0</v>
      </c>
      <c r="C364" s="27" t="s">
        <v>652</v>
      </c>
      <c r="D364" s="28">
        <v>4</v>
      </c>
      <c r="E364" s="28" t="s">
        <v>429</v>
      </c>
      <c r="F364" s="28" t="s">
        <v>440</v>
      </c>
      <c r="G364" s="28">
        <v>5.5</v>
      </c>
      <c r="H364" s="28"/>
      <c r="I364" s="28">
        <v>5.2</v>
      </c>
      <c r="J364" s="29">
        <v>14.8</v>
      </c>
    </row>
    <row r="365" spans="1:10" x14ac:dyDescent="0.35">
      <c r="A365" s="26">
        <v>324261</v>
      </c>
      <c r="B365" s="22">
        <v>0</v>
      </c>
      <c r="C365" s="27" t="s">
        <v>653</v>
      </c>
      <c r="D365" s="28">
        <v>4</v>
      </c>
      <c r="E365" s="28" t="s">
        <v>298</v>
      </c>
      <c r="F365" s="28" t="s">
        <v>1</v>
      </c>
      <c r="G365" s="28">
        <v>49</v>
      </c>
      <c r="H365" s="28"/>
      <c r="I365" s="28">
        <v>49</v>
      </c>
      <c r="J365" s="29">
        <v>27</v>
      </c>
    </row>
    <row r="366" spans="1:10" x14ac:dyDescent="0.35">
      <c r="A366" s="26">
        <v>324294</v>
      </c>
      <c r="B366" s="22">
        <v>0</v>
      </c>
      <c r="C366" s="27" t="s">
        <v>654</v>
      </c>
      <c r="D366" s="28">
        <v>4</v>
      </c>
      <c r="E366" s="28" t="s">
        <v>298</v>
      </c>
      <c r="F366" s="28" t="s">
        <v>1</v>
      </c>
      <c r="G366" s="28">
        <v>39.299999999999997</v>
      </c>
      <c r="H366" s="28"/>
      <c r="I366" s="28">
        <v>40.6</v>
      </c>
      <c r="J366" s="29">
        <v>23.92</v>
      </c>
    </row>
    <row r="367" spans="1:10" x14ac:dyDescent="0.35">
      <c r="A367" s="26">
        <v>324297</v>
      </c>
      <c r="B367" s="22">
        <v>0</v>
      </c>
      <c r="C367" s="27" t="s">
        <v>655</v>
      </c>
      <c r="D367" s="28">
        <v>4</v>
      </c>
      <c r="E367" s="28" t="s">
        <v>429</v>
      </c>
      <c r="F367" s="28" t="s">
        <v>440</v>
      </c>
      <c r="G367" s="28">
        <v>4.3</v>
      </c>
      <c r="H367" s="28"/>
      <c r="I367" s="28">
        <v>4.17</v>
      </c>
      <c r="J367" s="29">
        <v>10.52</v>
      </c>
    </row>
    <row r="368" spans="1:10" x14ac:dyDescent="0.35">
      <c r="A368" s="26">
        <v>324298</v>
      </c>
      <c r="B368" s="22">
        <v>0</v>
      </c>
      <c r="C368" s="27" t="s">
        <v>656</v>
      </c>
      <c r="D368" s="28">
        <v>4</v>
      </c>
      <c r="E368" s="28" t="s">
        <v>429</v>
      </c>
      <c r="F368" s="28" t="s">
        <v>430</v>
      </c>
      <c r="G368" s="28">
        <v>14.200000000000001</v>
      </c>
      <c r="H368" s="28"/>
      <c r="I368" s="28">
        <v>13.2</v>
      </c>
      <c r="J368" s="29">
        <v>20</v>
      </c>
    </row>
    <row r="369" spans="1:10" x14ac:dyDescent="0.35">
      <c r="A369" s="26">
        <v>324638</v>
      </c>
      <c r="B369" s="22">
        <v>0</v>
      </c>
      <c r="C369" s="27" t="s">
        <v>17</v>
      </c>
      <c r="D369" s="28">
        <v>4</v>
      </c>
      <c r="E369" s="28" t="s">
        <v>298</v>
      </c>
      <c r="F369" s="28" t="s">
        <v>1</v>
      </c>
      <c r="G369" s="28">
        <v>77.5</v>
      </c>
      <c r="H369" s="28"/>
      <c r="I369" s="28">
        <v>77.5</v>
      </c>
      <c r="J369" s="29">
        <v>36</v>
      </c>
    </row>
    <row r="370" spans="1:10" x14ac:dyDescent="0.35">
      <c r="A370" s="26">
        <v>324640</v>
      </c>
      <c r="B370" s="22">
        <v>0</v>
      </c>
      <c r="C370" s="27" t="s">
        <v>657</v>
      </c>
      <c r="D370" s="28">
        <v>4</v>
      </c>
      <c r="E370" s="28" t="s">
        <v>298</v>
      </c>
      <c r="F370" s="28" t="s">
        <v>1</v>
      </c>
      <c r="G370" s="28">
        <v>77.5</v>
      </c>
      <c r="H370" s="28"/>
      <c r="I370" s="28">
        <v>77.5</v>
      </c>
      <c r="J370" s="29">
        <v>36</v>
      </c>
    </row>
    <row r="371" spans="1:10" x14ac:dyDescent="0.35">
      <c r="A371" s="26">
        <v>324682</v>
      </c>
      <c r="B371" s="22">
        <v>0</v>
      </c>
      <c r="C371" s="27" t="s">
        <v>658</v>
      </c>
      <c r="D371" s="28">
        <v>4</v>
      </c>
      <c r="E371" s="28" t="s">
        <v>298</v>
      </c>
      <c r="F371" s="28" t="s">
        <v>1</v>
      </c>
      <c r="G371" s="28">
        <v>33</v>
      </c>
      <c r="H371" s="28"/>
      <c r="I371" s="28">
        <v>33</v>
      </c>
      <c r="J371" s="29">
        <v>23.972000000000001</v>
      </c>
    </row>
    <row r="372" spans="1:10" x14ac:dyDescent="0.35">
      <c r="A372" s="26">
        <v>324683</v>
      </c>
      <c r="B372" s="22">
        <v>0</v>
      </c>
      <c r="C372" s="27" t="s">
        <v>659</v>
      </c>
      <c r="D372" s="28">
        <v>4</v>
      </c>
      <c r="E372" s="28" t="s">
        <v>298</v>
      </c>
      <c r="F372" s="28" t="s">
        <v>1</v>
      </c>
      <c r="G372" s="28">
        <v>31.5</v>
      </c>
      <c r="H372" s="28"/>
      <c r="I372" s="28">
        <v>31.01</v>
      </c>
      <c r="J372" s="29">
        <v>21.62</v>
      </c>
    </row>
    <row r="373" spans="1:10" x14ac:dyDescent="0.35">
      <c r="A373" s="26">
        <v>324684</v>
      </c>
      <c r="B373" s="22">
        <v>0</v>
      </c>
      <c r="C373" s="27" t="s">
        <v>660</v>
      </c>
      <c r="D373" s="28">
        <v>4</v>
      </c>
      <c r="E373" s="28" t="s">
        <v>298</v>
      </c>
      <c r="F373" s="28" t="s">
        <v>1</v>
      </c>
      <c r="G373" s="28">
        <v>29.8</v>
      </c>
      <c r="H373" s="28"/>
      <c r="I373" s="28">
        <v>31.3</v>
      </c>
      <c r="J373" s="29">
        <v>22.14</v>
      </c>
    </row>
    <row r="374" spans="1:10" x14ac:dyDescent="0.35">
      <c r="A374" s="26">
        <v>324685</v>
      </c>
      <c r="B374" s="22">
        <v>0</v>
      </c>
      <c r="C374" s="27" t="s">
        <v>661</v>
      </c>
      <c r="D374" s="28">
        <v>8</v>
      </c>
      <c r="E374" s="28" t="s">
        <v>429</v>
      </c>
      <c r="F374" s="28" t="s">
        <v>440</v>
      </c>
      <c r="G374" s="28">
        <v>3.7</v>
      </c>
      <c r="H374" s="28"/>
      <c r="I374" s="28">
        <v>3.7</v>
      </c>
      <c r="J374" s="29">
        <v>17.600000000000001</v>
      </c>
    </row>
    <row r="375" spans="1:10" x14ac:dyDescent="0.35">
      <c r="A375" s="26">
        <v>324863</v>
      </c>
      <c r="B375" s="22">
        <v>0</v>
      </c>
      <c r="C375" s="27" t="s">
        <v>662</v>
      </c>
      <c r="D375" s="28">
        <v>4</v>
      </c>
      <c r="E375" s="28" t="s">
        <v>298</v>
      </c>
      <c r="F375" s="28" t="s">
        <v>1</v>
      </c>
      <c r="G375" s="28">
        <v>30.4</v>
      </c>
      <c r="H375" s="28"/>
      <c r="I375" s="28">
        <v>30.5</v>
      </c>
      <c r="J375" s="29">
        <v>28.4</v>
      </c>
    </row>
    <row r="376" spans="1:10" x14ac:dyDescent="0.35">
      <c r="A376" s="26">
        <v>325137</v>
      </c>
      <c r="B376" s="22">
        <v>0</v>
      </c>
      <c r="C376" s="27" t="s">
        <v>663</v>
      </c>
      <c r="D376" s="28">
        <v>4</v>
      </c>
      <c r="E376" s="28" t="s">
        <v>298</v>
      </c>
      <c r="F376" s="28" t="s">
        <v>1</v>
      </c>
      <c r="G376" s="28">
        <v>44</v>
      </c>
      <c r="H376" s="28"/>
      <c r="I376" s="28">
        <v>56.8</v>
      </c>
      <c r="J376" s="29">
        <v>30.4</v>
      </c>
    </row>
    <row r="377" spans="1:10" x14ac:dyDescent="0.35">
      <c r="A377" s="26">
        <v>325299</v>
      </c>
      <c r="B377" s="22">
        <v>0</v>
      </c>
      <c r="C377" s="27" t="s">
        <v>664</v>
      </c>
      <c r="D377" s="28">
        <v>4</v>
      </c>
      <c r="E377" s="28" t="s">
        <v>298</v>
      </c>
      <c r="F377" s="28" t="s">
        <v>1</v>
      </c>
      <c r="G377" s="28">
        <v>24</v>
      </c>
      <c r="H377" s="28"/>
      <c r="I377" s="28">
        <v>24</v>
      </c>
      <c r="J377" s="29">
        <v>21.34</v>
      </c>
    </row>
    <row r="378" spans="1:10" x14ac:dyDescent="0.35">
      <c r="A378" s="26">
        <v>325511</v>
      </c>
      <c r="B378" s="22">
        <v>0</v>
      </c>
      <c r="C378" s="27" t="s">
        <v>665</v>
      </c>
      <c r="D378" s="28">
        <v>4</v>
      </c>
      <c r="E378" s="28" t="s">
        <v>298</v>
      </c>
      <c r="F378" s="28" t="s">
        <v>1</v>
      </c>
      <c r="G378" s="28">
        <v>18.350000000000001</v>
      </c>
      <c r="H378" s="28"/>
      <c r="I378" s="28">
        <v>18.350000000000001</v>
      </c>
      <c r="J378" s="29">
        <v>18.96</v>
      </c>
    </row>
    <row r="379" spans="1:10" x14ac:dyDescent="0.35">
      <c r="A379" s="26">
        <v>325544</v>
      </c>
      <c r="B379" s="22">
        <v>0</v>
      </c>
      <c r="C379" s="27" t="s">
        <v>666</v>
      </c>
      <c r="D379" s="28">
        <v>4</v>
      </c>
      <c r="E379" s="28" t="s">
        <v>429</v>
      </c>
      <c r="F379" s="28" t="s">
        <v>430</v>
      </c>
      <c r="G379" s="28">
        <v>14.200000000000001</v>
      </c>
      <c r="H379" s="28"/>
      <c r="I379" s="28">
        <v>14.200000000000001</v>
      </c>
      <c r="J379" s="29">
        <v>20</v>
      </c>
    </row>
    <row r="380" spans="1:10" x14ac:dyDescent="0.35">
      <c r="A380" s="26">
        <v>325952</v>
      </c>
      <c r="B380" s="22">
        <v>0</v>
      </c>
      <c r="C380" s="27" t="s">
        <v>667</v>
      </c>
      <c r="D380" s="28">
        <v>2</v>
      </c>
      <c r="E380" s="28" t="s">
        <v>298</v>
      </c>
      <c r="F380" s="28" t="s">
        <v>1</v>
      </c>
      <c r="G380" s="28">
        <v>75.2</v>
      </c>
      <c r="H380" s="28"/>
      <c r="I380" s="28">
        <v>73.2</v>
      </c>
      <c r="J380" s="29">
        <v>31.94</v>
      </c>
    </row>
    <row r="381" spans="1:10" x14ac:dyDescent="0.35">
      <c r="A381" s="26">
        <v>326273</v>
      </c>
      <c r="B381" s="22">
        <v>0</v>
      </c>
      <c r="C381" s="27" t="s">
        <v>668</v>
      </c>
      <c r="D381" s="28">
        <v>4</v>
      </c>
      <c r="E381" s="28" t="s">
        <v>298</v>
      </c>
      <c r="F381" s="28" t="s">
        <v>1</v>
      </c>
      <c r="G381" s="28">
        <v>27</v>
      </c>
      <c r="H381" s="28"/>
      <c r="I381" s="28">
        <v>29.1</v>
      </c>
      <c r="J381" s="29">
        <v>18.559999999999999</v>
      </c>
    </row>
    <row r="382" spans="1:10" x14ac:dyDescent="0.35">
      <c r="A382" s="26">
        <v>326415</v>
      </c>
      <c r="B382" s="22">
        <v>0</v>
      </c>
      <c r="C382" s="27" t="s">
        <v>669</v>
      </c>
      <c r="D382" s="28">
        <v>4</v>
      </c>
      <c r="E382" s="28" t="s">
        <v>429</v>
      </c>
      <c r="F382" s="28" t="s">
        <v>440</v>
      </c>
      <c r="G382" s="28">
        <v>7.3000000000000007</v>
      </c>
      <c r="H382" s="28"/>
      <c r="I382" s="28">
        <v>7</v>
      </c>
      <c r="J382" s="29">
        <v>15.3</v>
      </c>
    </row>
    <row r="383" spans="1:10" x14ac:dyDescent="0.35">
      <c r="A383" s="26">
        <v>326771</v>
      </c>
      <c r="B383" s="22">
        <v>0</v>
      </c>
      <c r="C383" s="27" t="s">
        <v>670</v>
      </c>
      <c r="D383" s="28">
        <v>4</v>
      </c>
      <c r="E383" s="28" t="s">
        <v>298</v>
      </c>
      <c r="F383" s="28" t="s">
        <v>1</v>
      </c>
      <c r="G383" s="28">
        <v>24</v>
      </c>
      <c r="H383" s="28"/>
      <c r="I383" s="28">
        <v>26.97</v>
      </c>
      <c r="J383" s="29">
        <v>21.68</v>
      </c>
    </row>
    <row r="384" spans="1:10" x14ac:dyDescent="0.35">
      <c r="A384" s="26">
        <v>326794</v>
      </c>
      <c r="B384" s="22">
        <v>0</v>
      </c>
      <c r="C384" s="27" t="s">
        <v>671</v>
      </c>
      <c r="D384" s="28">
        <v>4</v>
      </c>
      <c r="E384" s="28" t="s">
        <v>298</v>
      </c>
      <c r="F384" s="28" t="s">
        <v>1</v>
      </c>
      <c r="G384" s="28">
        <v>34.5</v>
      </c>
      <c r="H384" s="28"/>
      <c r="I384" s="28">
        <v>33</v>
      </c>
      <c r="J384" s="29">
        <v>21.68</v>
      </c>
    </row>
    <row r="385" spans="1:10" x14ac:dyDescent="0.35">
      <c r="A385" s="26">
        <v>326796</v>
      </c>
      <c r="B385" s="22">
        <v>0</v>
      </c>
      <c r="C385" s="27" t="s">
        <v>672</v>
      </c>
      <c r="D385" s="28">
        <v>4</v>
      </c>
      <c r="E385" s="28" t="s">
        <v>298</v>
      </c>
      <c r="F385" s="28" t="s">
        <v>1</v>
      </c>
      <c r="G385" s="28">
        <v>23</v>
      </c>
      <c r="H385" s="28"/>
      <c r="I385" s="28">
        <v>18.7</v>
      </c>
      <c r="J385" s="29">
        <v>19.68</v>
      </c>
    </row>
    <row r="386" spans="1:10" x14ac:dyDescent="0.35">
      <c r="A386" s="26">
        <v>326797</v>
      </c>
      <c r="B386" s="22">
        <v>0</v>
      </c>
      <c r="C386" s="27" t="s">
        <v>673</v>
      </c>
      <c r="D386" s="28">
        <v>4</v>
      </c>
      <c r="E386" s="28" t="s">
        <v>298</v>
      </c>
      <c r="F386" s="28" t="s">
        <v>1</v>
      </c>
      <c r="G386" s="28">
        <v>30.5</v>
      </c>
      <c r="H386" s="28"/>
      <c r="I386" s="28">
        <v>23.87</v>
      </c>
      <c r="J386" s="29">
        <v>21</v>
      </c>
    </row>
    <row r="387" spans="1:10" x14ac:dyDescent="0.35">
      <c r="A387" s="26">
        <v>326798</v>
      </c>
      <c r="B387" s="22">
        <v>0</v>
      </c>
      <c r="C387" s="27" t="s">
        <v>674</v>
      </c>
      <c r="D387" s="28">
        <v>4</v>
      </c>
      <c r="E387" s="28" t="s">
        <v>298</v>
      </c>
      <c r="F387" s="28" t="s">
        <v>1</v>
      </c>
      <c r="G387" s="28">
        <v>29.099999999999998</v>
      </c>
      <c r="H387" s="28"/>
      <c r="I387" s="28">
        <v>44.05</v>
      </c>
      <c r="J387" s="29">
        <v>29.7</v>
      </c>
    </row>
    <row r="388" spans="1:10" x14ac:dyDescent="0.35">
      <c r="A388" s="26">
        <v>326953</v>
      </c>
      <c r="B388" s="22">
        <v>0</v>
      </c>
      <c r="C388" s="27" t="s">
        <v>675</v>
      </c>
      <c r="D388" s="28">
        <v>4</v>
      </c>
      <c r="E388" s="28" t="s">
        <v>298</v>
      </c>
      <c r="F388" s="28" t="s">
        <v>1</v>
      </c>
      <c r="G388" s="28">
        <v>27</v>
      </c>
      <c r="H388" s="28"/>
      <c r="I388" s="28">
        <v>27.09</v>
      </c>
      <c r="J388" s="29">
        <v>24</v>
      </c>
    </row>
    <row r="389" spans="1:10" x14ac:dyDescent="0.35">
      <c r="A389" s="26">
        <v>328420</v>
      </c>
      <c r="B389" s="22">
        <v>0</v>
      </c>
      <c r="C389" s="27" t="s">
        <v>676</v>
      </c>
      <c r="D389" s="28">
        <v>4</v>
      </c>
      <c r="E389" s="28" t="s">
        <v>298</v>
      </c>
      <c r="F389" s="28" t="s">
        <v>1</v>
      </c>
      <c r="G389" s="28">
        <v>28.5</v>
      </c>
      <c r="H389" s="28"/>
      <c r="I389" s="28">
        <v>7</v>
      </c>
      <c r="J389" s="29">
        <v>21.12</v>
      </c>
    </row>
    <row r="390" spans="1:10" x14ac:dyDescent="0.35">
      <c r="A390" s="26">
        <v>328469</v>
      </c>
      <c r="B390" s="22">
        <v>0</v>
      </c>
      <c r="C390" s="27" t="s">
        <v>677</v>
      </c>
      <c r="D390" s="28">
        <v>4</v>
      </c>
      <c r="E390" s="28" t="s">
        <v>429</v>
      </c>
      <c r="F390" s="28" t="s">
        <v>430</v>
      </c>
      <c r="G390" s="28">
        <v>14.200000000000001</v>
      </c>
      <c r="H390" s="28"/>
      <c r="I390" s="28">
        <v>14.200000000000001</v>
      </c>
      <c r="J390" s="29">
        <v>20</v>
      </c>
    </row>
    <row r="391" spans="1:10" x14ac:dyDescent="0.35">
      <c r="A391" s="26">
        <v>328482</v>
      </c>
      <c r="B391" s="22">
        <v>0</v>
      </c>
      <c r="C391" s="27" t="s">
        <v>678</v>
      </c>
      <c r="D391" s="28">
        <v>4</v>
      </c>
      <c r="E391" s="28" t="s">
        <v>298</v>
      </c>
      <c r="F391" s="28" t="s">
        <v>1</v>
      </c>
      <c r="G391" s="28">
        <v>23</v>
      </c>
      <c r="H391" s="28"/>
      <c r="I391" s="28">
        <v>20.07</v>
      </c>
      <c r="J391" s="29">
        <v>22</v>
      </c>
    </row>
    <row r="392" spans="1:10" x14ac:dyDescent="0.35">
      <c r="A392" s="26">
        <v>328487</v>
      </c>
      <c r="B392" s="22">
        <v>0</v>
      </c>
      <c r="C392" s="27" t="s">
        <v>679</v>
      </c>
      <c r="D392" s="28">
        <v>4</v>
      </c>
      <c r="E392" s="28" t="s">
        <v>429</v>
      </c>
      <c r="F392" s="28" t="s">
        <v>430</v>
      </c>
      <c r="G392" s="28">
        <v>13.84</v>
      </c>
      <c r="H392" s="28"/>
      <c r="I392" s="28">
        <v>13</v>
      </c>
      <c r="J392" s="29">
        <v>12</v>
      </c>
    </row>
    <row r="393" spans="1:10" x14ac:dyDescent="0.35">
      <c r="A393" s="26">
        <v>328687</v>
      </c>
      <c r="B393" s="22">
        <v>0</v>
      </c>
      <c r="C393" s="27" t="s">
        <v>680</v>
      </c>
      <c r="D393" s="28">
        <v>8</v>
      </c>
      <c r="E393" s="28" t="s">
        <v>429</v>
      </c>
      <c r="F393" s="28" t="s">
        <v>440</v>
      </c>
      <c r="G393" s="28">
        <v>4.3000000000000007</v>
      </c>
      <c r="H393" s="28"/>
      <c r="I393" s="28">
        <v>3.3</v>
      </c>
      <c r="J393" s="29">
        <v>17.600000000000001</v>
      </c>
    </row>
    <row r="394" spans="1:10" x14ac:dyDescent="0.35">
      <c r="A394" s="26">
        <v>329228</v>
      </c>
      <c r="B394" s="22">
        <v>0</v>
      </c>
      <c r="C394" s="27" t="s">
        <v>681</v>
      </c>
      <c r="D394" s="28">
        <v>4</v>
      </c>
      <c r="E394" s="28" t="s">
        <v>298</v>
      </c>
      <c r="F394" s="28" t="s">
        <v>1</v>
      </c>
      <c r="G394" s="28">
        <v>56.4</v>
      </c>
      <c r="H394" s="28"/>
      <c r="I394" s="28">
        <v>56.4</v>
      </c>
      <c r="J394" s="29">
        <v>40.68</v>
      </c>
    </row>
    <row r="395" spans="1:10" x14ac:dyDescent="0.35">
      <c r="A395" s="26">
        <v>329555</v>
      </c>
      <c r="B395" s="22">
        <v>0</v>
      </c>
      <c r="C395" s="27" t="s">
        <v>682</v>
      </c>
      <c r="D395" s="28">
        <v>4</v>
      </c>
      <c r="E395" s="28" t="s">
        <v>298</v>
      </c>
      <c r="F395" s="28" t="s">
        <v>1</v>
      </c>
      <c r="G395" s="28">
        <v>29.4</v>
      </c>
      <c r="H395" s="28"/>
      <c r="I395" s="28">
        <v>29.4</v>
      </c>
      <c r="J395" s="29">
        <v>21.32</v>
      </c>
    </row>
    <row r="396" spans="1:10" x14ac:dyDescent="0.35">
      <c r="A396" s="26">
        <v>329664</v>
      </c>
      <c r="B396" s="22">
        <v>0</v>
      </c>
      <c r="C396" s="27" t="s">
        <v>683</v>
      </c>
      <c r="D396" s="28">
        <v>4</v>
      </c>
      <c r="E396" s="28" t="s">
        <v>298</v>
      </c>
      <c r="F396" s="28" t="s">
        <v>1</v>
      </c>
      <c r="G396" s="28">
        <v>45.2</v>
      </c>
      <c r="H396" s="28"/>
      <c r="I396" s="28">
        <v>95.2</v>
      </c>
      <c r="J396" s="29">
        <v>29.52</v>
      </c>
    </row>
    <row r="397" spans="1:10" x14ac:dyDescent="0.35">
      <c r="A397" s="26">
        <v>329665</v>
      </c>
      <c r="B397" s="22">
        <v>0</v>
      </c>
      <c r="C397" s="27" t="s">
        <v>684</v>
      </c>
      <c r="D397" s="28">
        <v>4</v>
      </c>
      <c r="E397" s="28" t="s">
        <v>429</v>
      </c>
      <c r="F397" s="28" t="s">
        <v>440</v>
      </c>
      <c r="G397" s="28">
        <v>8.3000000000000007</v>
      </c>
      <c r="H397" s="28"/>
      <c r="I397" s="28">
        <v>8.3000000000000007</v>
      </c>
      <c r="J397" s="29">
        <v>15.3</v>
      </c>
    </row>
    <row r="398" spans="1:10" x14ac:dyDescent="0.35">
      <c r="A398" s="26">
        <v>329667</v>
      </c>
      <c r="B398" s="22">
        <v>0</v>
      </c>
      <c r="C398" s="27" t="s">
        <v>685</v>
      </c>
      <c r="D398" s="28">
        <v>4</v>
      </c>
      <c r="E398" s="28" t="s">
        <v>298</v>
      </c>
      <c r="F398" s="28" t="s">
        <v>1</v>
      </c>
      <c r="G398" s="28">
        <v>56.5</v>
      </c>
      <c r="H398" s="28"/>
      <c r="I398" s="28">
        <v>56.5</v>
      </c>
      <c r="J398" s="29">
        <v>38.72</v>
      </c>
    </row>
    <row r="399" spans="1:10" x14ac:dyDescent="0.35">
      <c r="A399" s="26">
        <v>329970</v>
      </c>
      <c r="B399" s="22">
        <v>0</v>
      </c>
      <c r="C399" s="27" t="s">
        <v>686</v>
      </c>
      <c r="D399" s="28">
        <v>4</v>
      </c>
      <c r="E399" s="28" t="s">
        <v>298</v>
      </c>
      <c r="F399" s="28" t="s">
        <v>1</v>
      </c>
      <c r="G399" s="28">
        <v>30</v>
      </c>
      <c r="H399" s="28"/>
      <c r="I399" s="28">
        <v>30</v>
      </c>
      <c r="J399" s="29">
        <v>29.28</v>
      </c>
    </row>
    <row r="400" spans="1:10" x14ac:dyDescent="0.35">
      <c r="A400" s="26">
        <v>330605</v>
      </c>
      <c r="B400" s="22">
        <v>0</v>
      </c>
      <c r="C400" s="27" t="s">
        <v>687</v>
      </c>
      <c r="D400" s="28">
        <v>4</v>
      </c>
      <c r="E400" s="28" t="s">
        <v>298</v>
      </c>
      <c r="F400" s="28" t="s">
        <v>1</v>
      </c>
      <c r="G400" s="28">
        <v>19.399999999999999</v>
      </c>
      <c r="H400" s="28"/>
      <c r="I400" s="28">
        <v>15</v>
      </c>
      <c r="J400" s="29">
        <v>20.52</v>
      </c>
    </row>
    <row r="401" spans="1:10" x14ac:dyDescent="0.35">
      <c r="A401" s="26">
        <v>330920</v>
      </c>
      <c r="B401" s="22">
        <v>0</v>
      </c>
      <c r="C401" s="27" t="s">
        <v>688</v>
      </c>
      <c r="D401" s="28">
        <v>4</v>
      </c>
      <c r="E401" s="28" t="s">
        <v>298</v>
      </c>
      <c r="F401" s="28" t="s">
        <v>1</v>
      </c>
      <c r="G401" s="28">
        <v>24</v>
      </c>
      <c r="H401" s="28"/>
      <c r="I401" s="28">
        <v>24</v>
      </c>
      <c r="J401" s="29">
        <v>36</v>
      </c>
    </row>
    <row r="402" spans="1:10" x14ac:dyDescent="0.35">
      <c r="A402" s="26">
        <v>330922</v>
      </c>
      <c r="B402" s="22">
        <v>0</v>
      </c>
      <c r="C402" s="27" t="s">
        <v>689</v>
      </c>
      <c r="D402" s="28">
        <v>4</v>
      </c>
      <c r="E402" s="28" t="s">
        <v>429</v>
      </c>
      <c r="F402" s="28" t="s">
        <v>440</v>
      </c>
      <c r="G402" s="28">
        <v>7.3000000000000007</v>
      </c>
      <c r="H402" s="28"/>
      <c r="I402" s="28">
        <v>7</v>
      </c>
      <c r="J402" s="29">
        <v>15.3</v>
      </c>
    </row>
    <row r="403" spans="1:10" x14ac:dyDescent="0.35">
      <c r="A403" s="26">
        <v>331136</v>
      </c>
      <c r="B403" s="22">
        <v>0</v>
      </c>
      <c r="C403" s="27" t="s">
        <v>690</v>
      </c>
      <c r="D403" s="28">
        <v>4</v>
      </c>
      <c r="E403" s="28" t="s">
        <v>298</v>
      </c>
      <c r="F403" s="28" t="s">
        <v>1</v>
      </c>
      <c r="G403" s="28">
        <v>30</v>
      </c>
      <c r="H403" s="28"/>
      <c r="I403" s="28">
        <v>26.9</v>
      </c>
      <c r="J403" s="29">
        <v>23</v>
      </c>
    </row>
    <row r="404" spans="1:10" x14ac:dyDescent="0.35">
      <c r="A404" s="26">
        <v>331207</v>
      </c>
      <c r="B404" s="22">
        <v>0</v>
      </c>
      <c r="C404" s="27" t="s">
        <v>691</v>
      </c>
      <c r="D404" s="28">
        <v>4</v>
      </c>
      <c r="E404" s="28" t="s">
        <v>298</v>
      </c>
      <c r="F404" s="28" t="s">
        <v>1</v>
      </c>
      <c r="G404" s="28">
        <v>34.5</v>
      </c>
      <c r="H404" s="28"/>
      <c r="I404" s="28">
        <v>33.700000000000003</v>
      </c>
      <c r="J404" s="29">
        <v>22</v>
      </c>
    </row>
    <row r="405" spans="1:10" x14ac:dyDescent="0.35">
      <c r="A405" s="26">
        <v>331676</v>
      </c>
      <c r="B405" s="22">
        <v>0</v>
      </c>
      <c r="C405" s="27" t="s">
        <v>692</v>
      </c>
      <c r="D405" s="28">
        <v>4</v>
      </c>
      <c r="E405" s="28" t="s">
        <v>298</v>
      </c>
      <c r="F405" s="28" t="s">
        <v>1</v>
      </c>
      <c r="G405" s="28">
        <v>56</v>
      </c>
      <c r="H405" s="28"/>
      <c r="I405" s="28">
        <v>58</v>
      </c>
      <c r="J405" s="29">
        <v>43.12</v>
      </c>
    </row>
    <row r="406" spans="1:10" x14ac:dyDescent="0.35">
      <c r="A406" s="26">
        <v>331854</v>
      </c>
      <c r="B406" s="22">
        <v>0</v>
      </c>
      <c r="C406" s="27" t="s">
        <v>693</v>
      </c>
      <c r="D406" s="28">
        <v>8</v>
      </c>
      <c r="E406" s="28" t="s">
        <v>429</v>
      </c>
      <c r="F406" s="28" t="s">
        <v>440</v>
      </c>
      <c r="G406" s="28">
        <v>4.3000000000000007</v>
      </c>
      <c r="H406" s="28"/>
      <c r="I406" s="28">
        <v>3.3</v>
      </c>
      <c r="J406" s="29">
        <v>17.600000000000001</v>
      </c>
    </row>
    <row r="407" spans="1:10" x14ac:dyDescent="0.35">
      <c r="A407" s="26">
        <v>333685</v>
      </c>
      <c r="B407" s="22">
        <v>0</v>
      </c>
      <c r="C407" s="27" t="s">
        <v>694</v>
      </c>
      <c r="D407" s="28">
        <v>8</v>
      </c>
      <c r="E407" s="28" t="s">
        <v>429</v>
      </c>
      <c r="F407" s="28" t="s">
        <v>440</v>
      </c>
      <c r="G407" s="28">
        <v>2.3000000000000003</v>
      </c>
      <c r="H407" s="28"/>
      <c r="I407" s="28">
        <v>2</v>
      </c>
      <c r="J407" s="29">
        <v>17.600000000000001</v>
      </c>
    </row>
    <row r="408" spans="1:10" x14ac:dyDescent="0.35">
      <c r="A408" s="26">
        <v>333686</v>
      </c>
      <c r="B408" s="22">
        <v>0</v>
      </c>
      <c r="C408" s="27" t="s">
        <v>695</v>
      </c>
      <c r="D408" s="28">
        <v>4</v>
      </c>
      <c r="E408" s="28" t="s">
        <v>429</v>
      </c>
      <c r="F408" s="28" t="s">
        <v>440</v>
      </c>
      <c r="G408" s="28">
        <v>4.3</v>
      </c>
      <c r="H408" s="28"/>
      <c r="I408" s="28">
        <v>4.3</v>
      </c>
      <c r="J408" s="29">
        <v>10.52</v>
      </c>
    </row>
    <row r="409" spans="1:10" x14ac:dyDescent="0.35">
      <c r="A409" s="26">
        <v>333690</v>
      </c>
      <c r="B409" s="22">
        <v>0</v>
      </c>
      <c r="C409" s="27" t="s">
        <v>696</v>
      </c>
      <c r="D409" s="28">
        <v>2</v>
      </c>
      <c r="E409" s="28" t="s">
        <v>429</v>
      </c>
      <c r="F409" s="28" t="s">
        <v>440</v>
      </c>
      <c r="G409" s="28">
        <v>16.2</v>
      </c>
      <c r="H409" s="28"/>
      <c r="I409" s="28">
        <v>16.2</v>
      </c>
      <c r="J409" s="29">
        <v>35</v>
      </c>
    </row>
    <row r="410" spans="1:10" x14ac:dyDescent="0.35">
      <c r="A410" s="26">
        <v>333702</v>
      </c>
      <c r="B410" s="22">
        <v>0</v>
      </c>
      <c r="C410" s="27" t="s">
        <v>697</v>
      </c>
      <c r="D410" s="28">
        <v>2</v>
      </c>
      <c r="E410" s="28" t="s">
        <v>429</v>
      </c>
      <c r="F410" s="28" t="s">
        <v>440</v>
      </c>
      <c r="G410" s="28">
        <v>16.2</v>
      </c>
      <c r="H410" s="28"/>
      <c r="I410" s="28">
        <v>16.2</v>
      </c>
      <c r="J410" s="29">
        <v>35</v>
      </c>
    </row>
    <row r="411" spans="1:10" x14ac:dyDescent="0.35">
      <c r="A411" s="26">
        <v>333703</v>
      </c>
      <c r="B411" s="22">
        <v>0</v>
      </c>
      <c r="C411" s="27" t="s">
        <v>698</v>
      </c>
      <c r="D411" s="28">
        <v>2</v>
      </c>
      <c r="E411" s="28" t="s">
        <v>429</v>
      </c>
      <c r="F411" s="28" t="s">
        <v>440</v>
      </c>
      <c r="G411" s="28">
        <v>16.2</v>
      </c>
      <c r="H411" s="28"/>
      <c r="I411" s="30">
        <v>16.2</v>
      </c>
      <c r="J411" s="29">
        <v>35</v>
      </c>
    </row>
    <row r="412" spans="1:10" x14ac:dyDescent="0.35">
      <c r="A412" s="26">
        <v>333704</v>
      </c>
      <c r="B412" s="22">
        <v>0</v>
      </c>
      <c r="C412" s="27" t="s">
        <v>699</v>
      </c>
      <c r="D412" s="28">
        <v>3</v>
      </c>
      <c r="E412" s="28" t="s">
        <v>298</v>
      </c>
      <c r="F412" s="28" t="s">
        <v>1</v>
      </c>
      <c r="G412" s="28">
        <v>96.2</v>
      </c>
      <c r="H412" s="28"/>
      <c r="I412" s="28">
        <v>96.2</v>
      </c>
      <c r="J412" s="29">
        <v>30</v>
      </c>
    </row>
    <row r="413" spans="1:10" x14ac:dyDescent="0.35">
      <c r="A413" s="26">
        <v>333706</v>
      </c>
      <c r="B413" s="22">
        <v>0</v>
      </c>
      <c r="C413" s="27" t="s">
        <v>700</v>
      </c>
      <c r="D413" s="28">
        <v>3</v>
      </c>
      <c r="E413" s="28" t="s">
        <v>298</v>
      </c>
      <c r="F413" s="28" t="s">
        <v>1</v>
      </c>
      <c r="G413" s="28">
        <v>96.2</v>
      </c>
      <c r="H413" s="28"/>
      <c r="I413" s="28">
        <v>95.2</v>
      </c>
      <c r="J413" s="29">
        <v>30</v>
      </c>
    </row>
    <row r="414" spans="1:10" x14ac:dyDescent="0.35">
      <c r="A414" s="26">
        <v>333708</v>
      </c>
      <c r="B414" s="22">
        <v>0</v>
      </c>
      <c r="C414" s="27" t="s">
        <v>701</v>
      </c>
      <c r="D414" s="28">
        <v>3</v>
      </c>
      <c r="E414" s="28" t="s">
        <v>298</v>
      </c>
      <c r="F414" s="28" t="s">
        <v>1</v>
      </c>
      <c r="G414" s="28">
        <v>96.2</v>
      </c>
      <c r="H414" s="28"/>
      <c r="I414" s="28">
        <v>96.2</v>
      </c>
      <c r="J414" s="29">
        <v>30</v>
      </c>
    </row>
    <row r="415" spans="1:10" x14ac:dyDescent="0.35">
      <c r="A415" s="26">
        <v>333745</v>
      </c>
      <c r="B415" s="22">
        <v>0</v>
      </c>
      <c r="C415" s="27" t="s">
        <v>702</v>
      </c>
      <c r="D415" s="28">
        <v>3</v>
      </c>
      <c r="E415" s="28" t="s">
        <v>298</v>
      </c>
      <c r="F415" s="28" t="s">
        <v>1</v>
      </c>
      <c r="G415" s="28">
        <v>95.2</v>
      </c>
      <c r="H415" s="28"/>
      <c r="I415" s="28">
        <v>95.2</v>
      </c>
      <c r="J415" s="29">
        <v>30</v>
      </c>
    </row>
    <row r="416" spans="1:10" x14ac:dyDescent="0.35">
      <c r="A416" s="26">
        <v>334480</v>
      </c>
      <c r="B416" s="22">
        <v>0</v>
      </c>
      <c r="C416" s="27" t="s">
        <v>703</v>
      </c>
      <c r="D416" s="28">
        <v>4</v>
      </c>
      <c r="E416" s="28" t="s">
        <v>298</v>
      </c>
      <c r="F416" s="28" t="s">
        <v>1</v>
      </c>
      <c r="G416" s="28">
        <v>29.5</v>
      </c>
      <c r="H416" s="28"/>
      <c r="I416" s="28">
        <v>44</v>
      </c>
      <c r="J416" s="29">
        <v>22</v>
      </c>
    </row>
    <row r="417" spans="1:10" x14ac:dyDescent="0.35">
      <c r="A417" s="26">
        <v>334550</v>
      </c>
      <c r="B417" s="22">
        <v>0</v>
      </c>
      <c r="C417" s="27" t="s">
        <v>704</v>
      </c>
      <c r="D417" s="28">
        <v>4</v>
      </c>
      <c r="E417" s="28" t="s">
        <v>298</v>
      </c>
      <c r="F417" s="28" t="s">
        <v>1</v>
      </c>
      <c r="G417" s="28">
        <v>44.199999999999996</v>
      </c>
      <c r="H417" s="28"/>
      <c r="I417" s="28">
        <v>44.199999999999996</v>
      </c>
      <c r="J417" s="29">
        <v>30</v>
      </c>
    </row>
    <row r="418" spans="1:10" x14ac:dyDescent="0.35">
      <c r="A418" s="26">
        <v>334551</v>
      </c>
      <c r="B418" s="22">
        <v>0</v>
      </c>
      <c r="C418" s="27" t="s">
        <v>705</v>
      </c>
      <c r="D418" s="28">
        <v>8</v>
      </c>
      <c r="E418" s="28" t="s">
        <v>429</v>
      </c>
      <c r="F418" s="28" t="s">
        <v>440</v>
      </c>
      <c r="G418" s="28">
        <v>4.3000000000000007</v>
      </c>
      <c r="H418" s="28"/>
      <c r="I418" s="28">
        <v>3.3</v>
      </c>
      <c r="J418" s="29">
        <v>17.600000000000001</v>
      </c>
    </row>
    <row r="419" spans="1:10" x14ac:dyDescent="0.35">
      <c r="A419" s="26">
        <v>334730</v>
      </c>
      <c r="B419" s="22">
        <v>0</v>
      </c>
      <c r="C419" s="27" t="s">
        <v>706</v>
      </c>
      <c r="D419" s="28">
        <v>4</v>
      </c>
      <c r="E419" s="28" t="s">
        <v>298</v>
      </c>
      <c r="F419" s="28" t="s">
        <v>1</v>
      </c>
      <c r="G419" s="28">
        <v>44</v>
      </c>
      <c r="H419" s="28"/>
      <c r="I419" s="28">
        <v>150.19999999999999</v>
      </c>
      <c r="J419" s="29">
        <v>25</v>
      </c>
    </row>
    <row r="420" spans="1:10" x14ac:dyDescent="0.35">
      <c r="A420" s="26">
        <v>334731</v>
      </c>
      <c r="B420" s="22">
        <v>0</v>
      </c>
      <c r="C420" s="27" t="s">
        <v>707</v>
      </c>
      <c r="D420" s="28">
        <v>4</v>
      </c>
      <c r="E420" s="28" t="s">
        <v>429</v>
      </c>
      <c r="F420" s="28" t="s">
        <v>430</v>
      </c>
      <c r="G420" s="28">
        <v>14.200000000000001</v>
      </c>
      <c r="H420" s="28"/>
      <c r="I420" s="28">
        <v>14.200000000000001</v>
      </c>
      <c r="J420" s="29">
        <v>20</v>
      </c>
    </row>
    <row r="421" spans="1:10" x14ac:dyDescent="0.35">
      <c r="A421" s="26">
        <v>334752</v>
      </c>
      <c r="B421" s="22">
        <v>0</v>
      </c>
      <c r="C421" s="27" t="s">
        <v>708</v>
      </c>
      <c r="D421" s="28">
        <v>4</v>
      </c>
      <c r="E421" s="28" t="s">
        <v>429</v>
      </c>
      <c r="F421" s="28" t="s">
        <v>430</v>
      </c>
      <c r="G421" s="28">
        <v>14.200000000000001</v>
      </c>
      <c r="H421" s="28"/>
      <c r="I421" s="28">
        <v>14.200000000000001</v>
      </c>
      <c r="J421" s="29">
        <v>20</v>
      </c>
    </row>
    <row r="422" spans="1:10" x14ac:dyDescent="0.35">
      <c r="A422" s="26">
        <v>334768</v>
      </c>
      <c r="B422" s="22">
        <v>0</v>
      </c>
      <c r="C422" s="27" t="s">
        <v>709</v>
      </c>
      <c r="D422" s="28">
        <v>4</v>
      </c>
      <c r="E422" s="28" t="s">
        <v>429</v>
      </c>
      <c r="F422" s="28" t="s">
        <v>430</v>
      </c>
      <c r="G422" s="28">
        <v>13.200000000000001</v>
      </c>
      <c r="H422" s="28"/>
      <c r="I422" s="28">
        <v>13.200000000000001</v>
      </c>
      <c r="J422" s="29">
        <v>20</v>
      </c>
    </row>
    <row r="423" spans="1:10" x14ac:dyDescent="0.35">
      <c r="A423" s="26">
        <v>335770</v>
      </c>
      <c r="B423" s="22">
        <v>0</v>
      </c>
      <c r="C423" s="27" t="s">
        <v>710</v>
      </c>
      <c r="D423" s="28">
        <v>4</v>
      </c>
      <c r="E423" s="28" t="s">
        <v>429</v>
      </c>
      <c r="F423" s="28" t="s">
        <v>440</v>
      </c>
      <c r="G423" s="28">
        <v>7.3000000000000007</v>
      </c>
      <c r="H423" s="28"/>
      <c r="I423" s="28">
        <v>7.3000000000000007</v>
      </c>
      <c r="J423" s="29">
        <v>15.3</v>
      </c>
    </row>
    <row r="424" spans="1:10" x14ac:dyDescent="0.35">
      <c r="A424" s="26">
        <v>336009</v>
      </c>
      <c r="B424" s="22">
        <v>0</v>
      </c>
      <c r="C424" s="27" t="s">
        <v>711</v>
      </c>
      <c r="D424" s="28">
        <v>4</v>
      </c>
      <c r="E424" s="28" t="s">
        <v>298</v>
      </c>
      <c r="F424" s="28" t="s">
        <v>1</v>
      </c>
      <c r="G424" s="28">
        <v>27</v>
      </c>
      <c r="H424" s="28"/>
      <c r="I424" s="28">
        <v>29</v>
      </c>
      <c r="J424" s="29">
        <v>20</v>
      </c>
    </row>
    <row r="425" spans="1:10" x14ac:dyDescent="0.35">
      <c r="A425" s="26">
        <v>336166</v>
      </c>
      <c r="B425" s="22">
        <v>0</v>
      </c>
      <c r="C425" s="27" t="s">
        <v>712</v>
      </c>
      <c r="D425" s="28">
        <v>4</v>
      </c>
      <c r="E425" s="28" t="s">
        <v>429</v>
      </c>
      <c r="F425" s="28" t="s">
        <v>440</v>
      </c>
      <c r="G425" s="28">
        <v>6.5</v>
      </c>
      <c r="H425" s="28"/>
      <c r="I425" s="28">
        <v>7.5</v>
      </c>
      <c r="J425" s="29">
        <v>20</v>
      </c>
    </row>
    <row r="426" spans="1:10" x14ac:dyDescent="0.35">
      <c r="A426" s="26">
        <v>336167</v>
      </c>
      <c r="B426" s="22">
        <v>0</v>
      </c>
      <c r="C426" s="27" t="s">
        <v>713</v>
      </c>
      <c r="D426" s="28">
        <v>4</v>
      </c>
      <c r="E426" s="28" t="s">
        <v>429</v>
      </c>
      <c r="F426" s="28" t="s">
        <v>440</v>
      </c>
      <c r="G426" s="28">
        <v>2.9</v>
      </c>
      <c r="H426" s="28"/>
      <c r="I426" s="28">
        <v>2.9</v>
      </c>
      <c r="J426" s="29">
        <v>19.8</v>
      </c>
    </row>
    <row r="427" spans="1:10" x14ac:dyDescent="0.35">
      <c r="A427" s="26">
        <v>336372</v>
      </c>
      <c r="B427" s="22">
        <v>0</v>
      </c>
      <c r="C427" s="27" t="s">
        <v>714</v>
      </c>
      <c r="D427" s="28">
        <v>4</v>
      </c>
      <c r="E427" s="28" t="s">
        <v>298</v>
      </c>
      <c r="F427" s="28" t="s">
        <v>1</v>
      </c>
      <c r="G427" s="28">
        <v>29.2</v>
      </c>
      <c r="H427" s="28"/>
      <c r="I427" s="28">
        <v>48.5</v>
      </c>
      <c r="J427" s="29">
        <v>27</v>
      </c>
    </row>
    <row r="428" spans="1:10" x14ac:dyDescent="0.35">
      <c r="A428" s="26">
        <v>336739</v>
      </c>
      <c r="B428" s="22">
        <v>0</v>
      </c>
      <c r="C428" s="27" t="s">
        <v>715</v>
      </c>
      <c r="D428" s="28">
        <v>2</v>
      </c>
      <c r="E428" s="28" t="s">
        <v>298</v>
      </c>
      <c r="F428" s="28" t="s">
        <v>1</v>
      </c>
      <c r="G428" s="28">
        <v>69.7</v>
      </c>
      <c r="H428" s="28"/>
      <c r="I428" s="28"/>
      <c r="J428" s="29">
        <v>37.68</v>
      </c>
    </row>
    <row r="429" spans="1:10" x14ac:dyDescent="0.35">
      <c r="A429" s="26">
        <v>336740</v>
      </c>
      <c r="B429" s="22">
        <v>0</v>
      </c>
      <c r="C429" s="27" t="s">
        <v>716</v>
      </c>
      <c r="D429" s="28">
        <v>2</v>
      </c>
      <c r="E429" s="28" t="s">
        <v>298</v>
      </c>
      <c r="F429" s="28" t="s">
        <v>1</v>
      </c>
      <c r="G429" s="28">
        <v>70.7</v>
      </c>
      <c r="H429" s="28"/>
      <c r="I429" s="28">
        <v>69.7</v>
      </c>
      <c r="J429" s="29">
        <v>75.36</v>
      </c>
    </row>
    <row r="430" spans="1:10" x14ac:dyDescent="0.35">
      <c r="A430" s="26">
        <v>337470</v>
      </c>
      <c r="B430" s="22">
        <v>0</v>
      </c>
      <c r="C430" s="27" t="s">
        <v>717</v>
      </c>
      <c r="D430" s="28">
        <v>4</v>
      </c>
      <c r="E430" s="28" t="s">
        <v>298</v>
      </c>
      <c r="F430" s="28" t="s">
        <v>1</v>
      </c>
      <c r="G430" s="28">
        <v>55</v>
      </c>
      <c r="H430" s="28"/>
      <c r="I430" s="28">
        <v>55</v>
      </c>
      <c r="J430" s="29">
        <v>27</v>
      </c>
    </row>
    <row r="431" spans="1:10" x14ac:dyDescent="0.35">
      <c r="A431" s="26">
        <v>337471</v>
      </c>
      <c r="B431" s="22">
        <v>0</v>
      </c>
      <c r="C431" s="27" t="s">
        <v>718</v>
      </c>
      <c r="D431" s="28">
        <v>4</v>
      </c>
      <c r="E431" s="28" t="s">
        <v>298</v>
      </c>
      <c r="F431" s="28" t="s">
        <v>1</v>
      </c>
      <c r="G431" s="28">
        <v>67.2</v>
      </c>
      <c r="H431" s="28"/>
      <c r="I431" s="28">
        <v>55</v>
      </c>
      <c r="J431" s="29">
        <v>41.4</v>
      </c>
    </row>
    <row r="432" spans="1:10" x14ac:dyDescent="0.35">
      <c r="A432" s="26">
        <v>337709</v>
      </c>
      <c r="B432" s="22">
        <v>0</v>
      </c>
      <c r="C432" s="27" t="s">
        <v>719</v>
      </c>
      <c r="D432" s="28">
        <v>4</v>
      </c>
      <c r="E432" s="28" t="s">
        <v>429</v>
      </c>
      <c r="F432" s="28" t="s">
        <v>440</v>
      </c>
      <c r="G432" s="28">
        <v>7.3000000000000007</v>
      </c>
      <c r="H432" s="28"/>
      <c r="I432" s="28">
        <v>7</v>
      </c>
      <c r="J432" s="29">
        <v>15.3</v>
      </c>
    </row>
    <row r="433" spans="1:10" x14ac:dyDescent="0.35">
      <c r="A433" s="26">
        <v>337767</v>
      </c>
      <c r="B433" s="22">
        <v>0</v>
      </c>
      <c r="C433" s="27" t="s">
        <v>720</v>
      </c>
      <c r="D433" s="28">
        <v>3</v>
      </c>
      <c r="E433" s="28" t="s">
        <v>298</v>
      </c>
      <c r="F433" s="28" t="s">
        <v>1</v>
      </c>
      <c r="G433" s="28">
        <v>96.2</v>
      </c>
      <c r="H433" s="28"/>
      <c r="I433" s="28">
        <v>95.2</v>
      </c>
      <c r="J433" s="29">
        <v>30</v>
      </c>
    </row>
    <row r="434" spans="1:10" x14ac:dyDescent="0.35">
      <c r="A434" s="26">
        <v>337998</v>
      </c>
      <c r="B434" s="22">
        <v>0</v>
      </c>
      <c r="C434" s="27" t="s">
        <v>721</v>
      </c>
      <c r="D434" s="28">
        <v>4</v>
      </c>
      <c r="E434" s="28" t="s">
        <v>298</v>
      </c>
      <c r="F434" s="28" t="s">
        <v>1</v>
      </c>
      <c r="G434" s="28">
        <v>23</v>
      </c>
      <c r="H434" s="28"/>
      <c r="I434" s="28">
        <v>23</v>
      </c>
      <c r="J434" s="29">
        <v>29</v>
      </c>
    </row>
    <row r="435" spans="1:10" x14ac:dyDescent="0.35">
      <c r="A435" s="26">
        <v>338312</v>
      </c>
      <c r="B435" s="22">
        <v>0</v>
      </c>
      <c r="C435" s="27" t="s">
        <v>722</v>
      </c>
      <c r="D435" s="28">
        <v>4</v>
      </c>
      <c r="E435" s="28" t="s">
        <v>429</v>
      </c>
      <c r="F435" s="28" t="s">
        <v>430</v>
      </c>
      <c r="G435" s="28">
        <v>4.5999999999999996</v>
      </c>
      <c r="H435" s="28"/>
      <c r="I435" s="28">
        <v>4.5999999999999996</v>
      </c>
      <c r="J435" s="29">
        <v>17.8</v>
      </c>
    </row>
    <row r="436" spans="1:10" x14ac:dyDescent="0.35">
      <c r="A436" s="26">
        <v>338313</v>
      </c>
      <c r="B436" s="22">
        <v>0</v>
      </c>
      <c r="C436" s="27" t="s">
        <v>723</v>
      </c>
      <c r="D436" s="28">
        <v>4</v>
      </c>
      <c r="E436" s="28" t="s">
        <v>429</v>
      </c>
      <c r="F436" s="28" t="s">
        <v>430</v>
      </c>
      <c r="G436" s="28">
        <v>4.5999999999999996</v>
      </c>
      <c r="H436" s="28"/>
      <c r="I436" s="28">
        <v>4.5999999999999996</v>
      </c>
      <c r="J436" s="29">
        <v>17.8</v>
      </c>
    </row>
    <row r="437" spans="1:10" x14ac:dyDescent="0.35">
      <c r="A437" s="26">
        <v>338315</v>
      </c>
      <c r="B437" s="22">
        <v>0</v>
      </c>
      <c r="C437" s="27" t="s">
        <v>724</v>
      </c>
      <c r="D437" s="28">
        <v>4</v>
      </c>
      <c r="E437" s="28" t="s">
        <v>429</v>
      </c>
      <c r="F437" s="28" t="s">
        <v>430</v>
      </c>
      <c r="G437" s="28">
        <v>8.1999999999999993</v>
      </c>
      <c r="H437" s="28"/>
      <c r="I437" s="28">
        <v>8</v>
      </c>
      <c r="J437" s="29">
        <v>16.88</v>
      </c>
    </row>
    <row r="438" spans="1:10" x14ac:dyDescent="0.35">
      <c r="A438" s="26">
        <v>338383</v>
      </c>
      <c r="B438" s="22">
        <v>0</v>
      </c>
      <c r="C438" s="27" t="s">
        <v>725</v>
      </c>
      <c r="D438" s="28">
        <v>8</v>
      </c>
      <c r="E438" s="28" t="s">
        <v>429</v>
      </c>
      <c r="F438" s="28" t="s">
        <v>440</v>
      </c>
      <c r="G438" s="28">
        <v>4.87</v>
      </c>
      <c r="H438" s="28"/>
      <c r="I438" s="28">
        <v>3.8</v>
      </c>
      <c r="J438" s="29">
        <v>17.600000000000001</v>
      </c>
    </row>
    <row r="439" spans="1:10" x14ac:dyDescent="0.35">
      <c r="A439" s="26">
        <v>338957</v>
      </c>
      <c r="B439" s="22">
        <v>0</v>
      </c>
      <c r="C439" s="27" t="s">
        <v>726</v>
      </c>
      <c r="D439" s="28">
        <v>2</v>
      </c>
      <c r="E439" s="28" t="s">
        <v>429</v>
      </c>
      <c r="F439" s="28" t="s">
        <v>440</v>
      </c>
      <c r="G439" s="28">
        <v>48.26</v>
      </c>
      <c r="H439" s="28"/>
      <c r="I439" s="28">
        <v>48.3</v>
      </c>
      <c r="J439" s="29">
        <v>36.799999999999997</v>
      </c>
    </row>
    <row r="440" spans="1:10" x14ac:dyDescent="0.35">
      <c r="A440" s="26">
        <v>339222</v>
      </c>
      <c r="B440" s="22">
        <v>0</v>
      </c>
      <c r="C440" s="27" t="s">
        <v>727</v>
      </c>
      <c r="D440" s="28">
        <v>3</v>
      </c>
      <c r="E440" s="28" t="s">
        <v>298</v>
      </c>
      <c r="F440" s="28" t="s">
        <v>1</v>
      </c>
      <c r="G440" s="28">
        <v>97.2</v>
      </c>
      <c r="H440" s="28"/>
      <c r="I440" s="28">
        <v>97.2</v>
      </c>
      <c r="J440" s="29">
        <v>30</v>
      </c>
    </row>
    <row r="441" spans="1:10" x14ac:dyDescent="0.35">
      <c r="A441" s="26">
        <v>339242</v>
      </c>
      <c r="B441" s="22">
        <v>0</v>
      </c>
      <c r="C441" s="27" t="s">
        <v>728</v>
      </c>
      <c r="D441" s="28">
        <v>3</v>
      </c>
      <c r="E441" s="28" t="s">
        <v>298</v>
      </c>
      <c r="F441" s="28" t="s">
        <v>1</v>
      </c>
      <c r="G441" s="28">
        <v>97.2</v>
      </c>
      <c r="H441" s="28"/>
      <c r="I441" s="28">
        <v>24.3</v>
      </c>
      <c r="J441" s="29">
        <v>30</v>
      </c>
    </row>
    <row r="442" spans="1:10" x14ac:dyDescent="0.35">
      <c r="A442" s="26">
        <v>339243</v>
      </c>
      <c r="B442" s="22">
        <v>0</v>
      </c>
      <c r="C442" s="27" t="s">
        <v>729</v>
      </c>
      <c r="D442" s="28">
        <v>3</v>
      </c>
      <c r="E442" s="28" t="s">
        <v>298</v>
      </c>
      <c r="F442" s="28" t="s">
        <v>1</v>
      </c>
      <c r="G442" s="28">
        <v>97.2</v>
      </c>
      <c r="H442" s="28"/>
      <c r="I442" s="28">
        <v>95.2</v>
      </c>
      <c r="J442" s="29">
        <v>30</v>
      </c>
    </row>
    <row r="443" spans="1:10" x14ac:dyDescent="0.35">
      <c r="A443" s="26">
        <v>340460</v>
      </c>
      <c r="B443" s="22">
        <v>0</v>
      </c>
      <c r="C443" s="27" t="s">
        <v>730</v>
      </c>
      <c r="D443" s="28">
        <v>4</v>
      </c>
      <c r="E443" s="28" t="s">
        <v>298</v>
      </c>
      <c r="F443" s="28" t="s">
        <v>1</v>
      </c>
      <c r="G443" s="28">
        <v>15.05</v>
      </c>
      <c r="H443" s="28"/>
      <c r="I443" s="28">
        <v>15.05</v>
      </c>
      <c r="J443" s="29">
        <v>20</v>
      </c>
    </row>
    <row r="444" spans="1:10" x14ac:dyDescent="0.35">
      <c r="A444" s="26">
        <v>340461</v>
      </c>
      <c r="B444" s="22">
        <v>0</v>
      </c>
      <c r="C444" s="27" t="s">
        <v>731</v>
      </c>
      <c r="D444" s="28">
        <v>4</v>
      </c>
      <c r="E444" s="28" t="s">
        <v>298</v>
      </c>
      <c r="F444" s="28" t="s">
        <v>1</v>
      </c>
      <c r="G444" s="28">
        <v>24.9</v>
      </c>
      <c r="H444" s="28"/>
      <c r="I444" s="28">
        <v>29.6</v>
      </c>
      <c r="J444" s="29">
        <v>28.04</v>
      </c>
    </row>
    <row r="445" spans="1:10" x14ac:dyDescent="0.35">
      <c r="A445" s="26">
        <v>340540</v>
      </c>
      <c r="B445" s="22">
        <v>0</v>
      </c>
      <c r="C445" s="27" t="s">
        <v>732</v>
      </c>
      <c r="D445" s="28">
        <v>8</v>
      </c>
      <c r="E445" s="28" t="s">
        <v>429</v>
      </c>
      <c r="F445" s="28" t="s">
        <v>440</v>
      </c>
      <c r="G445" s="28">
        <v>4.3000000000000007</v>
      </c>
      <c r="H445" s="28"/>
      <c r="I445" s="28">
        <v>3.3</v>
      </c>
      <c r="J445" s="29">
        <v>17.600000000000001</v>
      </c>
    </row>
    <row r="446" spans="1:10" x14ac:dyDescent="0.35">
      <c r="A446" s="26">
        <v>341231</v>
      </c>
      <c r="B446" s="22">
        <v>0</v>
      </c>
      <c r="C446" s="27" t="s">
        <v>733</v>
      </c>
      <c r="D446" s="28">
        <v>4</v>
      </c>
      <c r="E446" s="28" t="s">
        <v>298</v>
      </c>
      <c r="F446" s="28" t="s">
        <v>1</v>
      </c>
      <c r="G446" s="28">
        <v>48</v>
      </c>
      <c r="H446" s="28"/>
      <c r="I446" s="28">
        <v>48.3</v>
      </c>
      <c r="J446" s="29">
        <v>28.96</v>
      </c>
    </row>
    <row r="447" spans="1:10" x14ac:dyDescent="0.35">
      <c r="A447" s="26">
        <v>342604</v>
      </c>
      <c r="B447" s="22">
        <v>0</v>
      </c>
      <c r="C447" s="27" t="s">
        <v>734</v>
      </c>
      <c r="D447" s="28">
        <v>4</v>
      </c>
      <c r="E447" s="28" t="s">
        <v>429</v>
      </c>
      <c r="F447" s="28" t="s">
        <v>467</v>
      </c>
      <c r="G447" s="28">
        <v>4.8499999999999996</v>
      </c>
      <c r="H447" s="28"/>
      <c r="I447" s="28">
        <v>4.6500000000000004</v>
      </c>
      <c r="J447" s="29">
        <v>16.2</v>
      </c>
    </row>
    <row r="448" spans="1:10" x14ac:dyDescent="0.35">
      <c r="A448" s="26">
        <v>342607</v>
      </c>
      <c r="B448" s="22">
        <v>0</v>
      </c>
      <c r="C448" s="27" t="s">
        <v>735</v>
      </c>
      <c r="D448" s="28">
        <v>4</v>
      </c>
      <c r="E448" s="28" t="s">
        <v>298</v>
      </c>
      <c r="F448" s="28" t="s">
        <v>1</v>
      </c>
      <c r="G448" s="28">
        <v>18.900000000000002</v>
      </c>
      <c r="H448" s="28"/>
      <c r="I448" s="28">
        <v>24</v>
      </c>
      <c r="J448" s="29">
        <v>20.12</v>
      </c>
    </row>
    <row r="449" spans="1:10" x14ac:dyDescent="0.35">
      <c r="A449" s="26">
        <v>343313</v>
      </c>
      <c r="B449" s="22">
        <v>0</v>
      </c>
      <c r="C449" s="27" t="s">
        <v>736</v>
      </c>
      <c r="D449" s="28">
        <v>4</v>
      </c>
      <c r="E449" s="28" t="s">
        <v>298</v>
      </c>
      <c r="F449" s="28" t="s">
        <v>1</v>
      </c>
      <c r="G449" s="28">
        <v>30.9</v>
      </c>
      <c r="H449" s="28"/>
      <c r="I449" s="28">
        <v>12.5</v>
      </c>
      <c r="J449" s="29">
        <v>27.8</v>
      </c>
    </row>
    <row r="450" spans="1:10" x14ac:dyDescent="0.35">
      <c r="A450" s="26">
        <v>343462</v>
      </c>
      <c r="B450" s="22">
        <v>0</v>
      </c>
      <c r="C450" s="27" t="s">
        <v>737</v>
      </c>
      <c r="D450" s="28">
        <v>4</v>
      </c>
      <c r="E450" s="28" t="s">
        <v>298</v>
      </c>
      <c r="F450" s="28" t="s">
        <v>1</v>
      </c>
      <c r="G450" s="28">
        <v>45</v>
      </c>
      <c r="H450" s="28"/>
      <c r="I450" s="28">
        <v>32.4</v>
      </c>
      <c r="J450" s="29">
        <v>27.16</v>
      </c>
    </row>
    <row r="451" spans="1:10" x14ac:dyDescent="0.35">
      <c r="A451" s="26">
        <v>343762</v>
      </c>
      <c r="B451" s="22">
        <v>0</v>
      </c>
      <c r="C451" s="27" t="s">
        <v>738</v>
      </c>
      <c r="D451" s="28">
        <v>4</v>
      </c>
      <c r="E451" s="28" t="s">
        <v>298</v>
      </c>
      <c r="F451" s="28" t="s">
        <v>1</v>
      </c>
      <c r="G451" s="28">
        <v>29.5</v>
      </c>
      <c r="H451" s="28"/>
      <c r="I451" s="28">
        <v>23.06</v>
      </c>
      <c r="J451" s="29">
        <v>36.6</v>
      </c>
    </row>
    <row r="452" spans="1:10" x14ac:dyDescent="0.35">
      <c r="A452" s="26">
        <v>344585</v>
      </c>
      <c r="B452" s="22">
        <v>0</v>
      </c>
      <c r="C452" s="27" t="s">
        <v>739</v>
      </c>
      <c r="D452" s="28">
        <v>4</v>
      </c>
      <c r="E452" s="28" t="s">
        <v>298</v>
      </c>
      <c r="F452" s="28" t="s">
        <v>1</v>
      </c>
      <c r="G452" s="28">
        <v>20</v>
      </c>
      <c r="H452" s="28"/>
      <c r="I452" s="28">
        <v>20</v>
      </c>
      <c r="J452" s="29">
        <v>22.36</v>
      </c>
    </row>
    <row r="453" spans="1:10" x14ac:dyDescent="0.35">
      <c r="A453" s="26">
        <v>345184</v>
      </c>
      <c r="B453" s="22">
        <v>0</v>
      </c>
      <c r="C453" s="27" t="s">
        <v>740</v>
      </c>
      <c r="D453" s="28">
        <v>4</v>
      </c>
      <c r="E453" s="28" t="s">
        <v>429</v>
      </c>
      <c r="F453" s="28" t="s">
        <v>430</v>
      </c>
      <c r="G453" s="28">
        <v>14.200000000000001</v>
      </c>
      <c r="H453" s="28"/>
      <c r="I453" s="28">
        <v>13.2</v>
      </c>
      <c r="J453" s="29">
        <v>20</v>
      </c>
    </row>
    <row r="454" spans="1:10" x14ac:dyDescent="0.35">
      <c r="A454" s="26">
        <v>345523</v>
      </c>
      <c r="B454" s="22">
        <v>0</v>
      </c>
      <c r="C454" s="27" t="s">
        <v>741</v>
      </c>
      <c r="D454" s="28">
        <v>4</v>
      </c>
      <c r="E454" s="28" t="s">
        <v>298</v>
      </c>
      <c r="F454" s="28" t="s">
        <v>1</v>
      </c>
      <c r="G454" s="28">
        <v>34.5</v>
      </c>
      <c r="H454" s="28"/>
      <c r="I454" s="28">
        <v>33</v>
      </c>
      <c r="J454" s="29">
        <v>9</v>
      </c>
    </row>
    <row r="455" spans="1:10" x14ac:dyDescent="0.35">
      <c r="A455" s="26">
        <v>346274</v>
      </c>
      <c r="B455" s="22">
        <v>0</v>
      </c>
      <c r="C455" s="31" t="s">
        <v>742</v>
      </c>
      <c r="D455" s="28">
        <v>4</v>
      </c>
      <c r="E455" s="28" t="s">
        <v>298</v>
      </c>
      <c r="F455" s="28" t="s">
        <v>1</v>
      </c>
      <c r="G455" s="28">
        <v>45.1</v>
      </c>
      <c r="H455" s="28"/>
      <c r="I455" s="28">
        <v>32.4</v>
      </c>
      <c r="J455" s="29">
        <v>34.6</v>
      </c>
    </row>
    <row r="456" spans="1:10" x14ac:dyDescent="0.35">
      <c r="A456" s="26">
        <v>346917</v>
      </c>
      <c r="B456" s="22">
        <v>0</v>
      </c>
      <c r="C456" s="27" t="s">
        <v>743</v>
      </c>
      <c r="D456" s="28">
        <v>4</v>
      </c>
      <c r="E456" s="28" t="s">
        <v>429</v>
      </c>
      <c r="F456" s="28" t="s">
        <v>440</v>
      </c>
      <c r="G456" s="28">
        <v>5.6499999999999995</v>
      </c>
      <c r="H456" s="28"/>
      <c r="I456" s="28">
        <v>4.7</v>
      </c>
      <c r="J456" s="29">
        <v>16.2</v>
      </c>
    </row>
    <row r="457" spans="1:10" x14ac:dyDescent="0.35">
      <c r="A457" s="26">
        <v>347401</v>
      </c>
      <c r="B457" s="22">
        <v>0</v>
      </c>
      <c r="C457" s="27" t="s">
        <v>744</v>
      </c>
      <c r="D457" s="28">
        <v>4</v>
      </c>
      <c r="E457" s="28" t="s">
        <v>298</v>
      </c>
      <c r="F457" s="28" t="s">
        <v>1</v>
      </c>
      <c r="G457" s="28">
        <v>54.1</v>
      </c>
      <c r="H457" s="28"/>
      <c r="I457" s="28">
        <v>68</v>
      </c>
      <c r="J457" s="29">
        <v>29</v>
      </c>
    </row>
    <row r="458" spans="1:10" x14ac:dyDescent="0.35">
      <c r="A458" s="26">
        <v>347521</v>
      </c>
      <c r="B458" s="22">
        <v>0</v>
      </c>
      <c r="C458" s="27" t="s">
        <v>745</v>
      </c>
      <c r="D458" s="28">
        <v>4</v>
      </c>
      <c r="E458" s="28" t="s">
        <v>298</v>
      </c>
      <c r="F458" s="28" t="s">
        <v>1</v>
      </c>
      <c r="G458" s="28">
        <v>48.2</v>
      </c>
      <c r="H458" s="28"/>
      <c r="I458" s="28">
        <v>48.2</v>
      </c>
      <c r="J458" s="29">
        <v>29</v>
      </c>
    </row>
    <row r="459" spans="1:10" x14ac:dyDescent="0.35">
      <c r="A459" s="26">
        <v>347542</v>
      </c>
      <c r="B459" s="22">
        <v>0</v>
      </c>
      <c r="C459" s="27" t="s">
        <v>746</v>
      </c>
      <c r="D459" s="28">
        <v>4</v>
      </c>
      <c r="E459" s="28" t="s">
        <v>298</v>
      </c>
      <c r="F459" s="28" t="s">
        <v>1</v>
      </c>
      <c r="G459" s="28">
        <v>49.2</v>
      </c>
      <c r="H459" s="28"/>
      <c r="I459" s="28">
        <v>49.2</v>
      </c>
      <c r="J459" s="29">
        <v>31.68</v>
      </c>
    </row>
    <row r="460" spans="1:10" x14ac:dyDescent="0.35">
      <c r="A460" s="26">
        <v>347623</v>
      </c>
      <c r="B460" s="22">
        <v>0</v>
      </c>
      <c r="C460" s="27" t="s">
        <v>2</v>
      </c>
      <c r="D460" s="28">
        <v>4</v>
      </c>
      <c r="E460" s="28" t="s">
        <v>298</v>
      </c>
      <c r="F460" s="28" t="s">
        <v>1</v>
      </c>
      <c r="G460" s="28">
        <v>35.6</v>
      </c>
      <c r="H460" s="28"/>
      <c r="I460" s="28">
        <v>35.6</v>
      </c>
      <c r="J460" s="29">
        <v>27</v>
      </c>
    </row>
    <row r="461" spans="1:10" x14ac:dyDescent="0.35">
      <c r="A461" s="26">
        <v>354668</v>
      </c>
      <c r="B461" s="22">
        <v>0</v>
      </c>
      <c r="C461" s="27" t="s">
        <v>747</v>
      </c>
      <c r="D461" s="28">
        <v>4</v>
      </c>
      <c r="E461" s="28" t="s">
        <v>298</v>
      </c>
      <c r="F461" s="28" t="s">
        <v>1</v>
      </c>
      <c r="G461" s="28">
        <v>34.5</v>
      </c>
      <c r="H461" s="28"/>
      <c r="I461" s="28">
        <v>33</v>
      </c>
      <c r="J461" s="29">
        <v>22</v>
      </c>
    </row>
    <row r="462" spans="1:10" x14ac:dyDescent="0.35">
      <c r="A462" s="26">
        <v>355327</v>
      </c>
      <c r="B462" s="22">
        <v>0</v>
      </c>
      <c r="C462" s="27" t="s">
        <v>748</v>
      </c>
      <c r="D462" s="28">
        <v>4</v>
      </c>
      <c r="E462" s="28" t="s">
        <v>298</v>
      </c>
      <c r="F462" s="28" t="s">
        <v>1</v>
      </c>
      <c r="G462" s="28">
        <v>29</v>
      </c>
      <c r="H462" s="28"/>
      <c r="I462" s="28">
        <v>29.5</v>
      </c>
      <c r="J462" s="29">
        <v>22.76</v>
      </c>
    </row>
    <row r="463" spans="1:10" x14ac:dyDescent="0.35">
      <c r="A463" s="26">
        <v>355328</v>
      </c>
      <c r="B463" s="22">
        <v>0</v>
      </c>
      <c r="C463" s="27" t="s">
        <v>749</v>
      </c>
      <c r="D463" s="28">
        <v>4</v>
      </c>
      <c r="E463" s="28" t="s">
        <v>298</v>
      </c>
      <c r="F463" s="28" t="s">
        <v>1</v>
      </c>
      <c r="G463" s="28">
        <v>28.7</v>
      </c>
      <c r="H463" s="28"/>
      <c r="I463" s="28">
        <v>28.7</v>
      </c>
      <c r="J463" s="29">
        <v>22</v>
      </c>
    </row>
    <row r="464" spans="1:10" x14ac:dyDescent="0.35">
      <c r="A464" s="26">
        <v>358860</v>
      </c>
      <c r="B464" s="22">
        <v>0</v>
      </c>
      <c r="C464" s="27" t="s">
        <v>750</v>
      </c>
      <c r="D464" s="28">
        <v>4</v>
      </c>
      <c r="E464" s="28" t="s">
        <v>298</v>
      </c>
      <c r="F464" s="28" t="s">
        <v>1</v>
      </c>
      <c r="G464" s="28">
        <v>45.3</v>
      </c>
      <c r="H464" s="28"/>
      <c r="I464" s="28">
        <v>34</v>
      </c>
      <c r="J464" s="29">
        <v>32.68</v>
      </c>
    </row>
    <row r="465" spans="1:10" x14ac:dyDescent="0.35">
      <c r="A465" s="26">
        <v>359741</v>
      </c>
      <c r="B465" s="22">
        <v>0</v>
      </c>
      <c r="C465" s="27" t="s">
        <v>751</v>
      </c>
      <c r="D465" s="28">
        <v>4</v>
      </c>
      <c r="E465" s="28" t="s">
        <v>298</v>
      </c>
      <c r="F465" s="28" t="s">
        <v>1</v>
      </c>
      <c r="G465" s="28">
        <v>44.7</v>
      </c>
      <c r="H465" s="28"/>
      <c r="I465" s="28">
        <v>33.700000000000003</v>
      </c>
      <c r="J465" s="29">
        <v>29.6</v>
      </c>
    </row>
    <row r="466" spans="1:10" x14ac:dyDescent="0.35">
      <c r="A466" s="26">
        <v>359998</v>
      </c>
      <c r="B466" s="22">
        <v>0</v>
      </c>
      <c r="C466" s="27" t="s">
        <v>752</v>
      </c>
      <c r="D466" s="28">
        <v>4</v>
      </c>
      <c r="E466" s="28" t="s">
        <v>429</v>
      </c>
      <c r="F466" s="28" t="s">
        <v>440</v>
      </c>
      <c r="G466" s="28">
        <v>8.3000000000000007</v>
      </c>
      <c r="H466" s="28"/>
      <c r="I466" s="28"/>
      <c r="J466" s="29">
        <v>15.3</v>
      </c>
    </row>
    <row r="467" spans="1:10" x14ac:dyDescent="0.35">
      <c r="A467" s="26">
        <v>359999</v>
      </c>
      <c r="B467" s="22">
        <v>0</v>
      </c>
      <c r="C467" s="27" t="s">
        <v>753</v>
      </c>
      <c r="D467" s="28">
        <v>4</v>
      </c>
      <c r="E467" s="28" t="s">
        <v>298</v>
      </c>
      <c r="F467" s="28" t="s">
        <v>1</v>
      </c>
      <c r="G467" s="28">
        <v>24.3</v>
      </c>
      <c r="H467" s="28"/>
      <c r="I467" s="28">
        <v>24</v>
      </c>
      <c r="J467" s="29">
        <v>22</v>
      </c>
    </row>
    <row r="468" spans="1:10" x14ac:dyDescent="0.35">
      <c r="A468" s="26">
        <v>361239</v>
      </c>
      <c r="B468" s="22">
        <v>0</v>
      </c>
      <c r="C468" s="27" t="s">
        <v>754</v>
      </c>
      <c r="D468" s="28">
        <v>4</v>
      </c>
      <c r="E468" s="28" t="s">
        <v>429</v>
      </c>
      <c r="F468" s="28" t="s">
        <v>440</v>
      </c>
      <c r="G468" s="28">
        <v>7.3000000000000007</v>
      </c>
      <c r="H468" s="28"/>
      <c r="I468" s="28">
        <v>7.3000000000000007</v>
      </c>
      <c r="J468" s="29">
        <v>15.3</v>
      </c>
    </row>
    <row r="469" spans="1:10" x14ac:dyDescent="0.35">
      <c r="A469" s="26">
        <v>361596</v>
      </c>
      <c r="B469" s="22">
        <v>0</v>
      </c>
      <c r="C469" s="27" t="s">
        <v>755</v>
      </c>
      <c r="D469" s="28">
        <v>2</v>
      </c>
      <c r="E469" s="28" t="s">
        <v>298</v>
      </c>
      <c r="F469" s="28" t="s">
        <v>1</v>
      </c>
      <c r="G469" s="28">
        <v>70.7</v>
      </c>
      <c r="H469" s="28"/>
      <c r="I469" s="28">
        <v>69.7</v>
      </c>
      <c r="J469" s="29">
        <v>75.36</v>
      </c>
    </row>
    <row r="470" spans="1:10" x14ac:dyDescent="0.35">
      <c r="A470" s="26">
        <v>361597</v>
      </c>
      <c r="B470" s="22">
        <v>0</v>
      </c>
      <c r="C470" s="27" t="s">
        <v>756</v>
      </c>
      <c r="D470" s="28">
        <v>4</v>
      </c>
      <c r="E470" s="28" t="s">
        <v>298</v>
      </c>
      <c r="F470" s="28" t="s">
        <v>1</v>
      </c>
      <c r="G470" s="28">
        <v>34</v>
      </c>
      <c r="H470" s="28"/>
      <c r="I470" s="28">
        <v>33</v>
      </c>
      <c r="J470" s="29">
        <v>21.68</v>
      </c>
    </row>
    <row r="471" spans="1:10" x14ac:dyDescent="0.35">
      <c r="A471" s="26">
        <v>361751</v>
      </c>
      <c r="B471" s="22">
        <v>0</v>
      </c>
      <c r="C471" s="27" t="s">
        <v>757</v>
      </c>
      <c r="D471" s="28">
        <v>4</v>
      </c>
      <c r="E471" s="28" t="s">
        <v>298</v>
      </c>
      <c r="F471" s="28" t="s">
        <v>1</v>
      </c>
      <c r="G471" s="28">
        <v>68.8</v>
      </c>
      <c r="H471" s="28"/>
      <c r="I471" s="28">
        <v>68</v>
      </c>
      <c r="J471" s="29">
        <v>29</v>
      </c>
    </row>
    <row r="472" spans="1:10" x14ac:dyDescent="0.35">
      <c r="A472" s="26">
        <v>362356</v>
      </c>
      <c r="B472" s="22">
        <v>0</v>
      </c>
      <c r="C472" s="27" t="s">
        <v>758</v>
      </c>
      <c r="D472" s="28">
        <v>4</v>
      </c>
      <c r="E472" s="28" t="s">
        <v>298</v>
      </c>
      <c r="F472" s="28" t="s">
        <v>1</v>
      </c>
      <c r="G472" s="28">
        <v>36</v>
      </c>
      <c r="H472" s="28"/>
      <c r="I472" s="28">
        <v>30</v>
      </c>
      <c r="J472" s="29">
        <v>35</v>
      </c>
    </row>
    <row r="473" spans="1:10" x14ac:dyDescent="0.35">
      <c r="A473" s="26">
        <v>362713</v>
      </c>
      <c r="B473" s="22">
        <v>0</v>
      </c>
      <c r="C473" s="27" t="s">
        <v>759</v>
      </c>
      <c r="D473" s="28">
        <v>4</v>
      </c>
      <c r="E473" s="28" t="s">
        <v>429</v>
      </c>
      <c r="F473" s="28" t="s">
        <v>430</v>
      </c>
      <c r="G473" s="28">
        <v>14.200000000000001</v>
      </c>
      <c r="H473" s="28"/>
      <c r="I473" s="28">
        <v>13.2</v>
      </c>
      <c r="J473" s="29">
        <v>20</v>
      </c>
    </row>
    <row r="474" spans="1:10" x14ac:dyDescent="0.35">
      <c r="A474" s="26">
        <v>362734</v>
      </c>
      <c r="B474" s="22">
        <v>0</v>
      </c>
      <c r="C474" s="27" t="s">
        <v>760</v>
      </c>
      <c r="D474" s="28">
        <v>2</v>
      </c>
      <c r="E474" s="28" t="s">
        <v>298</v>
      </c>
      <c r="F474" s="28" t="s">
        <v>1</v>
      </c>
      <c r="G474" s="28">
        <v>69.900000000000006</v>
      </c>
      <c r="H474" s="28"/>
      <c r="I474" s="28">
        <v>69.900000000000006</v>
      </c>
      <c r="J474" s="29">
        <v>36.46</v>
      </c>
    </row>
    <row r="475" spans="1:10" x14ac:dyDescent="0.35">
      <c r="A475" s="26">
        <v>365091</v>
      </c>
      <c r="B475" s="22">
        <v>0</v>
      </c>
      <c r="C475" s="27" t="s">
        <v>761</v>
      </c>
      <c r="D475" s="28">
        <v>4</v>
      </c>
      <c r="E475" s="28" t="s">
        <v>298</v>
      </c>
      <c r="F475" s="28" t="s">
        <v>1</v>
      </c>
      <c r="G475" s="28">
        <v>44</v>
      </c>
      <c r="H475" s="28"/>
      <c r="I475" s="28">
        <v>44</v>
      </c>
      <c r="J475" s="29">
        <v>27</v>
      </c>
    </row>
    <row r="476" spans="1:10" x14ac:dyDescent="0.35">
      <c r="A476" s="26">
        <v>365134</v>
      </c>
      <c r="B476" s="22">
        <v>0</v>
      </c>
      <c r="C476" s="27" t="s">
        <v>762</v>
      </c>
      <c r="D476" s="28">
        <v>4</v>
      </c>
      <c r="E476" s="28" t="s">
        <v>429</v>
      </c>
      <c r="F476" s="28" t="s">
        <v>430</v>
      </c>
      <c r="G476" s="28">
        <v>14.200000000000001</v>
      </c>
      <c r="H476" s="28"/>
      <c r="I476" s="28">
        <v>13.2</v>
      </c>
      <c r="J476" s="29">
        <v>20</v>
      </c>
    </row>
    <row r="477" spans="1:10" x14ac:dyDescent="0.35">
      <c r="A477" s="26">
        <v>368040</v>
      </c>
      <c r="B477" s="22">
        <v>0</v>
      </c>
      <c r="C477" s="27" t="s">
        <v>763</v>
      </c>
      <c r="D477" s="28">
        <v>4</v>
      </c>
      <c r="E477" s="28" t="s">
        <v>429</v>
      </c>
      <c r="F477" s="28" t="s">
        <v>467</v>
      </c>
      <c r="G477" s="28">
        <v>4.8499999999999996</v>
      </c>
      <c r="H477" s="28"/>
      <c r="I477" s="28">
        <v>4.6500000000000004</v>
      </c>
      <c r="J477" s="29">
        <v>16.2</v>
      </c>
    </row>
    <row r="478" spans="1:10" x14ac:dyDescent="0.35">
      <c r="A478" s="26">
        <v>368717</v>
      </c>
      <c r="B478" s="22">
        <v>0</v>
      </c>
      <c r="C478" s="27" t="s">
        <v>764</v>
      </c>
      <c r="D478" s="28">
        <v>4</v>
      </c>
      <c r="E478" s="28" t="s">
        <v>298</v>
      </c>
      <c r="F478" s="28" t="s">
        <v>1</v>
      </c>
      <c r="G478" s="28">
        <v>31</v>
      </c>
      <c r="H478" s="28"/>
      <c r="I478" s="28">
        <v>29.8</v>
      </c>
      <c r="J478" s="29">
        <v>34.448</v>
      </c>
    </row>
    <row r="479" spans="1:10" x14ac:dyDescent="0.35">
      <c r="A479" s="26">
        <v>369307</v>
      </c>
      <c r="B479" s="22">
        <v>0</v>
      </c>
      <c r="C479" s="27" t="s">
        <v>765</v>
      </c>
      <c r="D479" s="28">
        <v>4</v>
      </c>
      <c r="E479" s="28" t="s">
        <v>298</v>
      </c>
      <c r="F479" s="28" t="s">
        <v>1</v>
      </c>
      <c r="G479" s="28">
        <v>32</v>
      </c>
      <c r="H479" s="28"/>
      <c r="I479" s="28">
        <v>32</v>
      </c>
      <c r="J479" s="29">
        <v>32.4</v>
      </c>
    </row>
    <row r="480" spans="1:10" x14ac:dyDescent="0.35">
      <c r="A480" s="26">
        <v>369308</v>
      </c>
      <c r="B480" s="22">
        <v>0</v>
      </c>
      <c r="C480" s="27" t="s">
        <v>130</v>
      </c>
      <c r="D480" s="28">
        <v>4</v>
      </c>
      <c r="E480" s="28" t="s">
        <v>298</v>
      </c>
      <c r="F480" s="28" t="s">
        <v>1</v>
      </c>
      <c r="G480" s="28">
        <v>31</v>
      </c>
      <c r="H480" s="28"/>
      <c r="I480" s="28">
        <v>31</v>
      </c>
      <c r="J480" s="29">
        <v>28.4</v>
      </c>
    </row>
    <row r="481" spans="1:10" x14ac:dyDescent="0.35">
      <c r="A481" s="26">
        <v>371002</v>
      </c>
      <c r="B481" s="22">
        <v>0</v>
      </c>
      <c r="C481" s="27" t="s">
        <v>766</v>
      </c>
      <c r="D481" s="28">
        <v>4</v>
      </c>
      <c r="E481" s="28" t="s">
        <v>298</v>
      </c>
      <c r="F481" s="28" t="s">
        <v>1</v>
      </c>
      <c r="G481" s="28">
        <v>44.5</v>
      </c>
      <c r="H481" s="28"/>
      <c r="I481" s="28">
        <v>44</v>
      </c>
      <c r="J481" s="29">
        <v>20.8</v>
      </c>
    </row>
    <row r="482" spans="1:10" x14ac:dyDescent="0.35">
      <c r="A482" s="26">
        <v>372120</v>
      </c>
      <c r="B482" s="22">
        <v>0</v>
      </c>
      <c r="C482" s="27" t="s">
        <v>767</v>
      </c>
      <c r="D482" s="28">
        <v>4</v>
      </c>
      <c r="E482" s="28" t="s">
        <v>298</v>
      </c>
      <c r="F482" s="28" t="s">
        <v>1</v>
      </c>
      <c r="G482" s="28">
        <v>29</v>
      </c>
      <c r="H482" s="28"/>
      <c r="I482" s="28">
        <v>29</v>
      </c>
      <c r="J482" s="29">
        <v>23</v>
      </c>
    </row>
    <row r="483" spans="1:10" x14ac:dyDescent="0.35">
      <c r="A483" s="26">
        <v>372951</v>
      </c>
      <c r="B483" s="22">
        <v>0</v>
      </c>
      <c r="C483" s="27" t="s">
        <v>768</v>
      </c>
      <c r="D483" s="28">
        <v>4</v>
      </c>
      <c r="E483" s="28" t="s">
        <v>298</v>
      </c>
      <c r="F483" s="28" t="s">
        <v>1</v>
      </c>
      <c r="G483" s="28">
        <v>33</v>
      </c>
      <c r="H483" s="28"/>
      <c r="I483" s="28">
        <v>45.32</v>
      </c>
      <c r="J483" s="29">
        <v>22</v>
      </c>
    </row>
    <row r="484" spans="1:10" x14ac:dyDescent="0.35">
      <c r="A484" s="26">
        <v>372952</v>
      </c>
      <c r="B484" s="22">
        <v>0</v>
      </c>
      <c r="C484" s="27" t="s">
        <v>769</v>
      </c>
      <c r="D484" s="28">
        <v>4</v>
      </c>
      <c r="E484" s="28" t="s">
        <v>298</v>
      </c>
      <c r="F484" s="28" t="s">
        <v>1</v>
      </c>
      <c r="G484" s="28">
        <v>33</v>
      </c>
      <c r="H484" s="28"/>
      <c r="I484" s="28">
        <v>32.74</v>
      </c>
      <c r="J484" s="29">
        <v>22</v>
      </c>
    </row>
    <row r="485" spans="1:10" x14ac:dyDescent="0.35">
      <c r="A485" s="26">
        <v>373369</v>
      </c>
      <c r="B485" s="22">
        <v>0</v>
      </c>
      <c r="C485" s="27" t="s">
        <v>770</v>
      </c>
      <c r="D485" s="28">
        <v>4</v>
      </c>
      <c r="E485" s="28" t="s">
        <v>429</v>
      </c>
      <c r="F485" s="28" t="s">
        <v>430</v>
      </c>
      <c r="G485" s="28">
        <v>4.5999999999999996</v>
      </c>
      <c r="H485" s="28"/>
      <c r="I485" s="28">
        <v>4.5999999999999996</v>
      </c>
      <c r="J485" s="29">
        <v>17.8</v>
      </c>
    </row>
    <row r="486" spans="1:10" x14ac:dyDescent="0.35">
      <c r="A486" s="26">
        <v>373385</v>
      </c>
      <c r="B486" s="22">
        <v>0</v>
      </c>
      <c r="C486" s="27" t="s">
        <v>771</v>
      </c>
      <c r="D486" s="28">
        <v>4</v>
      </c>
      <c r="E486" s="28" t="s">
        <v>429</v>
      </c>
      <c r="F486" s="28" t="s">
        <v>430</v>
      </c>
      <c r="G486" s="28">
        <v>4.5999999999999996</v>
      </c>
      <c r="H486" s="28"/>
      <c r="I486" s="28">
        <v>4.5999999999999996</v>
      </c>
      <c r="J486" s="29">
        <v>17.8</v>
      </c>
    </row>
    <row r="487" spans="1:10" x14ac:dyDescent="0.35">
      <c r="A487" s="26">
        <v>373387</v>
      </c>
      <c r="B487" s="22">
        <v>0</v>
      </c>
      <c r="C487" s="27" t="s">
        <v>772</v>
      </c>
      <c r="D487" s="28">
        <v>4</v>
      </c>
      <c r="E487" s="28" t="s">
        <v>429</v>
      </c>
      <c r="F487" s="28" t="s">
        <v>430</v>
      </c>
      <c r="G487" s="28">
        <v>4.5999999999999996</v>
      </c>
      <c r="H487" s="28"/>
      <c r="I487" s="28">
        <v>5</v>
      </c>
      <c r="J487" s="29">
        <v>17.8</v>
      </c>
    </row>
    <row r="488" spans="1:10" x14ac:dyDescent="0.35">
      <c r="A488" s="26">
        <v>376698</v>
      </c>
      <c r="B488" s="22">
        <v>0</v>
      </c>
      <c r="C488" s="27" t="s">
        <v>773</v>
      </c>
      <c r="D488" s="28">
        <v>4</v>
      </c>
      <c r="E488" s="28" t="s">
        <v>298</v>
      </c>
      <c r="F488" s="28" t="s">
        <v>1</v>
      </c>
      <c r="G488" s="28">
        <v>44.199999999999996</v>
      </c>
      <c r="H488" s="28"/>
      <c r="I488" s="28">
        <v>44.199999999999996</v>
      </c>
      <c r="J488" s="29">
        <v>30.288</v>
      </c>
    </row>
    <row r="489" spans="1:10" x14ac:dyDescent="0.35">
      <c r="A489" s="26">
        <v>379463</v>
      </c>
      <c r="B489" s="22">
        <v>0</v>
      </c>
      <c r="C489" s="27" t="s">
        <v>774</v>
      </c>
      <c r="D489" s="28">
        <v>2</v>
      </c>
      <c r="E489" s="28" t="s">
        <v>429</v>
      </c>
      <c r="F489" s="28" t="s">
        <v>440</v>
      </c>
      <c r="G489" s="28">
        <v>7.9999999999999991</v>
      </c>
      <c r="H489" s="28"/>
      <c r="I489" s="28">
        <v>6.9</v>
      </c>
      <c r="J489" s="29">
        <v>21</v>
      </c>
    </row>
    <row r="490" spans="1:10" x14ac:dyDescent="0.35">
      <c r="A490" s="26">
        <v>379514</v>
      </c>
      <c r="B490" s="22">
        <v>0</v>
      </c>
      <c r="C490" s="27" t="s">
        <v>775</v>
      </c>
      <c r="D490" s="28">
        <v>4</v>
      </c>
      <c r="E490" s="28" t="s">
        <v>298</v>
      </c>
      <c r="F490" s="28" t="s">
        <v>1</v>
      </c>
      <c r="G490" s="28">
        <v>40</v>
      </c>
      <c r="H490" s="28"/>
      <c r="I490" s="28">
        <v>41.13</v>
      </c>
      <c r="J490" s="29">
        <v>23.2</v>
      </c>
    </row>
    <row r="491" spans="1:10" x14ac:dyDescent="0.35">
      <c r="A491" s="26">
        <v>379517</v>
      </c>
      <c r="B491" s="22">
        <v>0</v>
      </c>
      <c r="C491" s="27" t="s">
        <v>776</v>
      </c>
      <c r="D491" s="28">
        <v>4</v>
      </c>
      <c r="E491" s="28" t="s">
        <v>298</v>
      </c>
      <c r="F491" s="28" t="s">
        <v>1</v>
      </c>
      <c r="G491" s="28">
        <v>44</v>
      </c>
      <c r="H491" s="28"/>
      <c r="I491" s="28">
        <v>44</v>
      </c>
      <c r="J491" s="29">
        <v>29.4</v>
      </c>
    </row>
    <row r="492" spans="1:10" x14ac:dyDescent="0.35">
      <c r="A492" s="26">
        <v>380964</v>
      </c>
      <c r="B492" s="22">
        <v>0</v>
      </c>
      <c r="C492" s="27" t="s">
        <v>777</v>
      </c>
      <c r="D492" s="28">
        <v>4</v>
      </c>
      <c r="E492" s="28" t="s">
        <v>429</v>
      </c>
      <c r="F492" s="28" t="s">
        <v>440</v>
      </c>
      <c r="G492" s="28">
        <v>5.5000000000000009</v>
      </c>
      <c r="H492" s="28"/>
      <c r="I492" s="28">
        <v>5.2</v>
      </c>
      <c r="J492" s="29">
        <v>16.8</v>
      </c>
    </row>
    <row r="493" spans="1:10" x14ac:dyDescent="0.35">
      <c r="A493" s="26">
        <v>384007</v>
      </c>
      <c r="B493" s="22">
        <v>0</v>
      </c>
      <c r="C493" s="27" t="s">
        <v>778</v>
      </c>
      <c r="D493" s="28">
        <v>4</v>
      </c>
      <c r="E493" s="28" t="s">
        <v>429</v>
      </c>
      <c r="F493" s="28" t="s">
        <v>440</v>
      </c>
      <c r="G493" s="28">
        <v>6.4</v>
      </c>
      <c r="H493" s="28"/>
      <c r="I493" s="28">
        <v>6.4</v>
      </c>
      <c r="J493" s="29">
        <v>42</v>
      </c>
    </row>
    <row r="494" spans="1:10" x14ac:dyDescent="0.35">
      <c r="A494" s="26">
        <v>385514</v>
      </c>
      <c r="B494" s="22">
        <v>0</v>
      </c>
      <c r="C494" s="27" t="s">
        <v>779</v>
      </c>
      <c r="D494" s="28">
        <v>4</v>
      </c>
      <c r="E494" s="28" t="s">
        <v>298</v>
      </c>
      <c r="F494" s="28" t="s">
        <v>1</v>
      </c>
      <c r="G494" s="28">
        <v>24</v>
      </c>
      <c r="H494" s="28"/>
      <c r="I494" s="28">
        <v>24</v>
      </c>
      <c r="J494" s="29">
        <v>17</v>
      </c>
    </row>
    <row r="495" spans="1:10" x14ac:dyDescent="0.35">
      <c r="A495" s="26">
        <v>386242</v>
      </c>
      <c r="B495" s="22">
        <v>0</v>
      </c>
      <c r="C495" s="27" t="s">
        <v>780</v>
      </c>
      <c r="D495" s="28">
        <v>2</v>
      </c>
      <c r="E495" s="28" t="s">
        <v>429</v>
      </c>
      <c r="F495" s="28" t="s">
        <v>440</v>
      </c>
      <c r="G495" s="28">
        <v>6.9999999999999991</v>
      </c>
      <c r="H495" s="28"/>
      <c r="I495" s="28">
        <v>6.9</v>
      </c>
      <c r="J495" s="29">
        <v>21</v>
      </c>
    </row>
    <row r="496" spans="1:10" x14ac:dyDescent="0.35">
      <c r="A496" s="26">
        <v>386248</v>
      </c>
      <c r="B496" s="22">
        <v>0</v>
      </c>
      <c r="C496" s="27" t="s">
        <v>781</v>
      </c>
      <c r="D496" s="28">
        <v>2</v>
      </c>
      <c r="E496" s="28" t="s">
        <v>429</v>
      </c>
      <c r="F496" s="28" t="s">
        <v>440</v>
      </c>
      <c r="G496" s="28">
        <v>4.6999999999999993</v>
      </c>
      <c r="H496" s="28"/>
      <c r="I496" s="28">
        <v>4.6999999999999993</v>
      </c>
      <c r="J496" s="29">
        <v>21</v>
      </c>
    </row>
    <row r="497" spans="1:10" x14ac:dyDescent="0.35">
      <c r="A497" s="26">
        <v>386730</v>
      </c>
      <c r="B497" s="22">
        <v>0</v>
      </c>
      <c r="C497" s="27" t="s">
        <v>782</v>
      </c>
      <c r="D497" s="28">
        <v>4</v>
      </c>
      <c r="E497" s="28" t="s">
        <v>429</v>
      </c>
      <c r="F497" s="28" t="s">
        <v>440</v>
      </c>
      <c r="G497" s="28">
        <v>4.3</v>
      </c>
      <c r="H497" s="28"/>
      <c r="I497" s="28">
        <v>4</v>
      </c>
      <c r="J497" s="29">
        <v>10.52</v>
      </c>
    </row>
    <row r="498" spans="1:10" x14ac:dyDescent="0.35">
      <c r="A498" s="26">
        <v>386731</v>
      </c>
      <c r="B498" s="22">
        <v>0</v>
      </c>
      <c r="C498" s="27" t="s">
        <v>783</v>
      </c>
      <c r="D498" s="28">
        <v>4</v>
      </c>
      <c r="E498" s="28" t="s">
        <v>429</v>
      </c>
      <c r="F498" s="28" t="s">
        <v>440</v>
      </c>
      <c r="G498" s="28">
        <v>7.4</v>
      </c>
      <c r="H498" s="28"/>
      <c r="I498" s="28">
        <v>6.4</v>
      </c>
      <c r="J498" s="29">
        <v>10.52</v>
      </c>
    </row>
    <row r="499" spans="1:10" x14ac:dyDescent="0.35">
      <c r="A499" s="26">
        <v>387394</v>
      </c>
      <c r="B499" s="22">
        <v>0</v>
      </c>
      <c r="C499" s="27" t="s">
        <v>784</v>
      </c>
      <c r="D499" s="28">
        <v>4</v>
      </c>
      <c r="E499" s="28" t="s">
        <v>429</v>
      </c>
      <c r="F499" s="28" t="s">
        <v>440</v>
      </c>
      <c r="G499" s="28">
        <v>4.3</v>
      </c>
      <c r="H499" s="28"/>
      <c r="I499" s="28">
        <v>4</v>
      </c>
      <c r="J499" s="29">
        <v>10.52</v>
      </c>
    </row>
    <row r="500" spans="1:10" x14ac:dyDescent="0.35">
      <c r="A500" s="26">
        <v>387396</v>
      </c>
      <c r="B500" s="22">
        <v>0</v>
      </c>
      <c r="C500" s="27" t="s">
        <v>785</v>
      </c>
      <c r="D500" s="28">
        <v>4</v>
      </c>
      <c r="E500" s="28" t="s">
        <v>429</v>
      </c>
      <c r="F500" s="28" t="s">
        <v>440</v>
      </c>
      <c r="G500" s="28">
        <v>6.4</v>
      </c>
      <c r="H500" s="28"/>
      <c r="I500" s="28">
        <v>6.4</v>
      </c>
      <c r="J500" s="29">
        <v>10.52</v>
      </c>
    </row>
    <row r="501" spans="1:10" x14ac:dyDescent="0.35">
      <c r="A501" s="26">
        <v>387397</v>
      </c>
      <c r="B501" s="22">
        <v>0</v>
      </c>
      <c r="C501" s="27" t="s">
        <v>786</v>
      </c>
      <c r="D501" s="28">
        <v>8</v>
      </c>
      <c r="E501" s="28" t="s">
        <v>429</v>
      </c>
      <c r="F501" s="28" t="s">
        <v>440</v>
      </c>
      <c r="G501" s="28">
        <v>0.30000000000000004</v>
      </c>
      <c r="H501" s="28"/>
      <c r="I501" s="28">
        <v>2</v>
      </c>
      <c r="J501" s="29">
        <v>17.600000000000001</v>
      </c>
    </row>
    <row r="502" spans="1:10" x14ac:dyDescent="0.35">
      <c r="A502" s="26">
        <v>387467</v>
      </c>
      <c r="B502" s="22">
        <v>0</v>
      </c>
      <c r="C502" s="27" t="s">
        <v>787</v>
      </c>
      <c r="D502" s="28">
        <v>4</v>
      </c>
      <c r="E502" s="28" t="s">
        <v>429</v>
      </c>
      <c r="F502" s="28" t="s">
        <v>430</v>
      </c>
      <c r="G502" s="28">
        <v>12.84</v>
      </c>
      <c r="H502" s="28"/>
      <c r="I502" s="28">
        <v>12.6</v>
      </c>
      <c r="J502" s="29">
        <v>20</v>
      </c>
    </row>
    <row r="503" spans="1:10" x14ac:dyDescent="0.35">
      <c r="A503" s="26">
        <v>387468</v>
      </c>
      <c r="B503" s="22">
        <v>0</v>
      </c>
      <c r="C503" s="27" t="s">
        <v>788</v>
      </c>
      <c r="D503" s="28">
        <v>4</v>
      </c>
      <c r="E503" s="28" t="s">
        <v>429</v>
      </c>
      <c r="F503" s="28" t="s">
        <v>430</v>
      </c>
      <c r="G503" s="28">
        <v>8.1999999999999993</v>
      </c>
      <c r="H503" s="28"/>
      <c r="I503" s="28">
        <v>8.1999999999999993</v>
      </c>
      <c r="J503" s="29">
        <v>16.88</v>
      </c>
    </row>
    <row r="504" spans="1:10" x14ac:dyDescent="0.35">
      <c r="A504" s="26">
        <v>387469</v>
      </c>
      <c r="B504" s="22">
        <v>0</v>
      </c>
      <c r="C504" s="27" t="s">
        <v>789</v>
      </c>
      <c r="D504" s="28">
        <v>4</v>
      </c>
      <c r="E504" s="28" t="s">
        <v>429</v>
      </c>
      <c r="F504" s="28" t="s">
        <v>430</v>
      </c>
      <c r="G504" s="28">
        <v>4.5999999999999996</v>
      </c>
      <c r="H504" s="28"/>
      <c r="I504" s="28">
        <v>4.5999999999999996</v>
      </c>
      <c r="J504" s="29">
        <v>17.8</v>
      </c>
    </row>
    <row r="505" spans="1:10" x14ac:dyDescent="0.35">
      <c r="A505" s="26">
        <v>388221</v>
      </c>
      <c r="B505" s="22">
        <v>0</v>
      </c>
      <c r="C505" s="27" t="s">
        <v>790</v>
      </c>
      <c r="D505" s="28">
        <v>2</v>
      </c>
      <c r="E505" s="28" t="s">
        <v>429</v>
      </c>
      <c r="F505" s="28" t="s">
        <v>440</v>
      </c>
      <c r="G505" s="28">
        <v>7.94</v>
      </c>
      <c r="H505" s="28"/>
      <c r="I505" s="28">
        <v>6.9</v>
      </c>
      <c r="J505" s="29">
        <v>21</v>
      </c>
    </row>
    <row r="506" spans="1:10" x14ac:dyDescent="0.35">
      <c r="A506" s="26">
        <v>388549</v>
      </c>
      <c r="B506" s="22">
        <v>0</v>
      </c>
      <c r="C506" s="27" t="s">
        <v>791</v>
      </c>
      <c r="D506" s="28">
        <v>4</v>
      </c>
      <c r="E506" s="28" t="s">
        <v>298</v>
      </c>
      <c r="F506" s="28" t="s">
        <v>1</v>
      </c>
      <c r="G506" s="28">
        <v>19</v>
      </c>
      <c r="H506" s="28"/>
      <c r="I506" s="28">
        <v>19</v>
      </c>
      <c r="J506" s="29">
        <v>16.128</v>
      </c>
    </row>
    <row r="507" spans="1:10" x14ac:dyDescent="0.35">
      <c r="A507" s="26">
        <v>389517</v>
      </c>
      <c r="B507" s="22">
        <v>0</v>
      </c>
      <c r="C507" s="27" t="s">
        <v>792</v>
      </c>
      <c r="D507" s="28">
        <v>4</v>
      </c>
      <c r="E507" s="28" t="s">
        <v>429</v>
      </c>
      <c r="F507" s="28" t="s">
        <v>430</v>
      </c>
      <c r="G507" s="28">
        <v>13.200000000000001</v>
      </c>
      <c r="H507" s="28"/>
      <c r="I507" s="28">
        <v>13.2</v>
      </c>
      <c r="J507" s="29">
        <v>20</v>
      </c>
    </row>
    <row r="508" spans="1:10" x14ac:dyDescent="0.35">
      <c r="A508" s="26">
        <v>393808</v>
      </c>
      <c r="B508" s="22">
        <v>0</v>
      </c>
      <c r="C508" s="27" t="s">
        <v>793</v>
      </c>
      <c r="D508" s="28">
        <v>4</v>
      </c>
      <c r="E508" s="28" t="s">
        <v>298</v>
      </c>
      <c r="F508" s="28" t="s">
        <v>1</v>
      </c>
      <c r="G508" s="28">
        <v>45.6</v>
      </c>
      <c r="H508" s="28"/>
      <c r="I508" s="28">
        <v>45.6</v>
      </c>
      <c r="J508" s="29">
        <v>29.6</v>
      </c>
    </row>
    <row r="509" spans="1:10" x14ac:dyDescent="0.35">
      <c r="A509" s="26">
        <v>393922</v>
      </c>
      <c r="B509" s="22">
        <v>0</v>
      </c>
      <c r="C509" s="27" t="s">
        <v>794</v>
      </c>
      <c r="D509" s="28">
        <v>4</v>
      </c>
      <c r="E509" s="28" t="s">
        <v>298</v>
      </c>
      <c r="F509" s="28" t="s">
        <v>1</v>
      </c>
      <c r="G509" s="28">
        <v>55</v>
      </c>
      <c r="H509" s="28"/>
      <c r="I509" s="28">
        <v>55</v>
      </c>
      <c r="J509" s="29">
        <v>33.200000000000003</v>
      </c>
    </row>
    <row r="510" spans="1:10" x14ac:dyDescent="0.35">
      <c r="A510" s="26">
        <v>397405</v>
      </c>
      <c r="B510" s="22">
        <v>0</v>
      </c>
      <c r="C510" s="27" t="s">
        <v>795</v>
      </c>
      <c r="D510" s="28">
        <v>4</v>
      </c>
      <c r="E510" s="28" t="s">
        <v>298</v>
      </c>
      <c r="F510" s="28" t="s">
        <v>1</v>
      </c>
      <c r="G510" s="28">
        <v>29</v>
      </c>
      <c r="H510" s="28"/>
      <c r="I510" s="28">
        <v>29</v>
      </c>
      <c r="J510" s="29">
        <v>24.4</v>
      </c>
    </row>
    <row r="511" spans="1:10" x14ac:dyDescent="0.35">
      <c r="A511" s="26">
        <v>398922</v>
      </c>
      <c r="B511" s="22">
        <v>0</v>
      </c>
      <c r="C511" s="27" t="s">
        <v>796</v>
      </c>
      <c r="D511" s="28">
        <v>4</v>
      </c>
      <c r="E511" s="28" t="s">
        <v>298</v>
      </c>
      <c r="F511" s="28" t="s">
        <v>1</v>
      </c>
      <c r="G511" s="28">
        <v>46</v>
      </c>
      <c r="H511" s="28"/>
      <c r="I511" s="28">
        <v>48.71</v>
      </c>
      <c r="J511" s="29">
        <v>26.4</v>
      </c>
    </row>
    <row r="512" spans="1:10" x14ac:dyDescent="0.35">
      <c r="A512" s="26">
        <v>399476</v>
      </c>
      <c r="B512" s="22">
        <v>0</v>
      </c>
      <c r="C512" s="27" t="s">
        <v>797</v>
      </c>
      <c r="D512" s="28">
        <v>4</v>
      </c>
      <c r="E512" s="28" t="s">
        <v>298</v>
      </c>
      <c r="F512" s="28" t="s">
        <v>1</v>
      </c>
      <c r="G512" s="28">
        <v>36.729999999999997</v>
      </c>
      <c r="H512" s="28"/>
      <c r="I512" s="28">
        <v>36.729999999999997</v>
      </c>
      <c r="J512" s="29">
        <v>36</v>
      </c>
    </row>
    <row r="513" spans="1:10" x14ac:dyDescent="0.35">
      <c r="A513" s="26">
        <v>400860</v>
      </c>
      <c r="B513" s="22">
        <v>0</v>
      </c>
      <c r="C513" s="27" t="s">
        <v>798</v>
      </c>
      <c r="D513" s="28">
        <v>4</v>
      </c>
      <c r="E513" s="28" t="s">
        <v>298</v>
      </c>
      <c r="F513" s="28" t="s">
        <v>1</v>
      </c>
      <c r="G513" s="28">
        <v>29</v>
      </c>
      <c r="H513" s="28"/>
      <c r="I513" s="28">
        <v>29.27</v>
      </c>
      <c r="J513" s="29">
        <v>22</v>
      </c>
    </row>
    <row r="514" spans="1:10" x14ac:dyDescent="0.35">
      <c r="A514" s="26">
        <v>401602</v>
      </c>
      <c r="B514" s="22">
        <v>0</v>
      </c>
      <c r="C514" s="27" t="s">
        <v>799</v>
      </c>
      <c r="D514" s="28">
        <v>4</v>
      </c>
      <c r="E514" s="28" t="s">
        <v>298</v>
      </c>
      <c r="F514" s="28" t="s">
        <v>1</v>
      </c>
      <c r="G514" s="28">
        <v>30</v>
      </c>
      <c r="H514" s="28"/>
      <c r="I514" s="28">
        <v>30</v>
      </c>
      <c r="J514" s="29">
        <v>34</v>
      </c>
    </row>
    <row r="515" spans="1:10" x14ac:dyDescent="0.35">
      <c r="A515" s="26">
        <v>401633</v>
      </c>
      <c r="B515" s="22">
        <v>0</v>
      </c>
      <c r="C515" s="27" t="s">
        <v>800</v>
      </c>
      <c r="D515" s="28">
        <v>8</v>
      </c>
      <c r="E515" s="28" t="s">
        <v>429</v>
      </c>
      <c r="F515" s="28" t="s">
        <v>440</v>
      </c>
      <c r="G515" s="28">
        <v>0.30000000000000004</v>
      </c>
      <c r="H515" s="28"/>
      <c r="I515" s="28">
        <v>2</v>
      </c>
      <c r="J515" s="29">
        <v>17.600000000000001</v>
      </c>
    </row>
    <row r="516" spans="1:10" x14ac:dyDescent="0.35">
      <c r="A516" s="26">
        <v>401635</v>
      </c>
      <c r="B516" s="22">
        <v>0</v>
      </c>
      <c r="C516" s="27" t="s">
        <v>801</v>
      </c>
      <c r="D516" s="28">
        <v>4</v>
      </c>
      <c r="E516" s="28" t="s">
        <v>429</v>
      </c>
      <c r="F516" s="28" t="s">
        <v>440</v>
      </c>
      <c r="G516" s="28">
        <v>4.3</v>
      </c>
      <c r="H516" s="28"/>
      <c r="I516" s="28">
        <v>4</v>
      </c>
      <c r="J516" s="29">
        <v>20</v>
      </c>
    </row>
    <row r="517" spans="1:10" x14ac:dyDescent="0.35">
      <c r="A517" s="26">
        <v>401636</v>
      </c>
      <c r="B517" s="22">
        <v>0</v>
      </c>
      <c r="C517" s="27" t="s">
        <v>802</v>
      </c>
      <c r="D517" s="28">
        <v>4</v>
      </c>
      <c r="E517" s="28" t="s">
        <v>429</v>
      </c>
      <c r="F517" s="28" t="s">
        <v>440</v>
      </c>
      <c r="G517" s="28">
        <v>6.4</v>
      </c>
      <c r="H517" s="28"/>
      <c r="I517" s="28">
        <v>6.4</v>
      </c>
      <c r="J517" s="29">
        <v>10.52</v>
      </c>
    </row>
    <row r="518" spans="1:10" x14ac:dyDescent="0.35">
      <c r="A518" s="26">
        <v>402078</v>
      </c>
      <c r="B518" s="22">
        <v>0</v>
      </c>
      <c r="C518" s="27" t="s">
        <v>803</v>
      </c>
      <c r="D518" s="28">
        <v>4</v>
      </c>
      <c r="E518" s="28" t="s">
        <v>429</v>
      </c>
      <c r="F518" s="28" t="s">
        <v>467</v>
      </c>
      <c r="G518" s="28">
        <v>4.6500000000000004</v>
      </c>
      <c r="H518" s="28"/>
      <c r="I518" s="28">
        <v>5</v>
      </c>
      <c r="J518" s="29">
        <v>16.2</v>
      </c>
    </row>
    <row r="519" spans="1:10" x14ac:dyDescent="0.35">
      <c r="A519" s="26">
        <v>402305</v>
      </c>
      <c r="B519" s="22">
        <v>0</v>
      </c>
      <c r="C519" s="27" t="s">
        <v>804</v>
      </c>
      <c r="D519" s="28">
        <v>4</v>
      </c>
      <c r="E519" s="28" t="s">
        <v>298</v>
      </c>
      <c r="F519" s="28" t="s">
        <v>1</v>
      </c>
      <c r="G519" s="28">
        <v>29</v>
      </c>
      <c r="H519" s="28"/>
      <c r="I519" s="28">
        <v>29</v>
      </c>
      <c r="J519" s="29">
        <v>22</v>
      </c>
    </row>
    <row r="520" spans="1:10" x14ac:dyDescent="0.35">
      <c r="A520" s="26">
        <v>404639</v>
      </c>
      <c r="B520" s="22">
        <v>0</v>
      </c>
      <c r="C520" s="27" t="s">
        <v>805</v>
      </c>
      <c r="D520" s="28">
        <v>4</v>
      </c>
      <c r="E520" s="28" t="s">
        <v>298</v>
      </c>
      <c r="F520" s="28" t="s">
        <v>1</v>
      </c>
      <c r="G520" s="28">
        <v>49</v>
      </c>
      <c r="H520" s="28"/>
      <c r="I520" s="28">
        <v>49</v>
      </c>
      <c r="J520" s="29">
        <v>27.2</v>
      </c>
    </row>
    <row r="521" spans="1:10" x14ac:dyDescent="0.35">
      <c r="A521" s="26">
        <v>407207</v>
      </c>
      <c r="B521" s="22">
        <v>0</v>
      </c>
      <c r="C521" s="27" t="s">
        <v>806</v>
      </c>
      <c r="D521" s="28">
        <v>4</v>
      </c>
      <c r="E521" s="28" t="s">
        <v>298</v>
      </c>
      <c r="F521" s="28" t="s">
        <v>1</v>
      </c>
      <c r="G521" s="28">
        <v>23</v>
      </c>
      <c r="H521" s="28"/>
      <c r="I521" s="28">
        <v>23</v>
      </c>
      <c r="J521" s="29">
        <v>24</v>
      </c>
    </row>
    <row r="522" spans="1:10" x14ac:dyDescent="0.35">
      <c r="A522" s="26">
        <v>408094</v>
      </c>
      <c r="B522" s="22">
        <v>0</v>
      </c>
      <c r="C522" s="27" t="s">
        <v>807</v>
      </c>
      <c r="D522" s="28">
        <v>4</v>
      </c>
      <c r="E522" s="28" t="s">
        <v>298</v>
      </c>
      <c r="F522" s="28" t="s">
        <v>1</v>
      </c>
      <c r="G522" s="28">
        <v>23</v>
      </c>
      <c r="H522" s="28"/>
      <c r="I522" s="28">
        <v>30</v>
      </c>
      <c r="J522" s="29">
        <v>26</v>
      </c>
    </row>
    <row r="523" spans="1:10" x14ac:dyDescent="0.35">
      <c r="A523" s="26">
        <v>408095</v>
      </c>
      <c r="B523" s="22">
        <v>0</v>
      </c>
      <c r="C523" s="27" t="s">
        <v>808</v>
      </c>
      <c r="D523" s="28">
        <v>4</v>
      </c>
      <c r="E523" s="28" t="s">
        <v>298</v>
      </c>
      <c r="F523" s="28" t="s">
        <v>1</v>
      </c>
      <c r="G523" s="28">
        <v>23</v>
      </c>
      <c r="H523" s="28"/>
      <c r="I523" s="28">
        <v>35.6</v>
      </c>
      <c r="J523" s="29">
        <v>26</v>
      </c>
    </row>
    <row r="524" spans="1:10" x14ac:dyDescent="0.35">
      <c r="A524" s="26">
        <v>409008</v>
      </c>
      <c r="B524" s="22">
        <v>0</v>
      </c>
      <c r="C524" s="27" t="s">
        <v>809</v>
      </c>
      <c r="D524" s="28">
        <v>4</v>
      </c>
      <c r="E524" s="28" t="s">
        <v>298</v>
      </c>
      <c r="F524" s="28" t="s">
        <v>1</v>
      </c>
      <c r="G524" s="28">
        <v>23</v>
      </c>
      <c r="H524" s="28"/>
      <c r="I524" s="28">
        <v>24.3</v>
      </c>
      <c r="J524" s="29">
        <v>23</v>
      </c>
    </row>
    <row r="525" spans="1:10" x14ac:dyDescent="0.35">
      <c r="A525" s="26">
        <v>409578</v>
      </c>
      <c r="B525" s="22">
        <v>0</v>
      </c>
      <c r="C525" s="27" t="s">
        <v>810</v>
      </c>
      <c r="D525" s="28">
        <v>4</v>
      </c>
      <c r="E525" s="28" t="s">
        <v>298</v>
      </c>
      <c r="F525" s="28" t="s">
        <v>1</v>
      </c>
      <c r="G525" s="28">
        <v>45</v>
      </c>
      <c r="H525" s="28"/>
      <c r="I525" s="28">
        <v>23</v>
      </c>
      <c r="J525" s="29">
        <v>34</v>
      </c>
    </row>
    <row r="526" spans="1:10" x14ac:dyDescent="0.35">
      <c r="A526" s="26">
        <v>409579</v>
      </c>
      <c r="B526" s="22">
        <v>0</v>
      </c>
      <c r="C526" s="27" t="s">
        <v>811</v>
      </c>
      <c r="D526" s="28">
        <v>4</v>
      </c>
      <c r="E526" s="28" t="s">
        <v>298</v>
      </c>
      <c r="F526" s="28" t="s">
        <v>1</v>
      </c>
      <c r="G526" s="28">
        <v>60</v>
      </c>
      <c r="H526" s="28"/>
      <c r="I526" s="28">
        <v>60</v>
      </c>
      <c r="J526" s="29">
        <v>17</v>
      </c>
    </row>
    <row r="527" spans="1:10" x14ac:dyDescent="0.35">
      <c r="A527" s="26">
        <v>409780</v>
      </c>
      <c r="B527" s="22">
        <v>0</v>
      </c>
      <c r="C527" s="27" t="s">
        <v>812</v>
      </c>
      <c r="D527" s="28">
        <v>4</v>
      </c>
      <c r="E527" s="28" t="s">
        <v>298</v>
      </c>
      <c r="F527" s="28" t="s">
        <v>1</v>
      </c>
      <c r="G527" s="28">
        <v>29</v>
      </c>
      <c r="H527" s="28"/>
      <c r="I527" s="28">
        <v>29</v>
      </c>
      <c r="J527" s="29">
        <v>24</v>
      </c>
    </row>
    <row r="528" spans="1:10" x14ac:dyDescent="0.35">
      <c r="A528" s="26">
        <v>410102</v>
      </c>
      <c r="B528" s="22">
        <v>0</v>
      </c>
      <c r="C528" s="27" t="s">
        <v>813</v>
      </c>
      <c r="D528" s="28">
        <v>4</v>
      </c>
      <c r="E528" s="28" t="s">
        <v>298</v>
      </c>
      <c r="F528" s="28" t="s">
        <v>1</v>
      </c>
      <c r="G528" s="28">
        <v>34.5</v>
      </c>
      <c r="H528" s="28"/>
      <c r="I528" s="28">
        <v>33</v>
      </c>
      <c r="J528" s="29">
        <v>22</v>
      </c>
    </row>
    <row r="529" spans="1:10" x14ac:dyDescent="0.35">
      <c r="A529" s="26">
        <v>410269</v>
      </c>
      <c r="B529" s="22">
        <v>0</v>
      </c>
      <c r="C529" s="27" t="s">
        <v>814</v>
      </c>
      <c r="D529" s="28">
        <v>4</v>
      </c>
      <c r="E529" s="28" t="s">
        <v>298</v>
      </c>
      <c r="F529" s="28" t="s">
        <v>1</v>
      </c>
      <c r="G529" s="28">
        <v>48.5</v>
      </c>
      <c r="H529" s="28"/>
      <c r="I529" s="28">
        <v>49</v>
      </c>
      <c r="J529" s="29">
        <v>26.4</v>
      </c>
    </row>
    <row r="530" spans="1:10" x14ac:dyDescent="0.35">
      <c r="A530" s="26">
        <v>410764</v>
      </c>
      <c r="B530" s="22">
        <v>0</v>
      </c>
      <c r="C530" s="27" t="s">
        <v>815</v>
      </c>
      <c r="D530" s="28">
        <v>4</v>
      </c>
      <c r="E530" s="28" t="s">
        <v>298</v>
      </c>
      <c r="F530" s="28" t="s">
        <v>1</v>
      </c>
      <c r="G530" s="28">
        <v>29</v>
      </c>
      <c r="H530" s="28"/>
      <c r="I530" s="28">
        <v>48</v>
      </c>
      <c r="J530" s="29">
        <v>22.4</v>
      </c>
    </row>
    <row r="531" spans="1:10" x14ac:dyDescent="0.35">
      <c r="A531" s="26">
        <v>411344</v>
      </c>
      <c r="B531" s="22">
        <v>0</v>
      </c>
      <c r="C531" s="27" t="s">
        <v>816</v>
      </c>
      <c r="D531" s="28">
        <v>4</v>
      </c>
      <c r="E531" s="28" t="s">
        <v>298</v>
      </c>
      <c r="F531" s="28" t="s">
        <v>1</v>
      </c>
      <c r="G531" s="28">
        <v>29.1</v>
      </c>
      <c r="H531" s="28"/>
      <c r="I531" s="28">
        <v>30</v>
      </c>
      <c r="J531" s="29">
        <v>34</v>
      </c>
    </row>
    <row r="532" spans="1:10" x14ac:dyDescent="0.35">
      <c r="A532" s="26">
        <v>411346</v>
      </c>
      <c r="B532" s="22">
        <v>0</v>
      </c>
      <c r="C532" s="27" t="s">
        <v>817</v>
      </c>
      <c r="D532" s="28">
        <v>2</v>
      </c>
      <c r="E532" s="28" t="s">
        <v>429</v>
      </c>
      <c r="F532" s="28" t="s">
        <v>430</v>
      </c>
      <c r="G532" s="28">
        <v>16.100000000000001</v>
      </c>
      <c r="H532" s="28"/>
      <c r="I532" s="28">
        <v>16.100000000000001</v>
      </c>
      <c r="J532" s="29">
        <v>11</v>
      </c>
    </row>
    <row r="533" spans="1:10" x14ac:dyDescent="0.35">
      <c r="A533" s="26">
        <v>411716</v>
      </c>
      <c r="B533" s="22">
        <v>0</v>
      </c>
      <c r="C533" s="27" t="s">
        <v>818</v>
      </c>
      <c r="D533" s="28">
        <v>8</v>
      </c>
      <c r="E533" s="28" t="s">
        <v>429</v>
      </c>
      <c r="F533" s="28" t="s">
        <v>440</v>
      </c>
      <c r="G533" s="28">
        <v>3.75</v>
      </c>
      <c r="H533" s="28"/>
      <c r="I533" s="28"/>
      <c r="J533" s="29">
        <v>17.600000000000001</v>
      </c>
    </row>
    <row r="534" spans="1:10" x14ac:dyDescent="0.35">
      <c r="A534" s="26">
        <v>411761</v>
      </c>
      <c r="B534" s="22">
        <v>0</v>
      </c>
      <c r="C534" s="27" t="s">
        <v>819</v>
      </c>
      <c r="D534" s="28">
        <v>4</v>
      </c>
      <c r="E534" s="28" t="s">
        <v>298</v>
      </c>
      <c r="F534" s="28" t="s">
        <v>12</v>
      </c>
      <c r="G534" s="28">
        <v>56.9</v>
      </c>
      <c r="H534" s="28"/>
      <c r="I534" s="28">
        <v>55.9</v>
      </c>
      <c r="J534" s="29">
        <v>26</v>
      </c>
    </row>
    <row r="535" spans="1:10" x14ac:dyDescent="0.35">
      <c r="A535" s="26">
        <v>411790</v>
      </c>
      <c r="B535" s="22">
        <v>0</v>
      </c>
      <c r="C535" s="27" t="s">
        <v>820</v>
      </c>
      <c r="D535" s="28">
        <v>8</v>
      </c>
      <c r="E535" s="28" t="s">
        <v>429</v>
      </c>
      <c r="F535" s="28" t="s">
        <v>430</v>
      </c>
      <c r="G535" s="28">
        <v>11.4</v>
      </c>
      <c r="H535" s="28"/>
      <c r="I535" s="28">
        <v>11</v>
      </c>
      <c r="J535" s="29">
        <v>28</v>
      </c>
    </row>
    <row r="536" spans="1:10" x14ac:dyDescent="0.35">
      <c r="A536" s="26">
        <v>412041</v>
      </c>
      <c r="B536" s="22">
        <v>0</v>
      </c>
      <c r="C536" s="27" t="s">
        <v>821</v>
      </c>
      <c r="D536" s="28">
        <v>2</v>
      </c>
      <c r="E536" s="28" t="s">
        <v>429</v>
      </c>
      <c r="F536" s="28" t="s">
        <v>430</v>
      </c>
      <c r="G536" s="28">
        <v>15.1</v>
      </c>
      <c r="H536" s="28"/>
      <c r="I536" s="28">
        <v>15.1</v>
      </c>
      <c r="J536" s="29">
        <v>23.4</v>
      </c>
    </row>
    <row r="537" spans="1:10" x14ac:dyDescent="0.35">
      <c r="A537" s="26">
        <v>412218</v>
      </c>
      <c r="B537" s="22">
        <v>0</v>
      </c>
      <c r="C537" s="27" t="s">
        <v>822</v>
      </c>
      <c r="D537" s="28">
        <v>8</v>
      </c>
      <c r="E537" s="28" t="s">
        <v>429</v>
      </c>
      <c r="F537" s="28" t="s">
        <v>440</v>
      </c>
      <c r="G537" s="28">
        <v>3.75</v>
      </c>
      <c r="H537" s="28"/>
      <c r="I537" s="28">
        <v>4</v>
      </c>
      <c r="J537" s="29">
        <v>17.600000000000001</v>
      </c>
    </row>
    <row r="538" spans="1:10" x14ac:dyDescent="0.35">
      <c r="A538" s="26">
        <v>414241</v>
      </c>
      <c r="B538" s="22">
        <v>0</v>
      </c>
      <c r="C538" s="27" t="s">
        <v>823</v>
      </c>
      <c r="D538" s="28">
        <v>4</v>
      </c>
      <c r="E538" s="28" t="s">
        <v>298</v>
      </c>
      <c r="F538" s="28" t="s">
        <v>1</v>
      </c>
      <c r="G538" s="28">
        <v>34.5</v>
      </c>
      <c r="H538" s="28"/>
      <c r="I538" s="28">
        <v>34</v>
      </c>
      <c r="J538" s="29">
        <v>22</v>
      </c>
    </row>
    <row r="539" spans="1:10" x14ac:dyDescent="0.35">
      <c r="A539" s="26">
        <v>414321</v>
      </c>
      <c r="B539" s="22">
        <v>0</v>
      </c>
      <c r="C539" s="32" t="s">
        <v>824</v>
      </c>
      <c r="D539" s="28">
        <v>8</v>
      </c>
      <c r="E539" s="28" t="s">
        <v>429</v>
      </c>
      <c r="F539" s="28" t="s">
        <v>430</v>
      </c>
      <c r="G539" s="28">
        <v>11.39</v>
      </c>
      <c r="H539" s="28"/>
      <c r="I539" s="28">
        <v>11.39</v>
      </c>
      <c r="J539" s="29">
        <v>28.72</v>
      </c>
    </row>
    <row r="540" spans="1:10" x14ac:dyDescent="0.35">
      <c r="A540" s="26">
        <v>414333</v>
      </c>
      <c r="B540" s="22">
        <v>0</v>
      </c>
      <c r="C540" s="27" t="s">
        <v>825</v>
      </c>
      <c r="D540" s="28">
        <v>4</v>
      </c>
      <c r="E540" s="28" t="s">
        <v>298</v>
      </c>
      <c r="F540" s="28" t="s">
        <v>1</v>
      </c>
      <c r="G540" s="28">
        <v>77</v>
      </c>
      <c r="H540" s="28"/>
      <c r="I540" s="28">
        <v>76</v>
      </c>
      <c r="J540" s="29">
        <v>35</v>
      </c>
    </row>
    <row r="541" spans="1:10" x14ac:dyDescent="0.35">
      <c r="A541" s="26">
        <v>414439</v>
      </c>
      <c r="B541" s="22">
        <v>0</v>
      </c>
      <c r="C541" s="27" t="s">
        <v>826</v>
      </c>
      <c r="D541" s="28">
        <v>6</v>
      </c>
      <c r="E541" s="28" t="s">
        <v>298</v>
      </c>
      <c r="F541" s="28" t="s">
        <v>1</v>
      </c>
      <c r="G541" s="28">
        <v>15</v>
      </c>
      <c r="H541" s="28"/>
      <c r="I541" s="28">
        <v>23</v>
      </c>
      <c r="J541" s="29">
        <v>15</v>
      </c>
    </row>
    <row r="542" spans="1:10" x14ac:dyDescent="0.35">
      <c r="A542" s="26">
        <v>414818</v>
      </c>
      <c r="B542" s="22">
        <v>0</v>
      </c>
      <c r="C542" s="32" t="s">
        <v>827</v>
      </c>
      <c r="D542" s="28">
        <v>8</v>
      </c>
      <c r="E542" s="28" t="s">
        <v>429</v>
      </c>
      <c r="F542" s="28" t="s">
        <v>430</v>
      </c>
      <c r="G542" s="28">
        <v>11.39</v>
      </c>
      <c r="H542" s="28"/>
      <c r="I542" s="28">
        <v>11</v>
      </c>
      <c r="J542" s="29">
        <v>28.8</v>
      </c>
    </row>
    <row r="543" spans="1:10" x14ac:dyDescent="0.35">
      <c r="A543" s="26">
        <v>414983</v>
      </c>
      <c r="B543" s="22">
        <v>0</v>
      </c>
      <c r="C543" s="27" t="s">
        <v>828</v>
      </c>
      <c r="D543" s="28">
        <v>8</v>
      </c>
      <c r="E543" s="28" t="s">
        <v>429</v>
      </c>
      <c r="F543" s="28" t="s">
        <v>440</v>
      </c>
      <c r="G543" s="28">
        <v>3.75</v>
      </c>
      <c r="H543" s="28"/>
      <c r="I543" s="28">
        <v>3.75</v>
      </c>
      <c r="J543" s="29">
        <v>17.600000000000001</v>
      </c>
    </row>
    <row r="544" spans="1:10" x14ac:dyDescent="0.35">
      <c r="A544" s="26">
        <v>415463</v>
      </c>
      <c r="B544" s="22">
        <v>0</v>
      </c>
      <c r="C544" s="27" t="s">
        <v>829</v>
      </c>
      <c r="D544" s="28">
        <v>4</v>
      </c>
      <c r="E544" s="28" t="s">
        <v>429</v>
      </c>
      <c r="F544" s="28" t="s">
        <v>440</v>
      </c>
      <c r="G544" s="28">
        <v>6.5</v>
      </c>
      <c r="H544" s="28"/>
      <c r="I544" s="28">
        <v>6.5</v>
      </c>
      <c r="J544" s="29">
        <v>18</v>
      </c>
    </row>
    <row r="545" spans="1:10" x14ac:dyDescent="0.35">
      <c r="A545" s="26">
        <v>416201</v>
      </c>
      <c r="B545" s="22">
        <v>0</v>
      </c>
      <c r="C545" s="27" t="s">
        <v>830</v>
      </c>
      <c r="D545" s="28">
        <v>4</v>
      </c>
      <c r="E545" s="28" t="s">
        <v>298</v>
      </c>
      <c r="F545" s="28" t="s">
        <v>1</v>
      </c>
      <c r="G545" s="28">
        <v>30</v>
      </c>
      <c r="H545" s="28"/>
      <c r="I545" s="28">
        <v>20</v>
      </c>
      <c r="J545" s="29">
        <v>38.64</v>
      </c>
    </row>
    <row r="546" spans="1:10" x14ac:dyDescent="0.35">
      <c r="A546" s="26">
        <v>416868</v>
      </c>
      <c r="B546" s="22">
        <v>0</v>
      </c>
      <c r="C546" s="27" t="s">
        <v>831</v>
      </c>
      <c r="D546" s="28">
        <v>4</v>
      </c>
      <c r="E546" s="28" t="s">
        <v>298</v>
      </c>
      <c r="F546" s="28" t="s">
        <v>1</v>
      </c>
      <c r="G546" s="28">
        <v>24</v>
      </c>
      <c r="H546" s="28"/>
      <c r="I546" s="28">
        <v>29.5</v>
      </c>
      <c r="J546" s="29">
        <v>28.4</v>
      </c>
    </row>
    <row r="547" spans="1:10" x14ac:dyDescent="0.35">
      <c r="A547" s="26">
        <v>423213</v>
      </c>
      <c r="B547" s="22">
        <v>0</v>
      </c>
      <c r="C547" s="27" t="s">
        <v>832</v>
      </c>
      <c r="D547" s="28">
        <v>4</v>
      </c>
      <c r="E547" s="28" t="s">
        <v>298</v>
      </c>
      <c r="F547" s="28" t="s">
        <v>1</v>
      </c>
      <c r="G547" s="28">
        <v>24</v>
      </c>
      <c r="H547" s="28"/>
      <c r="I547" s="28">
        <v>23</v>
      </c>
      <c r="J547" s="29">
        <v>22.5</v>
      </c>
    </row>
    <row r="548" spans="1:10" x14ac:dyDescent="0.35">
      <c r="A548" s="26">
        <v>423214</v>
      </c>
      <c r="B548" s="22">
        <v>0</v>
      </c>
      <c r="C548" s="27" t="s">
        <v>833</v>
      </c>
      <c r="D548" s="28">
        <v>5</v>
      </c>
      <c r="E548" s="28" t="s">
        <v>298</v>
      </c>
      <c r="F548" s="28" t="s">
        <v>1</v>
      </c>
      <c r="G548" s="28">
        <v>32</v>
      </c>
      <c r="H548" s="28"/>
      <c r="I548" s="28">
        <v>32</v>
      </c>
      <c r="J548" s="29">
        <v>27.6</v>
      </c>
    </row>
    <row r="549" spans="1:10" x14ac:dyDescent="0.35">
      <c r="A549" s="26">
        <v>423215</v>
      </c>
      <c r="B549" s="22">
        <v>0</v>
      </c>
      <c r="C549" s="27" t="s">
        <v>37</v>
      </c>
      <c r="D549" s="28">
        <v>4</v>
      </c>
      <c r="E549" s="28" t="s">
        <v>298</v>
      </c>
      <c r="F549" s="28" t="s">
        <v>1</v>
      </c>
      <c r="G549" s="28">
        <v>24</v>
      </c>
      <c r="H549" s="28"/>
      <c r="I549" s="28">
        <v>24</v>
      </c>
      <c r="J549" s="29">
        <v>22</v>
      </c>
    </row>
    <row r="550" spans="1:10" x14ac:dyDescent="0.35">
      <c r="A550" s="26">
        <v>424597</v>
      </c>
      <c r="B550" s="22">
        <v>0</v>
      </c>
      <c r="C550" s="27" t="s">
        <v>834</v>
      </c>
      <c r="D550" s="28">
        <v>2</v>
      </c>
      <c r="E550" s="28" t="s">
        <v>298</v>
      </c>
      <c r="F550" s="28" t="s">
        <v>1</v>
      </c>
      <c r="G550" s="28">
        <v>73</v>
      </c>
      <c r="H550" s="28"/>
      <c r="I550" s="28">
        <v>76</v>
      </c>
      <c r="J550" s="29">
        <v>40.4</v>
      </c>
    </row>
    <row r="551" spans="1:10" x14ac:dyDescent="0.35">
      <c r="A551" s="26">
        <v>424601</v>
      </c>
      <c r="B551" s="22">
        <v>0</v>
      </c>
      <c r="C551" s="27" t="s">
        <v>835</v>
      </c>
      <c r="D551" s="28">
        <v>2</v>
      </c>
      <c r="E551" s="28" t="s">
        <v>298</v>
      </c>
      <c r="F551" s="28" t="s">
        <v>1</v>
      </c>
      <c r="G551" s="28">
        <v>72</v>
      </c>
      <c r="H551" s="28"/>
      <c r="I551" s="28">
        <v>72</v>
      </c>
      <c r="J551" s="29">
        <v>80.8</v>
      </c>
    </row>
    <row r="552" spans="1:10" x14ac:dyDescent="0.35">
      <c r="A552" s="26">
        <v>424693</v>
      </c>
      <c r="B552" s="22">
        <v>0</v>
      </c>
      <c r="C552" s="27" t="s">
        <v>836</v>
      </c>
      <c r="D552" s="28">
        <v>8</v>
      </c>
      <c r="E552" s="28" t="s">
        <v>429</v>
      </c>
      <c r="F552" s="28" t="s">
        <v>440</v>
      </c>
      <c r="G552" s="28">
        <v>3.75</v>
      </c>
      <c r="H552" s="28"/>
      <c r="I552" s="28">
        <v>4</v>
      </c>
      <c r="J552" s="29">
        <v>17.600000000000001</v>
      </c>
    </row>
    <row r="553" spans="1:10" x14ac:dyDescent="0.35">
      <c r="A553" s="26">
        <v>425348</v>
      </c>
      <c r="B553" s="22">
        <v>0</v>
      </c>
      <c r="C553" s="27" t="s">
        <v>837</v>
      </c>
      <c r="D553" s="28">
        <v>4</v>
      </c>
      <c r="E553" s="28" t="s">
        <v>298</v>
      </c>
      <c r="F553" s="28" t="s">
        <v>12</v>
      </c>
      <c r="G553" s="28">
        <v>48.5</v>
      </c>
      <c r="H553" s="28"/>
      <c r="I553" s="28">
        <v>58.9</v>
      </c>
      <c r="J553" s="29">
        <v>28.76</v>
      </c>
    </row>
    <row r="554" spans="1:10" x14ac:dyDescent="0.35">
      <c r="A554" s="26">
        <v>425688</v>
      </c>
      <c r="B554" s="22">
        <v>0</v>
      </c>
      <c r="C554" s="27" t="s">
        <v>838</v>
      </c>
      <c r="D554" s="28">
        <v>4</v>
      </c>
      <c r="E554" s="28" t="s">
        <v>429</v>
      </c>
      <c r="F554" s="28" t="s">
        <v>430</v>
      </c>
      <c r="G554" s="28">
        <v>13.200000000000001</v>
      </c>
      <c r="H554" s="28"/>
      <c r="I554" s="28">
        <v>13</v>
      </c>
      <c r="J554" s="29">
        <v>20</v>
      </c>
    </row>
    <row r="555" spans="1:10" x14ac:dyDescent="0.35">
      <c r="A555" s="26">
        <v>426555</v>
      </c>
      <c r="B555" s="22">
        <v>0</v>
      </c>
      <c r="C555" s="27" t="s">
        <v>8</v>
      </c>
      <c r="D555" s="28">
        <v>4</v>
      </c>
      <c r="E555" s="28" t="s">
        <v>298</v>
      </c>
      <c r="F555" s="28" t="s">
        <v>1</v>
      </c>
      <c r="G555" s="28">
        <v>29</v>
      </c>
      <c r="H555" s="28"/>
      <c r="I555" s="28">
        <v>29</v>
      </c>
      <c r="J555" s="29">
        <v>22.72</v>
      </c>
    </row>
    <row r="556" spans="1:10" x14ac:dyDescent="0.35">
      <c r="A556" s="26">
        <v>427090</v>
      </c>
      <c r="B556" s="22">
        <v>0</v>
      </c>
      <c r="C556" s="27" t="s">
        <v>839</v>
      </c>
      <c r="D556" s="28">
        <v>4</v>
      </c>
      <c r="E556" s="28" t="s">
        <v>298</v>
      </c>
      <c r="F556" s="28" t="s">
        <v>1</v>
      </c>
      <c r="G556" s="28">
        <v>24</v>
      </c>
      <c r="H556" s="28"/>
      <c r="I556" s="28">
        <v>24</v>
      </c>
      <c r="J556" s="29">
        <v>26.8</v>
      </c>
    </row>
    <row r="557" spans="1:10" x14ac:dyDescent="0.35">
      <c r="A557" s="26">
        <v>427378</v>
      </c>
      <c r="B557" s="22">
        <v>0</v>
      </c>
      <c r="C557" s="27" t="s">
        <v>840</v>
      </c>
      <c r="D557" s="28">
        <v>4</v>
      </c>
      <c r="E557" s="28" t="s">
        <v>298</v>
      </c>
      <c r="F557" s="28" t="s">
        <v>1</v>
      </c>
      <c r="G557" s="28">
        <v>34.5</v>
      </c>
      <c r="H557" s="28"/>
      <c r="I557" s="28">
        <v>40.22</v>
      </c>
      <c r="J557" s="29">
        <v>22</v>
      </c>
    </row>
    <row r="558" spans="1:10" x14ac:dyDescent="0.35">
      <c r="A558" s="26">
        <v>427379</v>
      </c>
      <c r="B558" s="22">
        <v>0</v>
      </c>
      <c r="C558" s="27" t="s">
        <v>841</v>
      </c>
      <c r="D558" s="28">
        <v>4</v>
      </c>
      <c r="E558" s="28" t="s">
        <v>298</v>
      </c>
      <c r="F558" s="28" t="s">
        <v>1</v>
      </c>
      <c r="G558" s="28">
        <v>29</v>
      </c>
      <c r="H558" s="28"/>
      <c r="I558" s="28">
        <v>55</v>
      </c>
      <c r="J558" s="29">
        <v>26.56</v>
      </c>
    </row>
    <row r="559" spans="1:10" x14ac:dyDescent="0.35">
      <c r="A559" s="26">
        <v>428484</v>
      </c>
      <c r="B559" s="22">
        <v>0</v>
      </c>
      <c r="C559" s="27" t="s">
        <v>842</v>
      </c>
      <c r="D559" s="28">
        <v>4</v>
      </c>
      <c r="E559" s="28" t="s">
        <v>298</v>
      </c>
      <c r="F559" s="28" t="s">
        <v>1</v>
      </c>
      <c r="G559" s="28">
        <v>29</v>
      </c>
      <c r="H559" s="28"/>
      <c r="I559" s="28">
        <v>29</v>
      </c>
      <c r="J559" s="29">
        <v>21.4</v>
      </c>
    </row>
    <row r="560" spans="1:10" x14ac:dyDescent="0.35">
      <c r="A560" s="26">
        <v>429880</v>
      </c>
      <c r="B560" s="22">
        <v>0</v>
      </c>
      <c r="C560" s="27" t="s">
        <v>843</v>
      </c>
      <c r="D560" s="28">
        <v>4</v>
      </c>
      <c r="E560" s="28" t="s">
        <v>298</v>
      </c>
      <c r="F560" s="28" t="s">
        <v>1</v>
      </c>
      <c r="G560" s="28">
        <v>30</v>
      </c>
      <c r="H560" s="28"/>
      <c r="I560" s="28">
        <v>31</v>
      </c>
      <c r="J560" s="29">
        <v>38.4</v>
      </c>
    </row>
    <row r="561" spans="1:10" x14ac:dyDescent="0.35">
      <c r="A561" s="26">
        <v>431387</v>
      </c>
      <c r="B561" s="22">
        <v>0</v>
      </c>
      <c r="C561" s="27" t="s">
        <v>844</v>
      </c>
      <c r="D561" s="28">
        <v>4</v>
      </c>
      <c r="E561" s="28" t="s">
        <v>298</v>
      </c>
      <c r="F561" s="28" t="s">
        <v>1</v>
      </c>
      <c r="G561" s="28">
        <v>34.5</v>
      </c>
      <c r="H561" s="28"/>
      <c r="I561" s="28">
        <v>35</v>
      </c>
      <c r="J561" s="29">
        <v>22</v>
      </c>
    </row>
    <row r="562" spans="1:10" x14ac:dyDescent="0.35">
      <c r="A562" s="26">
        <v>432203</v>
      </c>
      <c r="B562" s="22">
        <v>0</v>
      </c>
      <c r="C562" s="27" t="s">
        <v>845</v>
      </c>
      <c r="D562" s="28">
        <v>4</v>
      </c>
      <c r="E562" s="28" t="s">
        <v>298</v>
      </c>
      <c r="F562" s="28" t="s">
        <v>1</v>
      </c>
      <c r="G562" s="28">
        <v>32</v>
      </c>
      <c r="H562" s="28"/>
      <c r="I562" s="28">
        <v>32</v>
      </c>
      <c r="J562" s="29">
        <v>27</v>
      </c>
    </row>
    <row r="563" spans="1:10" x14ac:dyDescent="0.35">
      <c r="A563" s="26">
        <v>432569</v>
      </c>
      <c r="B563" s="22">
        <v>0</v>
      </c>
      <c r="C563" s="27" t="s">
        <v>846</v>
      </c>
      <c r="D563" s="28">
        <v>4</v>
      </c>
      <c r="E563" s="28" t="s">
        <v>429</v>
      </c>
      <c r="F563" s="28" t="s">
        <v>440</v>
      </c>
      <c r="G563" s="28">
        <v>8.3000000000000007</v>
      </c>
      <c r="H563" s="28"/>
      <c r="I563" s="28">
        <v>49</v>
      </c>
      <c r="J563" s="29">
        <v>15.3</v>
      </c>
    </row>
    <row r="564" spans="1:10" x14ac:dyDescent="0.35">
      <c r="A564" s="26">
        <v>432636</v>
      </c>
      <c r="B564" s="22">
        <v>0</v>
      </c>
      <c r="C564" s="27" t="s">
        <v>847</v>
      </c>
      <c r="D564" s="28">
        <v>4</v>
      </c>
      <c r="E564" s="28" t="s">
        <v>429</v>
      </c>
      <c r="F564" s="28" t="s">
        <v>440</v>
      </c>
      <c r="G564" s="28">
        <v>7.3000000000000007</v>
      </c>
      <c r="H564" s="28"/>
      <c r="I564" s="28">
        <v>7.2</v>
      </c>
      <c r="J564" s="29">
        <v>15.3</v>
      </c>
    </row>
    <row r="565" spans="1:10" x14ac:dyDescent="0.35">
      <c r="A565" s="26">
        <v>435444</v>
      </c>
      <c r="B565" s="22">
        <v>0</v>
      </c>
      <c r="C565" s="27" t="s">
        <v>848</v>
      </c>
      <c r="D565" s="28">
        <v>4</v>
      </c>
      <c r="E565" s="28" t="s">
        <v>298</v>
      </c>
      <c r="F565" s="28" t="s">
        <v>1</v>
      </c>
      <c r="G565" s="28">
        <v>11</v>
      </c>
      <c r="H565" s="28"/>
      <c r="I565" s="28">
        <v>18.399999999999999</v>
      </c>
      <c r="J565" s="29">
        <v>15.44</v>
      </c>
    </row>
    <row r="566" spans="1:10" x14ac:dyDescent="0.35">
      <c r="A566" s="26">
        <v>436445</v>
      </c>
      <c r="B566" s="22">
        <v>0</v>
      </c>
      <c r="C566" s="27" t="s">
        <v>849</v>
      </c>
      <c r="D566" s="28">
        <v>4</v>
      </c>
      <c r="E566" s="28" t="s">
        <v>298</v>
      </c>
      <c r="F566" s="28" t="s">
        <v>1</v>
      </c>
      <c r="G566" s="28">
        <v>29</v>
      </c>
      <c r="H566" s="28"/>
      <c r="I566" s="28">
        <v>29.22</v>
      </c>
      <c r="J566" s="29">
        <v>23.6</v>
      </c>
    </row>
    <row r="567" spans="1:10" x14ac:dyDescent="0.35">
      <c r="A567" s="26">
        <v>437808</v>
      </c>
      <c r="B567" s="22">
        <v>0</v>
      </c>
      <c r="C567" s="27" t="s">
        <v>850</v>
      </c>
      <c r="D567" s="28">
        <v>4</v>
      </c>
      <c r="E567" s="28" t="s">
        <v>298</v>
      </c>
      <c r="F567" s="28" t="s">
        <v>1</v>
      </c>
      <c r="G567" s="28">
        <v>55</v>
      </c>
      <c r="H567" s="28"/>
      <c r="I567" s="28">
        <v>55</v>
      </c>
      <c r="J567" s="29">
        <v>30.8</v>
      </c>
    </row>
    <row r="568" spans="1:10" x14ac:dyDescent="0.35">
      <c r="A568" s="26">
        <v>438155</v>
      </c>
      <c r="B568" s="22">
        <v>0</v>
      </c>
      <c r="C568" s="27" t="s">
        <v>851</v>
      </c>
      <c r="D568" s="28">
        <v>4</v>
      </c>
      <c r="E568" s="28" t="s">
        <v>298</v>
      </c>
      <c r="F568" s="28" t="s">
        <v>1</v>
      </c>
      <c r="G568" s="28">
        <v>45</v>
      </c>
      <c r="H568" s="28"/>
      <c r="I568" s="28">
        <v>44</v>
      </c>
      <c r="J568" s="29">
        <v>33.42</v>
      </c>
    </row>
    <row r="569" spans="1:10" x14ac:dyDescent="0.35">
      <c r="A569" s="26">
        <v>438275</v>
      </c>
      <c r="B569" s="22">
        <v>0</v>
      </c>
      <c r="C569" s="27" t="s">
        <v>852</v>
      </c>
      <c r="D569" s="28">
        <v>4</v>
      </c>
      <c r="E569" s="28" t="s">
        <v>298</v>
      </c>
      <c r="F569" s="28" t="s">
        <v>1</v>
      </c>
      <c r="G569" s="28">
        <v>44</v>
      </c>
      <c r="H569" s="28"/>
      <c r="I569" s="28">
        <v>45</v>
      </c>
      <c r="J569" s="29">
        <v>26.18</v>
      </c>
    </row>
    <row r="570" spans="1:10" x14ac:dyDescent="0.35">
      <c r="A570" s="26">
        <v>438507</v>
      </c>
      <c r="B570" s="22">
        <v>0</v>
      </c>
      <c r="C570" s="27" t="s">
        <v>853</v>
      </c>
      <c r="D570" s="28">
        <v>4</v>
      </c>
      <c r="E570" s="28" t="s">
        <v>298</v>
      </c>
      <c r="F570" s="28" t="s">
        <v>1</v>
      </c>
      <c r="G570" s="28">
        <v>31</v>
      </c>
      <c r="H570" s="28"/>
      <c r="I570" s="28">
        <v>31.25</v>
      </c>
      <c r="J570" s="29">
        <v>29.6</v>
      </c>
    </row>
    <row r="571" spans="1:10" x14ac:dyDescent="0.35">
      <c r="A571" s="26">
        <v>439887</v>
      </c>
      <c r="B571" s="22">
        <v>0</v>
      </c>
      <c r="C571" s="27" t="s">
        <v>854</v>
      </c>
      <c r="D571" s="28">
        <v>4</v>
      </c>
      <c r="E571" s="28" t="s">
        <v>429</v>
      </c>
      <c r="F571" s="28" t="s">
        <v>440</v>
      </c>
      <c r="G571" s="28">
        <v>8.3000000000000007</v>
      </c>
      <c r="H571" s="28"/>
      <c r="I571" s="28">
        <v>7</v>
      </c>
      <c r="J571" s="29">
        <v>15.3</v>
      </c>
    </row>
    <row r="572" spans="1:10" x14ac:dyDescent="0.35">
      <c r="A572" s="26">
        <v>441778</v>
      </c>
      <c r="B572" s="22">
        <v>0</v>
      </c>
      <c r="C572" s="27" t="s">
        <v>855</v>
      </c>
      <c r="D572" s="28">
        <v>4</v>
      </c>
      <c r="E572" s="28" t="s">
        <v>298</v>
      </c>
      <c r="F572" s="28" t="s">
        <v>1</v>
      </c>
      <c r="G572" s="28">
        <v>77</v>
      </c>
      <c r="H572" s="28"/>
      <c r="I572" s="28">
        <v>69.900000000000006</v>
      </c>
      <c r="J572" s="29">
        <v>35</v>
      </c>
    </row>
    <row r="573" spans="1:10" x14ac:dyDescent="0.35">
      <c r="A573" s="26">
        <v>441809</v>
      </c>
      <c r="B573" s="22">
        <v>0</v>
      </c>
      <c r="C573" s="27" t="s">
        <v>856</v>
      </c>
      <c r="D573" s="28">
        <v>4</v>
      </c>
      <c r="E573" s="28" t="s">
        <v>298</v>
      </c>
      <c r="F573" s="28" t="s">
        <v>1</v>
      </c>
      <c r="G573" s="28">
        <v>33.67</v>
      </c>
      <c r="H573" s="28"/>
      <c r="I573" s="28">
        <v>34</v>
      </c>
      <c r="J573" s="29">
        <v>22</v>
      </c>
    </row>
    <row r="574" spans="1:10" x14ac:dyDescent="0.35">
      <c r="A574" s="26">
        <v>441811</v>
      </c>
      <c r="B574" s="22">
        <v>0</v>
      </c>
      <c r="C574" s="27" t="s">
        <v>857</v>
      </c>
      <c r="D574" s="28">
        <v>4</v>
      </c>
      <c r="E574" s="28" t="s">
        <v>298</v>
      </c>
      <c r="F574" s="28" t="s">
        <v>1</v>
      </c>
      <c r="G574" s="28">
        <v>34</v>
      </c>
      <c r="H574" s="28"/>
      <c r="I574" s="28">
        <v>34</v>
      </c>
      <c r="J574" s="29">
        <v>9</v>
      </c>
    </row>
    <row r="575" spans="1:10" x14ac:dyDescent="0.35">
      <c r="A575" s="26">
        <v>441812</v>
      </c>
      <c r="B575" s="22">
        <v>0</v>
      </c>
      <c r="C575" s="27" t="s">
        <v>858</v>
      </c>
      <c r="D575" s="28">
        <v>4</v>
      </c>
      <c r="E575" s="28" t="s">
        <v>298</v>
      </c>
      <c r="F575" s="28" t="s">
        <v>1</v>
      </c>
      <c r="G575" s="28">
        <v>33.42</v>
      </c>
      <c r="H575" s="28"/>
      <c r="I575" s="28">
        <v>33.42</v>
      </c>
      <c r="J575" s="29">
        <v>9</v>
      </c>
    </row>
    <row r="576" spans="1:10" x14ac:dyDescent="0.35">
      <c r="A576" s="26">
        <v>441813</v>
      </c>
      <c r="B576" s="22">
        <v>0</v>
      </c>
      <c r="C576" s="27" t="s">
        <v>859</v>
      </c>
      <c r="D576" s="28">
        <v>4</v>
      </c>
      <c r="E576" s="28" t="s">
        <v>298</v>
      </c>
      <c r="F576" s="28" t="s">
        <v>1</v>
      </c>
      <c r="G576" s="28">
        <v>34.200000000000003</v>
      </c>
      <c r="H576" s="28"/>
      <c r="I576" s="28">
        <v>34.200000000000003</v>
      </c>
      <c r="J576" s="29">
        <v>9</v>
      </c>
    </row>
    <row r="577" spans="1:10" x14ac:dyDescent="0.35">
      <c r="A577" s="26">
        <v>442034</v>
      </c>
      <c r="B577" s="22">
        <v>0</v>
      </c>
      <c r="C577" s="27" t="s">
        <v>6</v>
      </c>
      <c r="D577" s="28">
        <v>4</v>
      </c>
      <c r="E577" s="28" t="s">
        <v>298</v>
      </c>
      <c r="F577" s="28" t="s">
        <v>1</v>
      </c>
      <c r="G577" s="28">
        <v>23</v>
      </c>
      <c r="H577" s="28"/>
      <c r="I577" s="28">
        <v>23</v>
      </c>
      <c r="J577" s="29">
        <v>24</v>
      </c>
    </row>
    <row r="578" spans="1:10" x14ac:dyDescent="0.35">
      <c r="A578" s="26">
        <v>442036</v>
      </c>
      <c r="B578" s="22">
        <v>0</v>
      </c>
      <c r="C578" s="27" t="s">
        <v>860</v>
      </c>
      <c r="D578" s="28">
        <v>4</v>
      </c>
      <c r="E578" s="28" t="s">
        <v>429</v>
      </c>
      <c r="F578" s="28" t="s">
        <v>440</v>
      </c>
      <c r="G578" s="28">
        <v>6.4</v>
      </c>
      <c r="H578" s="28"/>
      <c r="I578" s="28">
        <v>6.4</v>
      </c>
      <c r="J578" s="29">
        <v>10.52</v>
      </c>
    </row>
    <row r="579" spans="1:10" x14ac:dyDescent="0.35">
      <c r="A579" s="26">
        <v>442310</v>
      </c>
      <c r="B579" s="22">
        <v>0</v>
      </c>
      <c r="C579" s="27" t="s">
        <v>861</v>
      </c>
      <c r="D579" s="28">
        <v>4</v>
      </c>
      <c r="E579" s="28" t="s">
        <v>298</v>
      </c>
      <c r="F579" s="28" t="s">
        <v>1</v>
      </c>
      <c r="G579" s="28">
        <v>60</v>
      </c>
      <c r="H579" s="28"/>
      <c r="I579" s="28">
        <v>68.8</v>
      </c>
      <c r="J579" s="29">
        <v>33.840000000000003</v>
      </c>
    </row>
    <row r="580" spans="1:10" x14ac:dyDescent="0.35">
      <c r="A580" s="26">
        <v>442642</v>
      </c>
      <c r="B580" s="22">
        <v>0</v>
      </c>
      <c r="C580" s="27" t="s">
        <v>862</v>
      </c>
      <c r="D580" s="28">
        <v>4</v>
      </c>
      <c r="E580" s="28" t="s">
        <v>298</v>
      </c>
      <c r="F580" s="28" t="s">
        <v>1</v>
      </c>
      <c r="G580" s="28">
        <v>34.5</v>
      </c>
      <c r="H580" s="28"/>
      <c r="I580" s="28">
        <v>34.5</v>
      </c>
      <c r="J580" s="29">
        <v>22</v>
      </c>
    </row>
    <row r="581" spans="1:10" x14ac:dyDescent="0.35">
      <c r="A581" s="26">
        <v>444555</v>
      </c>
      <c r="B581" s="22">
        <v>0</v>
      </c>
      <c r="C581" s="27" t="s">
        <v>863</v>
      </c>
      <c r="D581" s="28">
        <v>1</v>
      </c>
      <c r="E581" s="28" t="s">
        <v>864</v>
      </c>
      <c r="F581" s="28" t="s">
        <v>865</v>
      </c>
      <c r="G581" s="28">
        <v>122</v>
      </c>
      <c r="H581" s="28"/>
      <c r="I581" s="28">
        <v>169.2</v>
      </c>
      <c r="J581" s="29">
        <v>39.799999999999997</v>
      </c>
    </row>
    <row r="582" spans="1:10" x14ac:dyDescent="0.35">
      <c r="A582" s="26">
        <v>449174</v>
      </c>
      <c r="B582" s="22">
        <v>0</v>
      </c>
      <c r="C582" s="27" t="s">
        <v>866</v>
      </c>
      <c r="D582" s="28">
        <v>8</v>
      </c>
      <c r="E582" s="28" t="s">
        <v>429</v>
      </c>
      <c r="F582" s="28" t="s">
        <v>440</v>
      </c>
      <c r="G582" s="28">
        <v>3.75</v>
      </c>
      <c r="H582" s="28"/>
      <c r="I582" s="28">
        <v>3.75</v>
      </c>
      <c r="J582" s="29">
        <v>17.600000000000001</v>
      </c>
    </row>
    <row r="583" spans="1:10" x14ac:dyDescent="0.35">
      <c r="A583" s="26">
        <v>449365</v>
      </c>
      <c r="B583" s="22">
        <v>0</v>
      </c>
      <c r="C583" s="27" t="s">
        <v>867</v>
      </c>
      <c r="D583" s="28">
        <v>4</v>
      </c>
      <c r="E583" s="28" t="s">
        <v>298</v>
      </c>
      <c r="F583" s="28" t="s">
        <v>1</v>
      </c>
      <c r="G583" s="28">
        <v>29</v>
      </c>
      <c r="H583" s="28"/>
      <c r="I583" s="28">
        <v>29</v>
      </c>
      <c r="J583" s="29">
        <v>21.6</v>
      </c>
    </row>
    <row r="584" spans="1:10" x14ac:dyDescent="0.35">
      <c r="A584" s="26">
        <v>449366</v>
      </c>
      <c r="B584" s="22">
        <v>0</v>
      </c>
      <c r="C584" s="27" t="s">
        <v>868</v>
      </c>
      <c r="D584" s="28">
        <v>8</v>
      </c>
      <c r="E584" s="28" t="s">
        <v>429</v>
      </c>
      <c r="F584" s="28" t="s">
        <v>440</v>
      </c>
      <c r="G584" s="28">
        <v>4.87</v>
      </c>
      <c r="H584" s="28"/>
      <c r="I584" s="28">
        <v>4.87</v>
      </c>
      <c r="J584" s="29">
        <v>17.600000000000001</v>
      </c>
    </row>
    <row r="585" spans="1:10" x14ac:dyDescent="0.35">
      <c r="A585" s="26">
        <v>449885</v>
      </c>
      <c r="B585" s="22">
        <v>0</v>
      </c>
      <c r="C585" s="27" t="s">
        <v>869</v>
      </c>
      <c r="D585" s="28">
        <v>4</v>
      </c>
      <c r="E585" s="28" t="s">
        <v>298</v>
      </c>
      <c r="F585" s="28" t="s">
        <v>1</v>
      </c>
      <c r="G585" s="28">
        <v>29</v>
      </c>
      <c r="H585" s="28"/>
      <c r="I585" s="28">
        <v>24</v>
      </c>
      <c r="J585" s="29">
        <v>24.72</v>
      </c>
    </row>
    <row r="586" spans="1:10" x14ac:dyDescent="0.35">
      <c r="A586" s="26">
        <v>451191</v>
      </c>
      <c r="B586" s="22">
        <v>0</v>
      </c>
      <c r="C586" s="27" t="s">
        <v>39</v>
      </c>
      <c r="D586" s="28">
        <v>4</v>
      </c>
      <c r="E586" s="28" t="s">
        <v>298</v>
      </c>
      <c r="F586" s="28" t="s">
        <v>1</v>
      </c>
      <c r="G586" s="28">
        <v>29</v>
      </c>
      <c r="H586" s="28"/>
      <c r="I586" s="28">
        <v>29</v>
      </c>
      <c r="J586" s="29">
        <v>24</v>
      </c>
    </row>
    <row r="587" spans="1:10" x14ac:dyDescent="0.35">
      <c r="A587" s="26">
        <v>452298</v>
      </c>
      <c r="B587" s="22">
        <v>0</v>
      </c>
      <c r="C587" s="27" t="s">
        <v>870</v>
      </c>
      <c r="D587" s="28">
        <v>4</v>
      </c>
      <c r="E587" s="28" t="s">
        <v>429</v>
      </c>
      <c r="F587" s="28" t="s">
        <v>430</v>
      </c>
      <c r="G587" s="28">
        <v>14.200000000000001</v>
      </c>
      <c r="H587" s="28"/>
      <c r="I587" s="28">
        <v>14.200000000000001</v>
      </c>
      <c r="J587" s="29">
        <v>20</v>
      </c>
    </row>
    <row r="588" spans="1:10" x14ac:dyDescent="0.35">
      <c r="A588" s="26">
        <v>453724</v>
      </c>
      <c r="B588" s="22">
        <v>0</v>
      </c>
      <c r="C588" s="27" t="s">
        <v>871</v>
      </c>
      <c r="D588" s="28">
        <v>24</v>
      </c>
      <c r="E588" s="28" t="s">
        <v>429</v>
      </c>
      <c r="F588" s="28" t="s">
        <v>872</v>
      </c>
      <c r="G588" s="28">
        <v>2.4</v>
      </c>
      <c r="H588" s="28"/>
      <c r="I588" s="28">
        <v>2.4</v>
      </c>
      <c r="J588" s="29">
        <v>19.295999999999999</v>
      </c>
    </row>
    <row r="589" spans="1:10" x14ac:dyDescent="0.35">
      <c r="A589" s="26">
        <v>453725</v>
      </c>
      <c r="B589" s="22">
        <v>0</v>
      </c>
      <c r="C589" s="27" t="s">
        <v>873</v>
      </c>
      <c r="D589" s="28">
        <v>24</v>
      </c>
      <c r="E589" s="28" t="s">
        <v>429</v>
      </c>
      <c r="F589" s="28" t="s">
        <v>872</v>
      </c>
      <c r="G589" s="28">
        <v>2.4</v>
      </c>
      <c r="H589" s="28"/>
      <c r="I589" s="28">
        <v>2.4</v>
      </c>
      <c r="J589" s="29">
        <v>19.295999999999999</v>
      </c>
    </row>
    <row r="590" spans="1:10" x14ac:dyDescent="0.35">
      <c r="A590" s="26">
        <v>453732</v>
      </c>
      <c r="B590" s="22">
        <v>0</v>
      </c>
      <c r="C590" s="27" t="s">
        <v>874</v>
      </c>
      <c r="D590" s="28">
        <v>24</v>
      </c>
      <c r="E590" s="28" t="s">
        <v>429</v>
      </c>
      <c r="F590" s="28" t="s">
        <v>872</v>
      </c>
      <c r="G590" s="28">
        <v>2.4</v>
      </c>
      <c r="H590" s="28"/>
      <c r="I590" s="28">
        <v>2.4</v>
      </c>
      <c r="J590" s="29">
        <v>19.295999999999999</v>
      </c>
    </row>
    <row r="591" spans="1:10" x14ac:dyDescent="0.35">
      <c r="A591" s="26">
        <v>453733</v>
      </c>
      <c r="B591" s="22">
        <v>0</v>
      </c>
      <c r="C591" s="27" t="s">
        <v>875</v>
      </c>
      <c r="D591" s="28">
        <v>24</v>
      </c>
      <c r="E591" s="28" t="s">
        <v>429</v>
      </c>
      <c r="F591" s="28" t="s">
        <v>872</v>
      </c>
      <c r="G591" s="28">
        <v>2.4</v>
      </c>
      <c r="H591" s="28"/>
      <c r="I591" s="28">
        <v>2.4</v>
      </c>
      <c r="J591" s="29">
        <v>19.295999999999999</v>
      </c>
    </row>
    <row r="592" spans="1:10" x14ac:dyDescent="0.35">
      <c r="A592" s="26">
        <v>453735</v>
      </c>
      <c r="B592" s="22">
        <v>0</v>
      </c>
      <c r="C592" s="27" t="s">
        <v>876</v>
      </c>
      <c r="D592" s="28">
        <v>6</v>
      </c>
      <c r="E592" s="28" t="s">
        <v>429</v>
      </c>
      <c r="F592" s="28" t="s">
        <v>877</v>
      </c>
      <c r="G592" s="28">
        <v>4.3</v>
      </c>
      <c r="H592" s="28"/>
      <c r="I592" s="28">
        <v>24.8</v>
      </c>
      <c r="J592" s="29">
        <v>21.75</v>
      </c>
    </row>
    <row r="593" spans="1:10" x14ac:dyDescent="0.35">
      <c r="A593" s="26">
        <v>453736</v>
      </c>
      <c r="B593" s="22">
        <v>0</v>
      </c>
      <c r="C593" s="27" t="s">
        <v>878</v>
      </c>
      <c r="D593" s="28">
        <v>6</v>
      </c>
      <c r="E593" s="28" t="s">
        <v>429</v>
      </c>
      <c r="F593" s="28" t="s">
        <v>877</v>
      </c>
      <c r="G593" s="28">
        <v>4.3</v>
      </c>
      <c r="H593" s="28"/>
      <c r="I593" s="28">
        <v>4.3</v>
      </c>
      <c r="J593" s="29">
        <v>21.75</v>
      </c>
    </row>
    <row r="594" spans="1:10" x14ac:dyDescent="0.35">
      <c r="A594" s="26">
        <v>453737</v>
      </c>
      <c r="B594" s="22">
        <v>0</v>
      </c>
      <c r="C594" s="27" t="s">
        <v>879</v>
      </c>
      <c r="D594" s="28">
        <v>6</v>
      </c>
      <c r="E594" s="28" t="s">
        <v>429</v>
      </c>
      <c r="F594" s="28" t="s">
        <v>877</v>
      </c>
      <c r="G594" s="28">
        <v>4.3</v>
      </c>
      <c r="H594" s="28"/>
      <c r="I594" s="28">
        <v>4.3</v>
      </c>
      <c r="J594" s="29">
        <v>21.75</v>
      </c>
    </row>
    <row r="595" spans="1:10" x14ac:dyDescent="0.35">
      <c r="A595" s="26">
        <v>453738</v>
      </c>
      <c r="B595" s="22">
        <v>0</v>
      </c>
      <c r="C595" s="27" t="s">
        <v>880</v>
      </c>
      <c r="D595" s="28">
        <v>2</v>
      </c>
      <c r="E595" s="28" t="s">
        <v>429</v>
      </c>
      <c r="F595" s="28" t="s">
        <v>877</v>
      </c>
      <c r="G595" s="28">
        <v>9.5</v>
      </c>
      <c r="H595" s="28"/>
      <c r="I595" s="28">
        <v>9.5</v>
      </c>
      <c r="J595" s="29">
        <v>13.8</v>
      </c>
    </row>
    <row r="596" spans="1:10" x14ac:dyDescent="0.35">
      <c r="A596" s="26">
        <v>453739</v>
      </c>
      <c r="B596" s="22">
        <v>0</v>
      </c>
      <c r="C596" s="27" t="s">
        <v>881</v>
      </c>
      <c r="D596" s="28">
        <v>2</v>
      </c>
      <c r="E596" s="28" t="s">
        <v>429</v>
      </c>
      <c r="F596" s="28" t="s">
        <v>872</v>
      </c>
      <c r="G596" s="28">
        <v>4.4000000000000004</v>
      </c>
      <c r="H596" s="28"/>
      <c r="I596" s="28">
        <v>4.4400000000000004</v>
      </c>
      <c r="J596" s="29">
        <v>11.2</v>
      </c>
    </row>
    <row r="597" spans="1:10" x14ac:dyDescent="0.35">
      <c r="A597" s="26">
        <v>453742</v>
      </c>
      <c r="B597" s="22">
        <v>0</v>
      </c>
      <c r="C597" s="27" t="s">
        <v>882</v>
      </c>
      <c r="D597" s="28">
        <v>1</v>
      </c>
      <c r="E597" s="28" t="s">
        <v>429</v>
      </c>
      <c r="F597" s="28" t="s">
        <v>883</v>
      </c>
      <c r="G597" s="28">
        <v>12.3</v>
      </c>
      <c r="H597" s="28"/>
      <c r="I597" s="28">
        <v>12.3</v>
      </c>
      <c r="J597" s="29">
        <v>13</v>
      </c>
    </row>
    <row r="598" spans="1:10" x14ac:dyDescent="0.35">
      <c r="A598" s="26">
        <v>453743</v>
      </c>
      <c r="B598" s="22">
        <v>0</v>
      </c>
      <c r="C598" s="27" t="s">
        <v>884</v>
      </c>
      <c r="D598" s="28">
        <v>1</v>
      </c>
      <c r="E598" s="28" t="s">
        <v>429</v>
      </c>
      <c r="F598" s="28" t="s">
        <v>883</v>
      </c>
      <c r="G598" s="28">
        <v>12.3</v>
      </c>
      <c r="H598" s="28"/>
      <c r="I598" s="28">
        <v>12.3</v>
      </c>
      <c r="J598" s="29">
        <v>13</v>
      </c>
    </row>
    <row r="599" spans="1:10" x14ac:dyDescent="0.35">
      <c r="A599" s="26">
        <v>453744</v>
      </c>
      <c r="B599" s="22">
        <v>0</v>
      </c>
      <c r="C599" s="27" t="s">
        <v>885</v>
      </c>
      <c r="D599" s="28">
        <v>1</v>
      </c>
      <c r="E599" s="28" t="s">
        <v>429</v>
      </c>
      <c r="F599" s="28" t="s">
        <v>883</v>
      </c>
      <c r="G599" s="28">
        <v>12.3</v>
      </c>
      <c r="H599" s="28"/>
      <c r="I599" s="28">
        <v>12.3</v>
      </c>
      <c r="J599" s="29">
        <v>13</v>
      </c>
    </row>
    <row r="600" spans="1:10" x14ac:dyDescent="0.35">
      <c r="A600" s="26">
        <v>453745</v>
      </c>
      <c r="B600" s="22">
        <v>0</v>
      </c>
      <c r="C600" s="27" t="s">
        <v>886</v>
      </c>
      <c r="D600" s="28">
        <v>1</v>
      </c>
      <c r="E600" s="28" t="s">
        <v>429</v>
      </c>
      <c r="F600" s="28" t="s">
        <v>887</v>
      </c>
      <c r="G600" s="28">
        <v>12.3</v>
      </c>
      <c r="H600" s="28"/>
      <c r="I600" s="28">
        <v>12.7</v>
      </c>
      <c r="J600" s="29">
        <v>13</v>
      </c>
    </row>
    <row r="601" spans="1:10" x14ac:dyDescent="0.35">
      <c r="A601" s="26">
        <v>453747</v>
      </c>
      <c r="B601" s="22">
        <v>0</v>
      </c>
      <c r="C601" s="27" t="s">
        <v>888</v>
      </c>
      <c r="D601" s="28">
        <v>8</v>
      </c>
      <c r="E601" s="28" t="s">
        <v>429</v>
      </c>
      <c r="F601" s="28" t="s">
        <v>889</v>
      </c>
      <c r="G601" s="28">
        <v>3.6</v>
      </c>
      <c r="H601" s="28"/>
      <c r="I601" s="28">
        <v>3.5</v>
      </c>
      <c r="J601" s="29">
        <v>14</v>
      </c>
    </row>
    <row r="602" spans="1:10" x14ac:dyDescent="0.35">
      <c r="A602" s="26">
        <v>453748</v>
      </c>
      <c r="B602" s="22">
        <v>0</v>
      </c>
      <c r="C602" s="27" t="s">
        <v>890</v>
      </c>
      <c r="D602" s="28">
        <v>8</v>
      </c>
      <c r="E602" s="28" t="s">
        <v>429</v>
      </c>
      <c r="F602" s="28" t="s">
        <v>889</v>
      </c>
      <c r="G602" s="28">
        <v>3.6</v>
      </c>
      <c r="H602" s="28"/>
      <c r="I602" s="28">
        <v>3.6</v>
      </c>
      <c r="J602" s="29">
        <v>14</v>
      </c>
    </row>
    <row r="603" spans="1:10" x14ac:dyDescent="0.35">
      <c r="A603" s="26">
        <v>453749</v>
      </c>
      <c r="B603" s="22">
        <v>0</v>
      </c>
      <c r="C603" s="27" t="s">
        <v>891</v>
      </c>
      <c r="D603" s="28">
        <v>8</v>
      </c>
      <c r="E603" s="28" t="s">
        <v>429</v>
      </c>
      <c r="F603" s="28" t="s">
        <v>889</v>
      </c>
      <c r="G603" s="28">
        <v>3.6</v>
      </c>
      <c r="H603" s="28"/>
      <c r="I603" s="28">
        <v>3.6</v>
      </c>
      <c r="J603" s="29">
        <v>14</v>
      </c>
    </row>
    <row r="604" spans="1:10" x14ac:dyDescent="0.35">
      <c r="A604" s="26">
        <v>453750</v>
      </c>
      <c r="B604" s="22">
        <v>0</v>
      </c>
      <c r="C604" s="27" t="s">
        <v>892</v>
      </c>
      <c r="D604" s="28">
        <v>8</v>
      </c>
      <c r="E604" s="28" t="s">
        <v>429</v>
      </c>
      <c r="F604" s="28" t="s">
        <v>889</v>
      </c>
      <c r="G604" s="28">
        <v>3.6</v>
      </c>
      <c r="H604" s="28"/>
      <c r="I604" s="28">
        <v>3.6</v>
      </c>
      <c r="J604" s="29">
        <v>14</v>
      </c>
    </row>
    <row r="605" spans="1:10" x14ac:dyDescent="0.35">
      <c r="A605" s="26">
        <v>453751</v>
      </c>
      <c r="B605" s="22">
        <v>0</v>
      </c>
      <c r="C605" s="27" t="s">
        <v>893</v>
      </c>
      <c r="D605" s="28">
        <v>8</v>
      </c>
      <c r="E605" s="28" t="s">
        <v>429</v>
      </c>
      <c r="F605" s="28" t="s">
        <v>889</v>
      </c>
      <c r="G605" s="28">
        <v>3.6</v>
      </c>
      <c r="H605" s="28"/>
      <c r="I605" s="28">
        <v>3.6</v>
      </c>
      <c r="J605" s="29">
        <v>14</v>
      </c>
    </row>
    <row r="606" spans="1:10" x14ac:dyDescent="0.35">
      <c r="A606" s="26">
        <v>453752</v>
      </c>
      <c r="B606" s="22">
        <v>0</v>
      </c>
      <c r="C606" s="27" t="s">
        <v>894</v>
      </c>
      <c r="D606" s="28">
        <v>8</v>
      </c>
      <c r="E606" s="28" t="s">
        <v>429</v>
      </c>
      <c r="F606" s="28" t="s">
        <v>889</v>
      </c>
      <c r="G606" s="28">
        <v>3.6</v>
      </c>
      <c r="H606" s="28"/>
      <c r="I606" s="28">
        <v>3.6</v>
      </c>
      <c r="J606" s="29">
        <v>14</v>
      </c>
    </row>
    <row r="607" spans="1:10" x14ac:dyDescent="0.35">
      <c r="A607" s="26">
        <v>453753</v>
      </c>
      <c r="B607" s="22">
        <v>0</v>
      </c>
      <c r="C607" s="27" t="s">
        <v>895</v>
      </c>
      <c r="D607" s="28">
        <v>8</v>
      </c>
      <c r="E607" s="28" t="s">
        <v>429</v>
      </c>
      <c r="F607" s="28" t="s">
        <v>889</v>
      </c>
      <c r="G607" s="28">
        <v>3.6</v>
      </c>
      <c r="H607" s="28"/>
      <c r="I607" s="28">
        <v>3.5</v>
      </c>
      <c r="J607" s="29">
        <v>14</v>
      </c>
    </row>
    <row r="608" spans="1:10" x14ac:dyDescent="0.35">
      <c r="A608" s="26">
        <v>453754</v>
      </c>
      <c r="B608" s="22">
        <v>0</v>
      </c>
      <c r="C608" s="27" t="s">
        <v>896</v>
      </c>
      <c r="D608" s="28">
        <v>8</v>
      </c>
      <c r="E608" s="28" t="s">
        <v>429</v>
      </c>
      <c r="F608" s="28" t="s">
        <v>889</v>
      </c>
      <c r="G608" s="28">
        <v>3.6</v>
      </c>
      <c r="H608" s="28"/>
      <c r="I608" s="28">
        <v>3.42</v>
      </c>
      <c r="J608" s="29">
        <v>14</v>
      </c>
    </row>
    <row r="609" spans="1:10" x14ac:dyDescent="0.35">
      <c r="A609" s="26">
        <v>453755</v>
      </c>
      <c r="B609" s="22">
        <v>0</v>
      </c>
      <c r="C609" s="27" t="s">
        <v>897</v>
      </c>
      <c r="D609" s="28">
        <v>8</v>
      </c>
      <c r="E609" s="28" t="s">
        <v>429</v>
      </c>
      <c r="F609" s="28" t="s">
        <v>889</v>
      </c>
      <c r="G609" s="28">
        <v>3.6</v>
      </c>
      <c r="H609" s="28"/>
      <c r="I609" s="28">
        <v>3.6</v>
      </c>
      <c r="J609" s="29">
        <v>14</v>
      </c>
    </row>
    <row r="610" spans="1:10" x14ac:dyDescent="0.35">
      <c r="A610" s="26">
        <v>453756</v>
      </c>
      <c r="B610" s="22">
        <v>0</v>
      </c>
      <c r="C610" s="27" t="s">
        <v>898</v>
      </c>
      <c r="D610" s="28">
        <v>8</v>
      </c>
      <c r="E610" s="28" t="s">
        <v>429</v>
      </c>
      <c r="F610" s="28" t="s">
        <v>889</v>
      </c>
      <c r="G610" s="28">
        <v>3.6</v>
      </c>
      <c r="H610" s="28"/>
      <c r="I610" s="28">
        <v>3.6</v>
      </c>
      <c r="J610" s="29">
        <v>14</v>
      </c>
    </row>
    <row r="611" spans="1:10" x14ac:dyDescent="0.35">
      <c r="A611" s="26">
        <v>453758</v>
      </c>
      <c r="B611" s="22">
        <v>0</v>
      </c>
      <c r="C611" s="27" t="s">
        <v>899</v>
      </c>
      <c r="D611" s="28">
        <v>0</v>
      </c>
      <c r="E611" s="28" t="s">
        <v>429</v>
      </c>
      <c r="F611" s="28" t="s">
        <v>877</v>
      </c>
      <c r="G611" s="28">
        <v>14.5</v>
      </c>
      <c r="H611" s="28"/>
      <c r="I611" s="28">
        <v>14.5</v>
      </c>
      <c r="J611" s="29">
        <v>13.2</v>
      </c>
    </row>
    <row r="612" spans="1:10" x14ac:dyDescent="0.35">
      <c r="A612" s="26">
        <v>453759</v>
      </c>
      <c r="B612" s="22">
        <v>0</v>
      </c>
      <c r="C612" s="27" t="s">
        <v>900</v>
      </c>
      <c r="D612" s="28">
        <v>2</v>
      </c>
      <c r="E612" s="28" t="s">
        <v>429</v>
      </c>
      <c r="F612" s="28" t="s">
        <v>877</v>
      </c>
      <c r="G612" s="28">
        <v>13.200000000000001</v>
      </c>
      <c r="H612" s="28"/>
      <c r="I612" s="28">
        <v>13.200000000000001</v>
      </c>
      <c r="J612" s="29">
        <v>15.6</v>
      </c>
    </row>
    <row r="613" spans="1:10" ht="16.5" customHeight="1" x14ac:dyDescent="0.35">
      <c r="A613" s="26">
        <v>453760</v>
      </c>
      <c r="B613" s="22">
        <v>0</v>
      </c>
      <c r="C613" s="27" t="s">
        <v>901</v>
      </c>
      <c r="D613" s="28">
        <v>2</v>
      </c>
      <c r="E613" s="28" t="s">
        <v>429</v>
      </c>
      <c r="F613" s="28" t="s">
        <v>877</v>
      </c>
      <c r="G613" s="28">
        <v>13.200000000000001</v>
      </c>
      <c r="H613" s="28"/>
      <c r="I613" s="28">
        <v>13.200000000000001</v>
      </c>
      <c r="J613" s="29">
        <v>15.6</v>
      </c>
    </row>
    <row r="614" spans="1:10" ht="16.5" customHeight="1" x14ac:dyDescent="0.35">
      <c r="A614" s="26">
        <v>453761</v>
      </c>
      <c r="B614" s="22">
        <v>0</v>
      </c>
      <c r="C614" s="27" t="s">
        <v>902</v>
      </c>
      <c r="D614" s="28">
        <v>2</v>
      </c>
      <c r="E614" s="28" t="s">
        <v>429</v>
      </c>
      <c r="F614" s="28" t="s">
        <v>877</v>
      </c>
      <c r="G614" s="28">
        <v>13.200000000000001</v>
      </c>
      <c r="H614" s="28"/>
      <c r="I614" s="28">
        <v>13.200000000000001</v>
      </c>
      <c r="J614" s="29">
        <v>15.6</v>
      </c>
    </row>
    <row r="615" spans="1:10" ht="16.5" customHeight="1" x14ac:dyDescent="0.35">
      <c r="A615" s="26">
        <v>453762</v>
      </c>
      <c r="B615" s="22">
        <v>0</v>
      </c>
      <c r="C615" s="27" t="s">
        <v>903</v>
      </c>
      <c r="D615" s="28">
        <v>2</v>
      </c>
      <c r="E615" s="28" t="s">
        <v>429</v>
      </c>
      <c r="F615" s="28" t="s">
        <v>877</v>
      </c>
      <c r="G615" s="28">
        <v>13.200000000000001</v>
      </c>
      <c r="H615" s="28"/>
      <c r="I615" s="28">
        <v>13.200000000000001</v>
      </c>
      <c r="J615" s="29">
        <v>15.6</v>
      </c>
    </row>
    <row r="616" spans="1:10" ht="16.5" customHeight="1" x14ac:dyDescent="0.35">
      <c r="A616" s="26">
        <v>453763</v>
      </c>
      <c r="B616" s="22">
        <v>0</v>
      </c>
      <c r="C616" s="27" t="s">
        <v>904</v>
      </c>
      <c r="D616" s="28">
        <v>2</v>
      </c>
      <c r="E616" s="28" t="s">
        <v>429</v>
      </c>
      <c r="F616" s="28" t="s">
        <v>877</v>
      </c>
      <c r="G616" s="28">
        <v>13.2</v>
      </c>
      <c r="H616" s="28"/>
      <c r="I616" s="28">
        <v>13.2</v>
      </c>
      <c r="J616" s="29">
        <v>15.6</v>
      </c>
    </row>
    <row r="617" spans="1:10" ht="16.5" customHeight="1" x14ac:dyDescent="0.35">
      <c r="A617" s="26">
        <v>453764</v>
      </c>
      <c r="B617" s="22">
        <v>0</v>
      </c>
      <c r="C617" s="27" t="s">
        <v>905</v>
      </c>
      <c r="D617" s="28">
        <v>2</v>
      </c>
      <c r="E617" s="28" t="s">
        <v>429</v>
      </c>
      <c r="F617" s="28" t="s">
        <v>877</v>
      </c>
      <c r="G617" s="28">
        <v>13.200000000000001</v>
      </c>
      <c r="H617" s="28"/>
      <c r="I617" s="28">
        <v>13.200000000000001</v>
      </c>
      <c r="J617" s="29">
        <v>15.6</v>
      </c>
    </row>
    <row r="618" spans="1:10" ht="16.5" customHeight="1" x14ac:dyDescent="0.35">
      <c r="A618" s="26">
        <v>453765</v>
      </c>
      <c r="B618" s="22">
        <v>0</v>
      </c>
      <c r="C618" s="27" t="s">
        <v>906</v>
      </c>
      <c r="D618" s="28">
        <v>2</v>
      </c>
      <c r="E618" s="28" t="s">
        <v>429</v>
      </c>
      <c r="F618" s="28" t="s">
        <v>877</v>
      </c>
      <c r="G618" s="28">
        <v>13.200000000000001</v>
      </c>
      <c r="H618" s="28"/>
      <c r="I618" s="28">
        <v>13.8</v>
      </c>
      <c r="J618" s="29">
        <v>15.6</v>
      </c>
    </row>
    <row r="619" spans="1:10" x14ac:dyDescent="0.35">
      <c r="A619" s="26">
        <v>453766</v>
      </c>
      <c r="B619" s="22">
        <v>0</v>
      </c>
      <c r="C619" s="27" t="s">
        <v>907</v>
      </c>
      <c r="D619" s="28">
        <v>1</v>
      </c>
      <c r="E619" s="28" t="s">
        <v>429</v>
      </c>
      <c r="F619" s="28" t="s">
        <v>877</v>
      </c>
      <c r="G619" s="28">
        <v>16.600000000000001</v>
      </c>
      <c r="H619" s="28"/>
      <c r="I619" s="28">
        <v>16.600000000000001</v>
      </c>
      <c r="J619" s="29">
        <v>14.3</v>
      </c>
    </row>
    <row r="620" spans="1:10" x14ac:dyDescent="0.35">
      <c r="A620" s="26">
        <v>453767</v>
      </c>
      <c r="B620" s="22">
        <v>0</v>
      </c>
      <c r="C620" s="27" t="s">
        <v>908</v>
      </c>
      <c r="D620" s="28">
        <v>1</v>
      </c>
      <c r="E620" s="28" t="s">
        <v>429</v>
      </c>
      <c r="F620" s="28" t="s">
        <v>877</v>
      </c>
      <c r="G620" s="28">
        <v>16.600000000000001</v>
      </c>
      <c r="H620" s="28"/>
      <c r="I620" s="28">
        <v>16.600000000000001</v>
      </c>
      <c r="J620" s="29">
        <v>14.3</v>
      </c>
    </row>
    <row r="621" spans="1:10" x14ac:dyDescent="0.35">
      <c r="A621" s="26">
        <v>453768</v>
      </c>
      <c r="B621" s="22">
        <v>0</v>
      </c>
      <c r="C621" s="27" t="s">
        <v>909</v>
      </c>
      <c r="D621" s="28">
        <v>1</v>
      </c>
      <c r="E621" s="28" t="s">
        <v>429</v>
      </c>
      <c r="F621" s="28" t="s">
        <v>440</v>
      </c>
      <c r="G621" s="28">
        <v>12.6</v>
      </c>
      <c r="H621" s="28"/>
      <c r="I621" s="28">
        <v>12.6</v>
      </c>
      <c r="J621" s="29">
        <v>11.1</v>
      </c>
    </row>
    <row r="622" spans="1:10" x14ac:dyDescent="0.35">
      <c r="A622" s="26">
        <v>453769</v>
      </c>
      <c r="B622" s="22">
        <v>0</v>
      </c>
      <c r="C622" s="27" t="s">
        <v>910</v>
      </c>
      <c r="D622" s="28">
        <v>1</v>
      </c>
      <c r="E622" s="28" t="s">
        <v>429</v>
      </c>
      <c r="F622" s="28" t="s">
        <v>887</v>
      </c>
      <c r="G622" s="28">
        <v>12.700000000000001</v>
      </c>
      <c r="H622" s="28"/>
      <c r="I622" s="28">
        <v>12.4</v>
      </c>
      <c r="J622" s="29">
        <v>11.1</v>
      </c>
    </row>
    <row r="623" spans="1:10" x14ac:dyDescent="0.35">
      <c r="A623" s="26">
        <v>453770</v>
      </c>
      <c r="B623" s="22">
        <v>0</v>
      </c>
      <c r="C623" s="27" t="s">
        <v>911</v>
      </c>
      <c r="D623" s="28">
        <v>4</v>
      </c>
      <c r="E623" s="28" t="s">
        <v>429</v>
      </c>
      <c r="F623" s="28" t="s">
        <v>440</v>
      </c>
      <c r="G623" s="28">
        <v>4.8999999999999995</v>
      </c>
      <c r="H623" s="28"/>
      <c r="I623" s="28">
        <v>4.8999999999999995</v>
      </c>
      <c r="J623" s="29">
        <v>14.6</v>
      </c>
    </row>
    <row r="624" spans="1:10" x14ac:dyDescent="0.35">
      <c r="A624" s="26">
        <v>453771</v>
      </c>
      <c r="B624" s="22">
        <v>0</v>
      </c>
      <c r="C624" s="27" t="s">
        <v>912</v>
      </c>
      <c r="D624" s="28">
        <v>4</v>
      </c>
      <c r="E624" s="28" t="s">
        <v>429</v>
      </c>
      <c r="F624" s="28" t="s">
        <v>440</v>
      </c>
      <c r="G624" s="28">
        <v>21</v>
      </c>
      <c r="H624" s="28"/>
      <c r="I624" s="28">
        <v>21</v>
      </c>
      <c r="J624" s="29">
        <v>28</v>
      </c>
    </row>
    <row r="625" spans="1:10" x14ac:dyDescent="0.35">
      <c r="A625" s="26">
        <v>453772</v>
      </c>
      <c r="B625" s="22">
        <v>0</v>
      </c>
      <c r="C625" s="27" t="s">
        <v>913</v>
      </c>
      <c r="D625" s="28">
        <v>1</v>
      </c>
      <c r="E625" s="28" t="s">
        <v>429</v>
      </c>
      <c r="F625" s="28" t="s">
        <v>877</v>
      </c>
      <c r="G625" s="28">
        <v>21</v>
      </c>
      <c r="H625" s="28"/>
      <c r="I625" s="28">
        <v>21</v>
      </c>
      <c r="J625" s="29">
        <v>12</v>
      </c>
    </row>
    <row r="626" spans="1:10" x14ac:dyDescent="0.35">
      <c r="A626" s="26">
        <v>453773</v>
      </c>
      <c r="B626" s="22">
        <v>0</v>
      </c>
      <c r="C626" s="27" t="s">
        <v>914</v>
      </c>
      <c r="D626" s="28">
        <v>1</v>
      </c>
      <c r="E626" s="28" t="s">
        <v>429</v>
      </c>
      <c r="F626" s="28" t="s">
        <v>887</v>
      </c>
      <c r="G626" s="28">
        <v>28</v>
      </c>
      <c r="H626" s="28"/>
      <c r="I626" s="28">
        <v>28.02</v>
      </c>
      <c r="J626" s="29">
        <v>18</v>
      </c>
    </row>
    <row r="627" spans="1:10" x14ac:dyDescent="0.35">
      <c r="A627" s="26">
        <v>453774</v>
      </c>
      <c r="B627" s="22">
        <v>0</v>
      </c>
      <c r="C627" s="27" t="s">
        <v>915</v>
      </c>
      <c r="D627" s="28">
        <v>1</v>
      </c>
      <c r="E627" s="28" t="s">
        <v>429</v>
      </c>
      <c r="F627" s="28" t="s">
        <v>877</v>
      </c>
      <c r="G627" s="28">
        <v>28</v>
      </c>
      <c r="H627" s="28"/>
      <c r="I627" s="28">
        <v>28</v>
      </c>
      <c r="J627" s="29">
        <v>18</v>
      </c>
    </row>
    <row r="628" spans="1:10" x14ac:dyDescent="0.35">
      <c r="A628" s="26">
        <v>453775</v>
      </c>
      <c r="B628" s="22">
        <v>0</v>
      </c>
      <c r="C628" s="27" t="s">
        <v>916</v>
      </c>
      <c r="D628" s="28">
        <v>1</v>
      </c>
      <c r="E628" s="28" t="s">
        <v>429</v>
      </c>
      <c r="F628" s="28" t="s">
        <v>887</v>
      </c>
      <c r="G628" s="28">
        <v>24.7</v>
      </c>
      <c r="H628" s="28"/>
      <c r="I628" s="28">
        <v>32.659999999999997</v>
      </c>
      <c r="J628" s="29">
        <v>15.5</v>
      </c>
    </row>
    <row r="629" spans="1:10" x14ac:dyDescent="0.35">
      <c r="A629" s="26">
        <v>453776</v>
      </c>
      <c r="B629" s="22">
        <v>0</v>
      </c>
      <c r="C629" s="27" t="s">
        <v>917</v>
      </c>
      <c r="D629" s="28">
        <v>1</v>
      </c>
      <c r="E629" s="28" t="s">
        <v>429</v>
      </c>
      <c r="F629" s="28" t="s">
        <v>887</v>
      </c>
      <c r="G629" s="28">
        <v>28.4</v>
      </c>
      <c r="H629" s="28"/>
      <c r="I629" s="28">
        <v>25.36</v>
      </c>
      <c r="J629" s="29">
        <v>15.5</v>
      </c>
    </row>
    <row r="630" spans="1:10" x14ac:dyDescent="0.35">
      <c r="A630" s="26">
        <v>453777</v>
      </c>
      <c r="B630" s="22">
        <v>0</v>
      </c>
      <c r="C630" s="27" t="s">
        <v>918</v>
      </c>
      <c r="D630" s="28">
        <v>1</v>
      </c>
      <c r="E630" s="28" t="s">
        <v>429</v>
      </c>
      <c r="F630" s="28" t="s">
        <v>877</v>
      </c>
      <c r="G630" s="28">
        <v>28.4</v>
      </c>
      <c r="H630" s="28"/>
      <c r="I630" s="28">
        <v>28.4</v>
      </c>
      <c r="J630" s="29">
        <v>15.5</v>
      </c>
    </row>
    <row r="631" spans="1:10" x14ac:dyDescent="0.35">
      <c r="A631" s="26">
        <v>453778</v>
      </c>
      <c r="B631" s="22">
        <v>0</v>
      </c>
      <c r="C631" s="27" t="s">
        <v>919</v>
      </c>
      <c r="D631" s="28">
        <v>1</v>
      </c>
      <c r="E631" s="28" t="s">
        <v>429</v>
      </c>
      <c r="F631" s="28" t="s">
        <v>877</v>
      </c>
      <c r="G631" s="28">
        <v>28.4</v>
      </c>
      <c r="H631" s="28"/>
      <c r="I631" s="28">
        <v>28.4</v>
      </c>
      <c r="J631" s="29">
        <v>15.5</v>
      </c>
    </row>
    <row r="632" spans="1:10" x14ac:dyDescent="0.35">
      <c r="A632" s="26">
        <v>453779</v>
      </c>
      <c r="B632" s="22">
        <v>0</v>
      </c>
      <c r="C632" s="27" t="s">
        <v>920</v>
      </c>
      <c r="D632" s="28">
        <v>1</v>
      </c>
      <c r="E632" s="28" t="s">
        <v>429</v>
      </c>
      <c r="F632" s="28" t="s">
        <v>440</v>
      </c>
      <c r="G632" s="28">
        <v>28.4</v>
      </c>
      <c r="H632" s="28"/>
      <c r="I632" s="28">
        <v>28.4</v>
      </c>
      <c r="J632" s="29">
        <v>15.5</v>
      </c>
    </row>
    <row r="633" spans="1:10" x14ac:dyDescent="0.35">
      <c r="A633" s="26">
        <v>453780</v>
      </c>
      <c r="B633" s="22">
        <v>0</v>
      </c>
      <c r="C633" s="27" t="s">
        <v>921</v>
      </c>
      <c r="D633" s="28">
        <v>1</v>
      </c>
      <c r="E633" s="28" t="s">
        <v>429</v>
      </c>
      <c r="F633" s="28" t="s">
        <v>922</v>
      </c>
      <c r="G633" s="28">
        <v>18.2</v>
      </c>
      <c r="H633" s="28"/>
      <c r="I633" s="28">
        <v>17.600000000000001</v>
      </c>
      <c r="J633" s="29">
        <v>27</v>
      </c>
    </row>
    <row r="634" spans="1:10" x14ac:dyDescent="0.35">
      <c r="A634" s="26">
        <v>453781</v>
      </c>
      <c r="B634" s="22">
        <v>0</v>
      </c>
      <c r="C634" s="27" t="s">
        <v>923</v>
      </c>
      <c r="D634" s="28">
        <v>1</v>
      </c>
      <c r="E634" s="28" t="s">
        <v>429</v>
      </c>
      <c r="F634" s="28" t="s">
        <v>922</v>
      </c>
      <c r="G634" s="28">
        <v>4.8999999999999995</v>
      </c>
      <c r="H634" s="28"/>
      <c r="I634" s="28">
        <v>5.4</v>
      </c>
      <c r="J634" s="29">
        <v>27</v>
      </c>
    </row>
    <row r="635" spans="1:10" x14ac:dyDescent="0.35">
      <c r="A635" s="26">
        <v>453782</v>
      </c>
      <c r="B635" s="22">
        <v>0</v>
      </c>
      <c r="C635" s="27" t="s">
        <v>924</v>
      </c>
      <c r="D635" s="28">
        <v>1</v>
      </c>
      <c r="E635" s="28" t="s">
        <v>429</v>
      </c>
      <c r="F635" s="28" t="s">
        <v>922</v>
      </c>
      <c r="G635" s="28">
        <v>18.2</v>
      </c>
      <c r="H635" s="28"/>
      <c r="I635" s="28">
        <v>17.5</v>
      </c>
      <c r="J635" s="29">
        <v>27</v>
      </c>
    </row>
    <row r="636" spans="1:10" x14ac:dyDescent="0.35">
      <c r="A636" s="26">
        <v>453783</v>
      </c>
      <c r="B636" s="22">
        <v>0</v>
      </c>
      <c r="C636" s="27" t="s">
        <v>925</v>
      </c>
      <c r="D636" s="28">
        <v>1</v>
      </c>
      <c r="E636" s="28" t="s">
        <v>429</v>
      </c>
      <c r="F636" s="28" t="s">
        <v>922</v>
      </c>
      <c r="G636" s="28">
        <v>4.8999999999999995</v>
      </c>
      <c r="H636" s="28"/>
      <c r="I636" s="28">
        <v>5</v>
      </c>
      <c r="J636" s="29">
        <v>27</v>
      </c>
    </row>
    <row r="637" spans="1:10" x14ac:dyDescent="0.35">
      <c r="A637" s="26">
        <v>453784</v>
      </c>
      <c r="B637" s="22">
        <v>0</v>
      </c>
      <c r="C637" s="27" t="s">
        <v>926</v>
      </c>
      <c r="D637" s="28">
        <v>1</v>
      </c>
      <c r="E637" s="28" t="s">
        <v>429</v>
      </c>
      <c r="F637" s="28" t="s">
        <v>922</v>
      </c>
      <c r="G637" s="28">
        <v>18.2</v>
      </c>
      <c r="H637" s="28"/>
      <c r="I637" s="28">
        <v>17.63</v>
      </c>
      <c r="J637" s="29">
        <v>27</v>
      </c>
    </row>
    <row r="638" spans="1:10" x14ac:dyDescent="0.35">
      <c r="A638" s="26">
        <v>453785</v>
      </c>
      <c r="B638" s="22">
        <v>0</v>
      </c>
      <c r="C638" s="27" t="s">
        <v>927</v>
      </c>
      <c r="D638" s="28">
        <v>1</v>
      </c>
      <c r="E638" s="28" t="s">
        <v>429</v>
      </c>
      <c r="F638" s="28" t="s">
        <v>922</v>
      </c>
      <c r="G638" s="28">
        <v>4.8999999999999995</v>
      </c>
      <c r="H638" s="28"/>
      <c r="I638" s="28">
        <v>5.07</v>
      </c>
      <c r="J638" s="29">
        <v>27</v>
      </c>
    </row>
    <row r="639" spans="1:10" x14ac:dyDescent="0.35">
      <c r="A639" s="26">
        <v>453786</v>
      </c>
      <c r="B639" s="22">
        <v>0</v>
      </c>
      <c r="C639" s="27" t="s">
        <v>928</v>
      </c>
      <c r="D639" s="28">
        <v>1</v>
      </c>
      <c r="E639" s="28" t="s">
        <v>429</v>
      </c>
      <c r="F639" s="28" t="s">
        <v>922</v>
      </c>
      <c r="G639" s="28">
        <v>18.2</v>
      </c>
      <c r="H639" s="28"/>
      <c r="I639" s="28">
        <v>17.63</v>
      </c>
      <c r="J639" s="29">
        <v>5.9</v>
      </c>
    </row>
    <row r="640" spans="1:10" x14ac:dyDescent="0.35">
      <c r="A640" s="26">
        <v>453787</v>
      </c>
      <c r="B640" s="22">
        <v>0</v>
      </c>
      <c r="C640" s="27" t="s">
        <v>929</v>
      </c>
      <c r="D640" s="28">
        <v>1</v>
      </c>
      <c r="E640" s="28" t="s">
        <v>429</v>
      </c>
      <c r="F640" s="28" t="s">
        <v>922</v>
      </c>
      <c r="G640" s="28">
        <v>4.8999999999999995</v>
      </c>
      <c r="H640" s="28"/>
      <c r="I640" s="28">
        <v>5.5</v>
      </c>
      <c r="J640" s="29">
        <v>5.9</v>
      </c>
    </row>
    <row r="641" spans="1:10" x14ac:dyDescent="0.35">
      <c r="A641" s="26">
        <v>453788</v>
      </c>
      <c r="B641" s="22">
        <v>0</v>
      </c>
      <c r="C641" s="27" t="s">
        <v>930</v>
      </c>
      <c r="D641" s="28">
        <v>1</v>
      </c>
      <c r="E641" s="28" t="s">
        <v>429</v>
      </c>
      <c r="F641" s="28" t="s">
        <v>877</v>
      </c>
      <c r="G641" s="28">
        <v>32</v>
      </c>
      <c r="H641" s="28"/>
      <c r="I641" s="28">
        <v>33</v>
      </c>
      <c r="J641" s="29">
        <v>14.2</v>
      </c>
    </row>
    <row r="642" spans="1:10" x14ac:dyDescent="0.35">
      <c r="A642" s="26">
        <v>453789</v>
      </c>
      <c r="B642" s="22">
        <v>0</v>
      </c>
      <c r="C642" s="27" t="s">
        <v>931</v>
      </c>
      <c r="D642" s="28">
        <v>1</v>
      </c>
      <c r="E642" s="28" t="s">
        <v>429</v>
      </c>
      <c r="F642" s="28" t="s">
        <v>440</v>
      </c>
      <c r="G642" s="28">
        <v>32</v>
      </c>
      <c r="H642" s="28"/>
      <c r="I642" s="28">
        <v>32</v>
      </c>
      <c r="J642" s="29">
        <v>14.2</v>
      </c>
    </row>
    <row r="643" spans="1:10" x14ac:dyDescent="0.35">
      <c r="A643" s="26">
        <v>453790</v>
      </c>
      <c r="B643" s="22">
        <v>0</v>
      </c>
      <c r="C643" s="27" t="s">
        <v>932</v>
      </c>
      <c r="D643" s="28">
        <v>1</v>
      </c>
      <c r="E643" s="28" t="s">
        <v>429</v>
      </c>
      <c r="F643" s="28" t="s">
        <v>440</v>
      </c>
      <c r="G643" s="28">
        <v>32</v>
      </c>
      <c r="H643" s="28"/>
      <c r="I643" s="28">
        <v>32</v>
      </c>
      <c r="J643" s="29">
        <v>14.2</v>
      </c>
    </row>
    <row r="644" spans="1:10" x14ac:dyDescent="0.35">
      <c r="A644" s="26">
        <v>453791</v>
      </c>
      <c r="B644" s="22">
        <v>0</v>
      </c>
      <c r="C644" s="27" t="s">
        <v>933</v>
      </c>
      <c r="D644" s="28">
        <v>1</v>
      </c>
      <c r="E644" s="28" t="s">
        <v>429</v>
      </c>
      <c r="F644" s="28" t="s">
        <v>877</v>
      </c>
      <c r="G644" s="28">
        <v>32</v>
      </c>
      <c r="H644" s="28"/>
      <c r="I644" s="28">
        <v>33</v>
      </c>
      <c r="J644" s="29">
        <v>14.2</v>
      </c>
    </row>
    <row r="645" spans="1:10" x14ac:dyDescent="0.35">
      <c r="A645" s="26">
        <v>453792</v>
      </c>
      <c r="B645" s="22">
        <v>0</v>
      </c>
      <c r="C645" s="27" t="s">
        <v>934</v>
      </c>
      <c r="D645" s="28">
        <v>1</v>
      </c>
      <c r="E645" s="28" t="s">
        <v>429</v>
      </c>
      <c r="F645" s="28" t="s">
        <v>877</v>
      </c>
      <c r="G645" s="28">
        <v>32</v>
      </c>
      <c r="H645" s="28"/>
      <c r="I645" s="28">
        <v>33</v>
      </c>
      <c r="J645" s="29">
        <v>14.2</v>
      </c>
    </row>
    <row r="646" spans="1:10" x14ac:dyDescent="0.35">
      <c r="A646" s="26">
        <v>453794</v>
      </c>
      <c r="B646" s="22">
        <v>0</v>
      </c>
      <c r="C646" s="27" t="s">
        <v>935</v>
      </c>
      <c r="D646" s="28">
        <v>1</v>
      </c>
      <c r="E646" s="28" t="s">
        <v>429</v>
      </c>
      <c r="F646" s="28" t="s">
        <v>877</v>
      </c>
      <c r="G646" s="28">
        <v>38.5</v>
      </c>
      <c r="H646" s="28"/>
      <c r="I646" s="28">
        <v>38.5</v>
      </c>
      <c r="J646" s="29">
        <v>14.9</v>
      </c>
    </row>
    <row r="647" spans="1:10" x14ac:dyDescent="0.35">
      <c r="A647" s="26">
        <v>453795</v>
      </c>
      <c r="B647" s="22">
        <v>0</v>
      </c>
      <c r="C647" s="27" t="s">
        <v>936</v>
      </c>
      <c r="D647" s="28">
        <v>1</v>
      </c>
      <c r="E647" s="28" t="s">
        <v>429</v>
      </c>
      <c r="F647" s="28" t="s">
        <v>877</v>
      </c>
      <c r="G647" s="28">
        <v>38.5</v>
      </c>
      <c r="H647" s="28"/>
      <c r="I647" s="28">
        <v>40</v>
      </c>
      <c r="J647" s="29">
        <v>14.9</v>
      </c>
    </row>
    <row r="648" spans="1:10" x14ac:dyDescent="0.35">
      <c r="A648" s="26">
        <v>453796</v>
      </c>
      <c r="B648" s="22">
        <v>0</v>
      </c>
      <c r="C648" s="27" t="s">
        <v>937</v>
      </c>
      <c r="D648" s="28">
        <v>16</v>
      </c>
      <c r="E648" s="28" t="s">
        <v>429</v>
      </c>
      <c r="F648" s="28" t="s">
        <v>877</v>
      </c>
      <c r="G648" s="28">
        <v>4</v>
      </c>
      <c r="H648" s="28"/>
      <c r="I648" s="33">
        <v>4</v>
      </c>
      <c r="J648" s="29">
        <v>20.8</v>
      </c>
    </row>
    <row r="649" spans="1:10" x14ac:dyDescent="0.35">
      <c r="A649" s="26">
        <v>453797</v>
      </c>
      <c r="B649" s="22">
        <v>0</v>
      </c>
      <c r="C649" s="27" t="s">
        <v>938</v>
      </c>
      <c r="D649" s="28">
        <v>16</v>
      </c>
      <c r="E649" s="28" t="s">
        <v>429</v>
      </c>
      <c r="F649" s="28" t="s">
        <v>877</v>
      </c>
      <c r="G649" s="28">
        <v>3.5</v>
      </c>
      <c r="H649" s="28"/>
      <c r="I649" s="33">
        <v>4</v>
      </c>
      <c r="J649" s="29">
        <v>16.704000000000001</v>
      </c>
    </row>
    <row r="650" spans="1:10" x14ac:dyDescent="0.35">
      <c r="A650" s="26">
        <v>453798</v>
      </c>
      <c r="B650" s="22">
        <v>0</v>
      </c>
      <c r="C650" s="27" t="s">
        <v>939</v>
      </c>
      <c r="D650" s="28">
        <v>1</v>
      </c>
      <c r="E650" s="28" t="s">
        <v>429</v>
      </c>
      <c r="F650" s="28" t="s">
        <v>883</v>
      </c>
      <c r="G650" s="28">
        <v>46</v>
      </c>
      <c r="H650" s="28"/>
      <c r="I650" s="28">
        <v>45.98</v>
      </c>
      <c r="J650" s="29">
        <v>14.9</v>
      </c>
    </row>
    <row r="651" spans="1:10" x14ac:dyDescent="0.35">
      <c r="A651" s="26">
        <v>453799</v>
      </c>
      <c r="B651" s="22">
        <v>0</v>
      </c>
      <c r="C651" s="27" t="s">
        <v>940</v>
      </c>
      <c r="D651" s="28">
        <v>1</v>
      </c>
      <c r="E651" s="28" t="s">
        <v>429</v>
      </c>
      <c r="F651" s="28" t="s">
        <v>877</v>
      </c>
      <c r="G651" s="28">
        <v>32</v>
      </c>
      <c r="H651" s="28"/>
      <c r="I651" s="28">
        <v>32</v>
      </c>
      <c r="J651" s="29">
        <v>14.1</v>
      </c>
    </row>
    <row r="652" spans="1:10" x14ac:dyDescent="0.35">
      <c r="A652" s="26">
        <v>453800</v>
      </c>
      <c r="B652" s="22">
        <v>0</v>
      </c>
      <c r="C652" s="27" t="s">
        <v>941</v>
      </c>
      <c r="D652" s="28">
        <v>1</v>
      </c>
      <c r="E652" s="28" t="s">
        <v>429</v>
      </c>
      <c r="F652" s="28" t="s">
        <v>877</v>
      </c>
      <c r="G652" s="28">
        <v>41.2</v>
      </c>
      <c r="H652" s="28"/>
      <c r="I652" s="28">
        <v>41.2</v>
      </c>
      <c r="J652" s="29">
        <v>23</v>
      </c>
    </row>
    <row r="653" spans="1:10" x14ac:dyDescent="0.35">
      <c r="A653" s="26">
        <v>453801</v>
      </c>
      <c r="B653" s="22">
        <v>0</v>
      </c>
      <c r="C653" s="27" t="s">
        <v>942</v>
      </c>
      <c r="D653" s="28">
        <v>1</v>
      </c>
      <c r="E653" s="28" t="s">
        <v>429</v>
      </c>
      <c r="F653" s="28" t="s">
        <v>877</v>
      </c>
      <c r="G653" s="28">
        <v>41.2</v>
      </c>
      <c r="H653" s="28"/>
      <c r="I653" s="28">
        <v>41.2</v>
      </c>
      <c r="J653" s="29">
        <v>23</v>
      </c>
    </row>
    <row r="654" spans="1:10" x14ac:dyDescent="0.35">
      <c r="A654" s="26">
        <v>453802</v>
      </c>
      <c r="B654" s="22">
        <v>0</v>
      </c>
      <c r="C654" s="27" t="s">
        <v>943</v>
      </c>
      <c r="D654" s="28">
        <v>1</v>
      </c>
      <c r="E654" s="28" t="s">
        <v>429</v>
      </c>
      <c r="F654" s="28" t="s">
        <v>877</v>
      </c>
      <c r="G654" s="28">
        <v>41.2</v>
      </c>
      <c r="H654" s="28"/>
      <c r="I654" s="28">
        <v>41.2</v>
      </c>
      <c r="J654" s="29">
        <v>23</v>
      </c>
    </row>
    <row r="655" spans="1:10" x14ac:dyDescent="0.35">
      <c r="A655" s="26">
        <v>453803</v>
      </c>
      <c r="B655" s="22">
        <v>0</v>
      </c>
      <c r="C655" s="27" t="s">
        <v>944</v>
      </c>
      <c r="D655" s="28">
        <v>4</v>
      </c>
      <c r="E655" s="28" t="s">
        <v>429</v>
      </c>
      <c r="F655" s="28" t="s">
        <v>922</v>
      </c>
      <c r="G655" s="28">
        <v>4.6999999999999993</v>
      </c>
      <c r="H655" s="28"/>
      <c r="I655" s="28">
        <v>4.72</v>
      </c>
      <c r="J655" s="29">
        <v>14.9</v>
      </c>
    </row>
    <row r="656" spans="1:10" x14ac:dyDescent="0.35">
      <c r="A656" s="26">
        <v>453804</v>
      </c>
      <c r="B656" s="22">
        <v>0</v>
      </c>
      <c r="C656" s="27" t="s">
        <v>945</v>
      </c>
      <c r="D656" s="28">
        <v>4</v>
      </c>
      <c r="E656" s="28" t="s">
        <v>429</v>
      </c>
      <c r="F656" s="28" t="s">
        <v>922</v>
      </c>
      <c r="G656" s="28">
        <v>4.6999999999999993</v>
      </c>
      <c r="H656" s="28"/>
      <c r="I656" s="28">
        <v>4.7</v>
      </c>
      <c r="J656" s="29">
        <v>14.9</v>
      </c>
    </row>
    <row r="657" spans="1:10" x14ac:dyDescent="0.35">
      <c r="A657" s="26">
        <v>453805</v>
      </c>
      <c r="B657" s="22">
        <v>0</v>
      </c>
      <c r="C657" s="27" t="s">
        <v>946</v>
      </c>
      <c r="D657" s="28">
        <v>4</v>
      </c>
      <c r="E657" s="28" t="s">
        <v>429</v>
      </c>
      <c r="F657" s="28" t="s">
        <v>922</v>
      </c>
      <c r="G657" s="28">
        <v>4.6999999999999993</v>
      </c>
      <c r="H657" s="28"/>
      <c r="I657" s="28">
        <v>4.7</v>
      </c>
      <c r="J657" s="29">
        <v>14.9</v>
      </c>
    </row>
    <row r="658" spans="1:10" x14ac:dyDescent="0.35">
      <c r="A658" s="26">
        <v>453806</v>
      </c>
      <c r="B658" s="22">
        <v>0</v>
      </c>
      <c r="C658" s="27" t="s">
        <v>947</v>
      </c>
      <c r="D658" s="28">
        <v>4</v>
      </c>
      <c r="E658" s="28" t="s">
        <v>429</v>
      </c>
      <c r="F658" s="28" t="s">
        <v>922</v>
      </c>
      <c r="G658" s="28">
        <v>4.6999999999999993</v>
      </c>
      <c r="H658" s="28"/>
      <c r="I658" s="28">
        <v>4.7</v>
      </c>
      <c r="J658" s="29">
        <v>14.9</v>
      </c>
    </row>
    <row r="659" spans="1:10" x14ac:dyDescent="0.35">
      <c r="A659" s="26">
        <v>453807</v>
      </c>
      <c r="B659" s="22">
        <v>0</v>
      </c>
      <c r="C659" s="27" t="s">
        <v>948</v>
      </c>
      <c r="D659" s="28">
        <v>1</v>
      </c>
      <c r="E659" s="28" t="s">
        <v>429</v>
      </c>
      <c r="F659" s="28" t="s">
        <v>877</v>
      </c>
      <c r="G659" s="28">
        <v>57.7</v>
      </c>
      <c r="H659" s="28"/>
      <c r="I659" s="28">
        <v>62.4</v>
      </c>
      <c r="J659" s="29">
        <v>19.2</v>
      </c>
    </row>
    <row r="660" spans="1:10" x14ac:dyDescent="0.35">
      <c r="A660" s="26">
        <v>453808</v>
      </c>
      <c r="B660" s="22">
        <v>0</v>
      </c>
      <c r="C660" s="27" t="s">
        <v>949</v>
      </c>
      <c r="D660" s="28">
        <v>1</v>
      </c>
      <c r="E660" s="28" t="s">
        <v>429</v>
      </c>
      <c r="F660" s="28" t="s">
        <v>877</v>
      </c>
      <c r="G660" s="28">
        <v>70.099999999999994</v>
      </c>
      <c r="H660" s="28"/>
      <c r="I660" s="28">
        <v>71</v>
      </c>
      <c r="J660" s="29">
        <v>19.7</v>
      </c>
    </row>
    <row r="661" spans="1:10" x14ac:dyDescent="0.35">
      <c r="A661" s="26">
        <v>453811</v>
      </c>
      <c r="B661" s="22">
        <v>0</v>
      </c>
      <c r="C661" s="27" t="s">
        <v>950</v>
      </c>
      <c r="D661" s="28">
        <v>1</v>
      </c>
      <c r="E661" s="28" t="s">
        <v>864</v>
      </c>
      <c r="F661" s="28" t="s">
        <v>951</v>
      </c>
      <c r="G661" s="28">
        <v>38</v>
      </c>
      <c r="H661" s="28"/>
      <c r="I661" s="28">
        <v>60.3</v>
      </c>
      <c r="J661" s="29">
        <v>30</v>
      </c>
    </row>
    <row r="662" spans="1:10" x14ac:dyDescent="0.35">
      <c r="A662" s="26">
        <v>453813</v>
      </c>
      <c r="B662" s="22">
        <v>0</v>
      </c>
      <c r="C662" s="27" t="s">
        <v>952</v>
      </c>
      <c r="D662" s="28">
        <v>2</v>
      </c>
      <c r="E662" s="28" t="s">
        <v>429</v>
      </c>
      <c r="F662" s="28" t="s">
        <v>872</v>
      </c>
      <c r="G662" s="28">
        <v>12.8</v>
      </c>
      <c r="H662" s="28"/>
      <c r="I662" s="28">
        <v>12.8</v>
      </c>
      <c r="J662" s="29">
        <v>13</v>
      </c>
    </row>
    <row r="663" spans="1:10" x14ac:dyDescent="0.35">
      <c r="A663" s="26">
        <v>453814</v>
      </c>
      <c r="B663" s="22">
        <v>0</v>
      </c>
      <c r="C663" s="27" t="s">
        <v>953</v>
      </c>
      <c r="D663" s="28">
        <v>4</v>
      </c>
      <c r="E663" s="28" t="s">
        <v>429</v>
      </c>
      <c r="F663" s="28" t="s">
        <v>922</v>
      </c>
      <c r="G663" s="28">
        <v>12.1</v>
      </c>
      <c r="H663" s="28"/>
      <c r="I663" s="28">
        <v>12.4</v>
      </c>
      <c r="J663" s="29">
        <v>19.399999999999999</v>
      </c>
    </row>
    <row r="664" spans="1:10" x14ac:dyDescent="0.35">
      <c r="A664" s="26">
        <v>453815</v>
      </c>
      <c r="B664" s="22">
        <v>0</v>
      </c>
      <c r="C664" s="27" t="s">
        <v>954</v>
      </c>
      <c r="D664" s="28">
        <v>2</v>
      </c>
      <c r="E664" s="28" t="s">
        <v>429</v>
      </c>
      <c r="F664" s="28" t="s">
        <v>877</v>
      </c>
      <c r="G664" s="28">
        <v>16.2</v>
      </c>
      <c r="H664" s="28"/>
      <c r="I664" s="28">
        <v>16.2</v>
      </c>
      <c r="J664" s="29">
        <v>15.7</v>
      </c>
    </row>
    <row r="665" spans="1:10" x14ac:dyDescent="0.35">
      <c r="A665" s="26">
        <v>453816</v>
      </c>
      <c r="B665" s="22">
        <v>0</v>
      </c>
      <c r="C665" s="27" t="s">
        <v>955</v>
      </c>
      <c r="D665" s="28">
        <v>2</v>
      </c>
      <c r="E665" s="28" t="s">
        <v>429</v>
      </c>
      <c r="F665" s="28" t="s">
        <v>877</v>
      </c>
      <c r="G665" s="28">
        <v>16.2</v>
      </c>
      <c r="H665" s="28"/>
      <c r="I665" s="28">
        <v>16.2</v>
      </c>
      <c r="J665" s="29">
        <v>15.7</v>
      </c>
    </row>
    <row r="666" spans="1:10" x14ac:dyDescent="0.35">
      <c r="A666" s="26">
        <v>453817</v>
      </c>
      <c r="B666" s="22">
        <v>0</v>
      </c>
      <c r="C666" s="27" t="s">
        <v>956</v>
      </c>
      <c r="D666" s="28">
        <v>2</v>
      </c>
      <c r="E666" s="28" t="s">
        <v>429</v>
      </c>
      <c r="F666" s="28" t="s">
        <v>877</v>
      </c>
      <c r="G666" s="28">
        <v>16.2</v>
      </c>
      <c r="H666" s="28"/>
      <c r="I666" s="28">
        <v>16.2</v>
      </c>
      <c r="J666" s="29">
        <v>15.7</v>
      </c>
    </row>
    <row r="667" spans="1:10" x14ac:dyDescent="0.35">
      <c r="A667" s="26">
        <v>453820</v>
      </c>
      <c r="B667" s="22">
        <v>0</v>
      </c>
      <c r="C667" s="27" t="s">
        <v>957</v>
      </c>
      <c r="D667" s="28">
        <v>1</v>
      </c>
      <c r="E667" s="28" t="s">
        <v>429</v>
      </c>
      <c r="F667" s="28" t="s">
        <v>467</v>
      </c>
      <c r="G667" s="28">
        <v>20</v>
      </c>
      <c r="H667" s="28"/>
      <c r="I667" s="28">
        <v>20</v>
      </c>
      <c r="J667" s="29">
        <v>17.600000000000001</v>
      </c>
    </row>
    <row r="668" spans="1:10" x14ac:dyDescent="0.35">
      <c r="A668" s="26">
        <v>453821</v>
      </c>
      <c r="B668" s="22">
        <v>0</v>
      </c>
      <c r="C668" s="27" t="s">
        <v>958</v>
      </c>
      <c r="D668" s="28">
        <v>2</v>
      </c>
      <c r="E668" s="28" t="s">
        <v>429</v>
      </c>
      <c r="F668" s="28" t="s">
        <v>877</v>
      </c>
      <c r="G668" s="28">
        <v>21</v>
      </c>
      <c r="H668" s="28"/>
      <c r="I668" s="28">
        <v>21</v>
      </c>
      <c r="J668" s="29">
        <v>14</v>
      </c>
    </row>
    <row r="669" spans="1:10" x14ac:dyDescent="0.35">
      <c r="A669" s="26">
        <v>453825</v>
      </c>
      <c r="B669" s="22">
        <v>0</v>
      </c>
      <c r="C669" s="27" t="s">
        <v>959</v>
      </c>
      <c r="D669" s="28">
        <v>1</v>
      </c>
      <c r="E669" s="28" t="s">
        <v>429</v>
      </c>
      <c r="F669" s="28" t="s">
        <v>877</v>
      </c>
      <c r="G669" s="28">
        <v>23.2</v>
      </c>
      <c r="H669" s="28"/>
      <c r="I669" s="28">
        <v>23.2</v>
      </c>
      <c r="J669" s="29">
        <v>14</v>
      </c>
    </row>
    <row r="670" spans="1:10" x14ac:dyDescent="0.35">
      <c r="A670" s="26">
        <v>453826</v>
      </c>
      <c r="B670" s="22">
        <v>0</v>
      </c>
      <c r="C670" s="27" t="s">
        <v>960</v>
      </c>
      <c r="D670" s="28">
        <v>1</v>
      </c>
      <c r="E670" s="28" t="s">
        <v>429</v>
      </c>
      <c r="F670" s="28" t="s">
        <v>877</v>
      </c>
      <c r="G670" s="28">
        <v>23.2</v>
      </c>
      <c r="H670" s="28"/>
      <c r="I670" s="28">
        <v>24.32</v>
      </c>
      <c r="J670" s="29">
        <v>14</v>
      </c>
    </row>
    <row r="671" spans="1:10" x14ac:dyDescent="0.35">
      <c r="A671" s="26">
        <v>453827</v>
      </c>
      <c r="B671" s="22">
        <v>0</v>
      </c>
      <c r="C671" s="27" t="s">
        <v>961</v>
      </c>
      <c r="D671" s="28">
        <v>1</v>
      </c>
      <c r="E671" s="28" t="s">
        <v>429</v>
      </c>
      <c r="F671" s="28" t="s">
        <v>877</v>
      </c>
      <c r="G671" s="28">
        <v>23.2</v>
      </c>
      <c r="H671" s="28"/>
      <c r="I671" s="28">
        <v>23.2</v>
      </c>
      <c r="J671" s="29">
        <v>14</v>
      </c>
    </row>
    <row r="672" spans="1:10" x14ac:dyDescent="0.35">
      <c r="A672" s="26">
        <v>453828</v>
      </c>
      <c r="B672" s="22">
        <v>0</v>
      </c>
      <c r="C672" s="27" t="s">
        <v>962</v>
      </c>
      <c r="D672" s="28">
        <v>1</v>
      </c>
      <c r="E672" s="28" t="s">
        <v>429</v>
      </c>
      <c r="F672" s="28" t="s">
        <v>440</v>
      </c>
      <c r="G672" s="28">
        <v>24.2</v>
      </c>
      <c r="H672" s="28"/>
      <c r="I672" s="28">
        <v>24.2</v>
      </c>
      <c r="J672" s="29">
        <v>13.6</v>
      </c>
    </row>
    <row r="673" spans="1:10" x14ac:dyDescent="0.35">
      <c r="A673" s="26">
        <v>453829</v>
      </c>
      <c r="B673" s="22">
        <v>0</v>
      </c>
      <c r="C673" s="27" t="s">
        <v>963</v>
      </c>
      <c r="D673" s="28">
        <v>1</v>
      </c>
      <c r="E673" s="28" t="s">
        <v>429</v>
      </c>
      <c r="F673" s="28" t="s">
        <v>440</v>
      </c>
      <c r="G673" s="28">
        <v>24.2</v>
      </c>
      <c r="H673" s="28"/>
      <c r="I673" s="28">
        <v>24.2</v>
      </c>
      <c r="J673" s="29">
        <v>11.9</v>
      </c>
    </row>
    <row r="674" spans="1:10" x14ac:dyDescent="0.35">
      <c r="A674" s="26">
        <v>453830</v>
      </c>
      <c r="B674" s="22">
        <v>0</v>
      </c>
      <c r="C674" s="27" t="s">
        <v>964</v>
      </c>
      <c r="D674" s="28">
        <v>1</v>
      </c>
      <c r="E674" s="28" t="s">
        <v>429</v>
      </c>
      <c r="F674" s="28" t="s">
        <v>440</v>
      </c>
      <c r="G674" s="28">
        <v>24.2</v>
      </c>
      <c r="H674" s="28"/>
      <c r="I674" s="28">
        <v>24.2</v>
      </c>
      <c r="J674" s="29">
        <v>13.6</v>
      </c>
    </row>
    <row r="675" spans="1:10" x14ac:dyDescent="0.35">
      <c r="A675" s="26">
        <v>453831</v>
      </c>
      <c r="B675" s="22">
        <v>0</v>
      </c>
      <c r="C675" s="27" t="s">
        <v>965</v>
      </c>
      <c r="D675" s="28">
        <v>1</v>
      </c>
      <c r="E675" s="28" t="s">
        <v>429</v>
      </c>
      <c r="F675" s="28" t="s">
        <v>440</v>
      </c>
      <c r="G675" s="28">
        <v>24.2</v>
      </c>
      <c r="H675" s="28"/>
      <c r="I675" s="28">
        <v>24.2</v>
      </c>
      <c r="J675" s="29">
        <v>11.9</v>
      </c>
    </row>
    <row r="676" spans="1:10" x14ac:dyDescent="0.35">
      <c r="A676" s="26">
        <v>453832</v>
      </c>
      <c r="B676" s="22">
        <v>0</v>
      </c>
      <c r="C676" s="27" t="s">
        <v>966</v>
      </c>
      <c r="D676" s="28">
        <v>1</v>
      </c>
      <c r="E676" s="28" t="s">
        <v>429</v>
      </c>
      <c r="F676" s="28" t="s">
        <v>440</v>
      </c>
      <c r="G676" s="28">
        <v>24.2</v>
      </c>
      <c r="H676" s="28"/>
      <c r="I676" s="28">
        <v>24.2</v>
      </c>
      <c r="J676" s="29">
        <v>13.6</v>
      </c>
    </row>
    <row r="677" spans="1:10" x14ac:dyDescent="0.35">
      <c r="A677" s="26">
        <v>453833</v>
      </c>
      <c r="B677" s="22">
        <v>0</v>
      </c>
      <c r="C677" s="27" t="s">
        <v>967</v>
      </c>
      <c r="D677" s="28">
        <v>1</v>
      </c>
      <c r="E677" s="28" t="s">
        <v>429</v>
      </c>
      <c r="F677" s="28" t="s">
        <v>877</v>
      </c>
      <c r="G677" s="28">
        <v>24</v>
      </c>
      <c r="H677" s="28"/>
      <c r="I677" s="28">
        <v>24</v>
      </c>
      <c r="J677" s="29">
        <v>14</v>
      </c>
    </row>
    <row r="678" spans="1:10" x14ac:dyDescent="0.35">
      <c r="A678" s="26">
        <v>453835</v>
      </c>
      <c r="B678" s="22">
        <v>0</v>
      </c>
      <c r="C678" s="27" t="s">
        <v>968</v>
      </c>
      <c r="D678" s="28">
        <v>1</v>
      </c>
      <c r="E678" s="28" t="s">
        <v>429</v>
      </c>
      <c r="F678" s="28" t="s">
        <v>877</v>
      </c>
      <c r="G678" s="28">
        <v>24</v>
      </c>
      <c r="H678" s="28"/>
      <c r="I678" s="28">
        <v>24</v>
      </c>
      <c r="J678" s="29">
        <v>13.7</v>
      </c>
    </row>
    <row r="679" spans="1:10" x14ac:dyDescent="0.35">
      <c r="A679" s="26">
        <v>453836</v>
      </c>
      <c r="B679" s="22">
        <v>0</v>
      </c>
      <c r="C679" s="27" t="s">
        <v>969</v>
      </c>
      <c r="D679" s="28">
        <v>1</v>
      </c>
      <c r="E679" s="28" t="s">
        <v>429</v>
      </c>
      <c r="F679" s="28" t="s">
        <v>877</v>
      </c>
      <c r="G679" s="28">
        <v>24</v>
      </c>
      <c r="H679" s="28"/>
      <c r="I679" s="28">
        <v>24.6</v>
      </c>
      <c r="J679" s="29">
        <v>13.7</v>
      </c>
    </row>
    <row r="680" spans="1:10" x14ac:dyDescent="0.35">
      <c r="A680" s="26">
        <v>453837</v>
      </c>
      <c r="B680" s="22">
        <v>0</v>
      </c>
      <c r="C680" s="27" t="s">
        <v>970</v>
      </c>
      <c r="D680" s="28">
        <v>1</v>
      </c>
      <c r="E680" s="28" t="s">
        <v>429</v>
      </c>
      <c r="F680" s="28" t="s">
        <v>877</v>
      </c>
      <c r="G680" s="28">
        <v>32.6</v>
      </c>
      <c r="H680" s="28"/>
      <c r="I680" s="28">
        <v>32.6</v>
      </c>
      <c r="J680" s="29">
        <v>12.5</v>
      </c>
    </row>
    <row r="681" spans="1:10" x14ac:dyDescent="0.35">
      <c r="A681" s="26">
        <v>453839</v>
      </c>
      <c r="B681" s="22">
        <v>0</v>
      </c>
      <c r="C681" s="27" t="s">
        <v>971</v>
      </c>
      <c r="D681" s="28">
        <v>1</v>
      </c>
      <c r="E681" s="28" t="s">
        <v>429</v>
      </c>
      <c r="F681" s="28" t="s">
        <v>877</v>
      </c>
      <c r="G681" s="28">
        <v>36</v>
      </c>
      <c r="H681" s="28"/>
      <c r="I681" s="28">
        <v>36</v>
      </c>
      <c r="J681" s="29">
        <v>12.5</v>
      </c>
    </row>
    <row r="682" spans="1:10" x14ac:dyDescent="0.35">
      <c r="A682" s="26">
        <v>453840</v>
      </c>
      <c r="B682" s="22">
        <v>0</v>
      </c>
      <c r="C682" s="27" t="s">
        <v>972</v>
      </c>
      <c r="D682" s="28">
        <v>1</v>
      </c>
      <c r="E682" s="28" t="s">
        <v>429</v>
      </c>
      <c r="F682" s="28" t="s">
        <v>877</v>
      </c>
      <c r="G682" s="28">
        <v>36</v>
      </c>
      <c r="H682" s="28"/>
      <c r="I682" s="28">
        <v>34.5</v>
      </c>
      <c r="J682" s="29">
        <v>12.5</v>
      </c>
    </row>
    <row r="683" spans="1:10" x14ac:dyDescent="0.35">
      <c r="A683" s="26">
        <v>453841</v>
      </c>
      <c r="B683" s="22">
        <v>0</v>
      </c>
      <c r="C683" s="27" t="s">
        <v>973</v>
      </c>
      <c r="D683" s="28">
        <v>1</v>
      </c>
      <c r="E683" s="28" t="s">
        <v>429</v>
      </c>
      <c r="F683" s="28" t="s">
        <v>877</v>
      </c>
      <c r="G683" s="28">
        <v>36</v>
      </c>
      <c r="H683" s="28"/>
      <c r="I683" s="28">
        <v>36</v>
      </c>
      <c r="J683" s="29">
        <v>12.5</v>
      </c>
    </row>
    <row r="684" spans="1:10" x14ac:dyDescent="0.35">
      <c r="A684" s="26">
        <v>453842</v>
      </c>
      <c r="B684" s="22">
        <v>0</v>
      </c>
      <c r="C684" s="27" t="s">
        <v>974</v>
      </c>
      <c r="D684" s="28">
        <v>2</v>
      </c>
      <c r="E684" s="28" t="s">
        <v>429</v>
      </c>
      <c r="F684" s="28" t="s">
        <v>872</v>
      </c>
      <c r="G684" s="28">
        <v>33</v>
      </c>
      <c r="H684" s="28"/>
      <c r="I684" s="28">
        <v>33</v>
      </c>
      <c r="J684" s="29">
        <v>20</v>
      </c>
    </row>
    <row r="685" spans="1:10" x14ac:dyDescent="0.35">
      <c r="A685" s="26">
        <v>453843</v>
      </c>
      <c r="B685" s="22">
        <v>0</v>
      </c>
      <c r="C685" s="27" t="s">
        <v>975</v>
      </c>
      <c r="D685" s="28">
        <v>1</v>
      </c>
      <c r="E685" s="28" t="s">
        <v>429</v>
      </c>
      <c r="F685" s="28" t="s">
        <v>877</v>
      </c>
      <c r="G685" s="28">
        <v>40</v>
      </c>
      <c r="H685" s="28"/>
      <c r="I685" s="28">
        <v>40</v>
      </c>
      <c r="J685" s="29">
        <v>12</v>
      </c>
    </row>
    <row r="686" spans="1:10" x14ac:dyDescent="0.35">
      <c r="A686" s="26">
        <v>453844</v>
      </c>
      <c r="B686" s="22">
        <v>0</v>
      </c>
      <c r="C686" s="27" t="s">
        <v>976</v>
      </c>
      <c r="D686" s="28">
        <v>1</v>
      </c>
      <c r="E686" s="28" t="s">
        <v>429</v>
      </c>
      <c r="F686" s="28" t="s">
        <v>440</v>
      </c>
      <c r="G686" s="28">
        <v>48.5</v>
      </c>
      <c r="H686" s="28"/>
      <c r="I686" s="28">
        <v>51</v>
      </c>
      <c r="J686" s="29">
        <v>15.5</v>
      </c>
    </row>
    <row r="687" spans="1:10" x14ac:dyDescent="0.35">
      <c r="A687" s="26">
        <v>453845</v>
      </c>
      <c r="B687" s="22">
        <v>0</v>
      </c>
      <c r="C687" s="27" t="s">
        <v>977</v>
      </c>
      <c r="D687" s="28">
        <v>1</v>
      </c>
      <c r="E687" s="28" t="s">
        <v>429</v>
      </c>
      <c r="F687" s="28" t="s">
        <v>440</v>
      </c>
      <c r="G687" s="28">
        <v>48.5</v>
      </c>
      <c r="H687" s="28"/>
      <c r="I687" s="28">
        <v>51.04</v>
      </c>
      <c r="J687" s="29">
        <v>15.5</v>
      </c>
    </row>
    <row r="688" spans="1:10" x14ac:dyDescent="0.35">
      <c r="A688" s="26">
        <v>453846</v>
      </c>
      <c r="B688" s="22">
        <v>0</v>
      </c>
      <c r="C688" s="27" t="s">
        <v>978</v>
      </c>
      <c r="D688" s="28">
        <v>1</v>
      </c>
      <c r="E688" s="28" t="s">
        <v>429</v>
      </c>
      <c r="F688" s="28" t="s">
        <v>877</v>
      </c>
      <c r="G688" s="28">
        <v>44.599999999999994</v>
      </c>
      <c r="H688" s="28"/>
      <c r="I688" s="28">
        <v>38.5</v>
      </c>
      <c r="J688" s="29">
        <v>12.7</v>
      </c>
    </row>
    <row r="689" spans="1:10" x14ac:dyDescent="0.35">
      <c r="A689" s="26">
        <v>453847</v>
      </c>
      <c r="B689" s="22">
        <v>0</v>
      </c>
      <c r="C689" s="27" t="s">
        <v>979</v>
      </c>
      <c r="D689" s="28">
        <v>1</v>
      </c>
      <c r="E689" s="28" t="s">
        <v>429</v>
      </c>
      <c r="F689" s="28" t="s">
        <v>877</v>
      </c>
      <c r="G689" s="28">
        <v>44.599999999999994</v>
      </c>
      <c r="H689" s="28"/>
      <c r="I689" s="28">
        <v>44.599999999999994</v>
      </c>
      <c r="J689" s="29">
        <v>12.7</v>
      </c>
    </row>
    <row r="690" spans="1:10" x14ac:dyDescent="0.35">
      <c r="A690" s="26">
        <v>453848</v>
      </c>
      <c r="B690" s="22">
        <v>0</v>
      </c>
      <c r="C690" s="27" t="s">
        <v>980</v>
      </c>
      <c r="D690" s="28">
        <v>1</v>
      </c>
      <c r="E690" s="28" t="s">
        <v>429</v>
      </c>
      <c r="F690" s="28" t="s">
        <v>877</v>
      </c>
      <c r="G690" s="28">
        <v>56.800000000000004</v>
      </c>
      <c r="H690" s="28"/>
      <c r="I690" s="28">
        <v>56.800000000000004</v>
      </c>
      <c r="J690" s="29">
        <v>15.7</v>
      </c>
    </row>
    <row r="691" spans="1:10" x14ac:dyDescent="0.35">
      <c r="A691" s="26">
        <v>453849</v>
      </c>
      <c r="B691" s="22">
        <v>0</v>
      </c>
      <c r="C691" s="27" t="s">
        <v>981</v>
      </c>
      <c r="D691" s="28">
        <v>1</v>
      </c>
      <c r="E691" s="28" t="s">
        <v>429</v>
      </c>
      <c r="F691" s="28" t="s">
        <v>877</v>
      </c>
      <c r="G691" s="28">
        <v>50.2</v>
      </c>
      <c r="H691" s="28"/>
      <c r="I691" s="28">
        <v>50.2</v>
      </c>
      <c r="J691" s="29">
        <v>15</v>
      </c>
    </row>
    <row r="692" spans="1:10" x14ac:dyDescent="0.35">
      <c r="A692" s="26">
        <v>453850</v>
      </c>
      <c r="B692" s="22">
        <v>0</v>
      </c>
      <c r="C692" s="27" t="s">
        <v>982</v>
      </c>
      <c r="D692" s="28">
        <v>1</v>
      </c>
      <c r="E692" s="28" t="s">
        <v>429</v>
      </c>
      <c r="F692" s="28" t="s">
        <v>877</v>
      </c>
      <c r="G692" s="28">
        <v>50.2</v>
      </c>
      <c r="H692" s="28"/>
      <c r="I692" s="28">
        <v>50.2</v>
      </c>
      <c r="J692" s="29">
        <v>15</v>
      </c>
    </row>
    <row r="693" spans="1:10" x14ac:dyDescent="0.35">
      <c r="A693" s="26">
        <v>453851</v>
      </c>
      <c r="B693" s="22">
        <v>0</v>
      </c>
      <c r="C693" s="27" t="s">
        <v>983</v>
      </c>
      <c r="D693" s="28">
        <v>1</v>
      </c>
      <c r="E693" s="28" t="s">
        <v>429</v>
      </c>
      <c r="F693" s="28" t="s">
        <v>877</v>
      </c>
      <c r="G693" s="28">
        <v>53.2</v>
      </c>
      <c r="H693" s="28"/>
      <c r="I693" s="28">
        <v>53.2</v>
      </c>
      <c r="J693" s="29">
        <v>13.7</v>
      </c>
    </row>
    <row r="694" spans="1:10" x14ac:dyDescent="0.35">
      <c r="A694" s="26">
        <v>453852</v>
      </c>
      <c r="B694" s="22">
        <v>0</v>
      </c>
      <c r="C694" s="27" t="s">
        <v>984</v>
      </c>
      <c r="D694" s="28">
        <v>1</v>
      </c>
      <c r="E694" s="28" t="s">
        <v>429</v>
      </c>
      <c r="F694" s="28" t="s">
        <v>877</v>
      </c>
      <c r="G694" s="28">
        <v>53.2</v>
      </c>
      <c r="H694" s="28"/>
      <c r="I694" s="28">
        <v>49.4</v>
      </c>
      <c r="J694" s="29">
        <v>13.7</v>
      </c>
    </row>
    <row r="695" spans="1:10" x14ac:dyDescent="0.35">
      <c r="A695" s="26">
        <v>453853</v>
      </c>
      <c r="B695" s="22">
        <v>0</v>
      </c>
      <c r="C695" s="27" t="s">
        <v>985</v>
      </c>
      <c r="D695" s="28">
        <v>1</v>
      </c>
      <c r="E695" s="28" t="s">
        <v>429</v>
      </c>
      <c r="F695" s="28" t="s">
        <v>877</v>
      </c>
      <c r="G695" s="28">
        <v>52.2</v>
      </c>
      <c r="H695" s="28"/>
      <c r="I695" s="28">
        <v>52</v>
      </c>
      <c r="J695" s="29">
        <v>13.6</v>
      </c>
    </row>
    <row r="696" spans="1:10" x14ac:dyDescent="0.35">
      <c r="A696" s="26">
        <v>453854</v>
      </c>
      <c r="B696" s="22">
        <v>0</v>
      </c>
      <c r="C696" s="27" t="s">
        <v>986</v>
      </c>
      <c r="D696" s="28">
        <v>1</v>
      </c>
      <c r="E696" s="28" t="s">
        <v>429</v>
      </c>
      <c r="F696" s="28" t="s">
        <v>877</v>
      </c>
      <c r="G696" s="28">
        <v>52</v>
      </c>
      <c r="H696" s="28"/>
      <c r="I696" s="28">
        <v>52.14</v>
      </c>
      <c r="J696" s="29">
        <v>15</v>
      </c>
    </row>
    <row r="697" spans="1:10" x14ac:dyDescent="0.35">
      <c r="A697" s="26">
        <v>453855</v>
      </c>
      <c r="B697" s="22">
        <v>0</v>
      </c>
      <c r="C697" s="27" t="s">
        <v>987</v>
      </c>
      <c r="D697" s="28">
        <v>1</v>
      </c>
      <c r="E697" s="28" t="s">
        <v>429</v>
      </c>
      <c r="F697" s="28" t="s">
        <v>877</v>
      </c>
      <c r="G697" s="28">
        <v>52</v>
      </c>
      <c r="H697" s="28"/>
      <c r="I697" s="28">
        <v>51.4</v>
      </c>
      <c r="J697" s="29">
        <v>15</v>
      </c>
    </row>
    <row r="698" spans="1:10" x14ac:dyDescent="0.35">
      <c r="A698" s="26">
        <v>453856</v>
      </c>
      <c r="B698" s="22">
        <v>0</v>
      </c>
      <c r="C698" s="27" t="s">
        <v>988</v>
      </c>
      <c r="D698" s="28">
        <v>1</v>
      </c>
      <c r="E698" s="28" t="s">
        <v>429</v>
      </c>
      <c r="F698" s="28" t="s">
        <v>877</v>
      </c>
      <c r="G698" s="28">
        <v>80.8</v>
      </c>
      <c r="H698" s="28"/>
      <c r="I698" s="28">
        <v>81</v>
      </c>
      <c r="J698" s="29">
        <v>14.9</v>
      </c>
    </row>
    <row r="699" spans="1:10" x14ac:dyDescent="0.35">
      <c r="A699" s="26">
        <v>453857</v>
      </c>
      <c r="B699" s="22">
        <v>0</v>
      </c>
      <c r="C699" s="27" t="s">
        <v>989</v>
      </c>
      <c r="D699" s="28">
        <v>1</v>
      </c>
      <c r="E699" s="28" t="s">
        <v>429</v>
      </c>
      <c r="F699" s="28" t="s">
        <v>877</v>
      </c>
      <c r="G699" s="28">
        <v>74</v>
      </c>
      <c r="H699" s="28"/>
      <c r="I699" s="28">
        <v>74</v>
      </c>
      <c r="J699" s="29">
        <v>24</v>
      </c>
    </row>
    <row r="700" spans="1:10" x14ac:dyDescent="0.35">
      <c r="A700" s="26">
        <v>453858</v>
      </c>
      <c r="B700" s="22">
        <v>0</v>
      </c>
      <c r="C700" s="27" t="s">
        <v>990</v>
      </c>
      <c r="D700" s="28">
        <v>1</v>
      </c>
      <c r="E700" s="28" t="s">
        <v>429</v>
      </c>
      <c r="F700" s="28" t="s">
        <v>877</v>
      </c>
      <c r="G700" s="28">
        <v>60</v>
      </c>
      <c r="H700" s="28"/>
      <c r="I700" s="28">
        <v>60.5</v>
      </c>
      <c r="J700" s="29">
        <v>15</v>
      </c>
    </row>
    <row r="701" spans="1:10" x14ac:dyDescent="0.35">
      <c r="A701" s="26">
        <v>453859</v>
      </c>
      <c r="B701" s="22">
        <v>0</v>
      </c>
      <c r="C701" s="27" t="s">
        <v>991</v>
      </c>
      <c r="D701" s="28">
        <v>1</v>
      </c>
      <c r="E701" s="28" t="s">
        <v>429</v>
      </c>
      <c r="F701" s="28" t="s">
        <v>877</v>
      </c>
      <c r="G701" s="28">
        <v>60</v>
      </c>
      <c r="H701" s="28"/>
      <c r="I701" s="28">
        <v>60</v>
      </c>
      <c r="J701" s="29">
        <v>15</v>
      </c>
    </row>
    <row r="702" spans="1:10" x14ac:dyDescent="0.35">
      <c r="A702" s="26">
        <v>453860</v>
      </c>
      <c r="B702" s="22">
        <v>0</v>
      </c>
      <c r="C702" s="27" t="s">
        <v>992</v>
      </c>
      <c r="D702" s="28">
        <v>1</v>
      </c>
      <c r="E702" s="28" t="s">
        <v>429</v>
      </c>
      <c r="F702" s="28" t="s">
        <v>877</v>
      </c>
      <c r="G702" s="28">
        <v>60</v>
      </c>
      <c r="H702" s="28"/>
      <c r="I702" s="28">
        <v>60.15</v>
      </c>
      <c r="J702" s="29">
        <v>15</v>
      </c>
    </row>
    <row r="703" spans="1:10" x14ac:dyDescent="0.35">
      <c r="A703" s="26">
        <v>453861</v>
      </c>
      <c r="B703" s="22">
        <v>0</v>
      </c>
      <c r="C703" s="27" t="s">
        <v>993</v>
      </c>
      <c r="D703" s="28">
        <v>1</v>
      </c>
      <c r="E703" s="28" t="s">
        <v>429</v>
      </c>
      <c r="F703" s="28" t="s">
        <v>877</v>
      </c>
      <c r="G703" s="28">
        <v>60</v>
      </c>
      <c r="H703" s="28"/>
      <c r="I703" s="28">
        <v>60</v>
      </c>
      <c r="J703" s="29">
        <v>15</v>
      </c>
    </row>
    <row r="704" spans="1:10" x14ac:dyDescent="0.35">
      <c r="A704" s="26">
        <v>453862</v>
      </c>
      <c r="B704" s="22">
        <v>0</v>
      </c>
      <c r="C704" s="27" t="s">
        <v>994</v>
      </c>
      <c r="D704" s="28">
        <v>1</v>
      </c>
      <c r="E704" s="28" t="s">
        <v>429</v>
      </c>
      <c r="F704" s="28" t="s">
        <v>877</v>
      </c>
      <c r="G704" s="28">
        <v>117.5</v>
      </c>
      <c r="H704" s="28"/>
      <c r="I704" s="28">
        <v>117.5</v>
      </c>
      <c r="J704" s="29">
        <v>18</v>
      </c>
    </row>
    <row r="705" spans="1:10" x14ac:dyDescent="0.35">
      <c r="A705" s="26">
        <v>453864</v>
      </c>
      <c r="B705" s="22">
        <v>0</v>
      </c>
      <c r="C705" s="27" t="s">
        <v>995</v>
      </c>
      <c r="D705" s="28">
        <v>1</v>
      </c>
      <c r="E705" s="28" t="s">
        <v>429</v>
      </c>
      <c r="F705" s="28" t="s">
        <v>877</v>
      </c>
      <c r="G705" s="28">
        <v>117.5</v>
      </c>
      <c r="H705" s="28"/>
      <c r="I705" s="28">
        <v>117.5</v>
      </c>
      <c r="J705" s="29">
        <v>18</v>
      </c>
    </row>
    <row r="706" spans="1:10" x14ac:dyDescent="0.35">
      <c r="A706" s="26">
        <v>453878</v>
      </c>
      <c r="B706" s="22">
        <v>0</v>
      </c>
      <c r="C706" s="27" t="s">
        <v>996</v>
      </c>
      <c r="D706" s="28">
        <v>4</v>
      </c>
      <c r="E706" s="28" t="s">
        <v>429</v>
      </c>
      <c r="F706" s="28" t="s">
        <v>872</v>
      </c>
      <c r="G706" s="28">
        <v>4.3999999999999995</v>
      </c>
      <c r="H706" s="28"/>
      <c r="I706" s="28">
        <v>4.3999999999999995</v>
      </c>
      <c r="J706" s="29">
        <v>17</v>
      </c>
    </row>
    <row r="707" spans="1:10" x14ac:dyDescent="0.35">
      <c r="A707" s="26">
        <v>453879</v>
      </c>
      <c r="B707" s="22">
        <v>0</v>
      </c>
      <c r="C707" s="27" t="s">
        <v>997</v>
      </c>
      <c r="D707" s="28">
        <v>4</v>
      </c>
      <c r="E707" s="28" t="s">
        <v>429</v>
      </c>
      <c r="F707" s="28" t="s">
        <v>922</v>
      </c>
      <c r="G707" s="28">
        <v>4.3999999999999995</v>
      </c>
      <c r="H707" s="28"/>
      <c r="I707" s="28">
        <v>4.3</v>
      </c>
      <c r="J707" s="29">
        <v>17</v>
      </c>
    </row>
    <row r="708" spans="1:10" x14ac:dyDescent="0.35">
      <c r="A708" s="26">
        <v>453884</v>
      </c>
      <c r="B708" s="22">
        <v>0</v>
      </c>
      <c r="C708" s="27" t="s">
        <v>998</v>
      </c>
      <c r="D708" s="28">
        <v>4</v>
      </c>
      <c r="E708" s="28" t="s">
        <v>864</v>
      </c>
      <c r="F708" s="28" t="s">
        <v>999</v>
      </c>
      <c r="G708" s="28">
        <v>6</v>
      </c>
      <c r="H708" s="28"/>
      <c r="I708" s="28">
        <v>7.8000000000000007</v>
      </c>
      <c r="J708" s="29">
        <v>18</v>
      </c>
    </row>
    <row r="709" spans="1:10" x14ac:dyDescent="0.35">
      <c r="A709" s="26">
        <v>453885</v>
      </c>
      <c r="B709" s="22">
        <v>0</v>
      </c>
      <c r="C709" s="27" t="s">
        <v>1000</v>
      </c>
      <c r="D709" s="28">
        <v>4</v>
      </c>
      <c r="E709" s="28" t="s">
        <v>864</v>
      </c>
      <c r="F709" s="28" t="s">
        <v>951</v>
      </c>
      <c r="G709" s="28">
        <v>18</v>
      </c>
      <c r="H709" s="28"/>
      <c r="I709" s="30">
        <v>12</v>
      </c>
      <c r="J709" s="29">
        <v>21.2</v>
      </c>
    </row>
    <row r="710" spans="1:10" x14ac:dyDescent="0.35">
      <c r="A710" s="26">
        <v>453886</v>
      </c>
      <c r="B710" s="22">
        <v>0</v>
      </c>
      <c r="C710" s="27" t="s">
        <v>1001</v>
      </c>
      <c r="D710" s="28">
        <v>4</v>
      </c>
      <c r="E710" s="28" t="s">
        <v>864</v>
      </c>
      <c r="F710" s="28" t="s">
        <v>951</v>
      </c>
      <c r="G710" s="28">
        <v>18</v>
      </c>
      <c r="H710" s="28"/>
      <c r="I710" s="30">
        <v>23.400000000000002</v>
      </c>
      <c r="J710" s="29">
        <v>21.2</v>
      </c>
    </row>
    <row r="711" spans="1:10" x14ac:dyDescent="0.35">
      <c r="A711" s="26">
        <v>453887</v>
      </c>
      <c r="B711" s="22">
        <v>0</v>
      </c>
      <c r="C711" s="27" t="s">
        <v>1002</v>
      </c>
      <c r="D711" s="28">
        <v>4</v>
      </c>
      <c r="E711" s="28" t="s">
        <v>864</v>
      </c>
      <c r="F711" s="28" t="s">
        <v>951</v>
      </c>
      <c r="G711" s="28">
        <v>12</v>
      </c>
      <c r="H711" s="28"/>
      <c r="I711" s="30">
        <v>15.600000000000001</v>
      </c>
      <c r="J711" s="29">
        <v>18</v>
      </c>
    </row>
    <row r="712" spans="1:10" x14ac:dyDescent="0.35">
      <c r="A712" s="26">
        <v>453888</v>
      </c>
      <c r="B712" s="22">
        <v>0</v>
      </c>
      <c r="C712" s="27" t="s">
        <v>1003</v>
      </c>
      <c r="D712" s="28">
        <v>4</v>
      </c>
      <c r="E712" s="28" t="s">
        <v>864</v>
      </c>
      <c r="F712" s="28" t="s">
        <v>951</v>
      </c>
      <c r="G712" s="28">
        <v>20</v>
      </c>
      <c r="H712" s="28"/>
      <c r="I712" s="30">
        <v>26</v>
      </c>
      <c r="J712" s="29">
        <v>20</v>
      </c>
    </row>
    <row r="713" spans="1:10" x14ac:dyDescent="0.35">
      <c r="A713" s="26">
        <v>453889</v>
      </c>
      <c r="B713" s="22">
        <v>0</v>
      </c>
      <c r="C713" s="27" t="s">
        <v>1004</v>
      </c>
      <c r="D713" s="28">
        <v>4</v>
      </c>
      <c r="E713" s="28" t="s">
        <v>864</v>
      </c>
      <c r="F713" s="28" t="s">
        <v>999</v>
      </c>
      <c r="G713" s="28">
        <v>17</v>
      </c>
      <c r="H713" s="28"/>
      <c r="I713" s="28">
        <v>22.1</v>
      </c>
      <c r="J713" s="29">
        <v>20.7</v>
      </c>
    </row>
    <row r="714" spans="1:10" x14ac:dyDescent="0.35">
      <c r="A714" s="26">
        <v>453890</v>
      </c>
      <c r="B714" s="22">
        <v>0</v>
      </c>
      <c r="C714" s="27" t="s">
        <v>1005</v>
      </c>
      <c r="D714" s="28">
        <v>4</v>
      </c>
      <c r="E714" s="28" t="s">
        <v>864</v>
      </c>
      <c r="F714" s="28" t="s">
        <v>951</v>
      </c>
      <c r="G714" s="28">
        <v>16</v>
      </c>
      <c r="H714" s="28"/>
      <c r="I714" s="30">
        <v>20.8</v>
      </c>
      <c r="J714" s="29">
        <v>16.5</v>
      </c>
    </row>
    <row r="715" spans="1:10" x14ac:dyDescent="0.35">
      <c r="A715" s="26">
        <v>453891</v>
      </c>
      <c r="B715" s="22">
        <v>0</v>
      </c>
      <c r="C715" s="27" t="s">
        <v>1006</v>
      </c>
      <c r="D715" s="28">
        <v>4</v>
      </c>
      <c r="E715" s="28" t="s">
        <v>864</v>
      </c>
      <c r="F715" s="28" t="s">
        <v>951</v>
      </c>
      <c r="G715" s="28">
        <v>19</v>
      </c>
      <c r="H715" s="28"/>
      <c r="I715" s="28">
        <v>19.899999999999999</v>
      </c>
      <c r="J715" s="29">
        <v>20</v>
      </c>
    </row>
    <row r="716" spans="1:10" x14ac:dyDescent="0.35">
      <c r="A716" s="26">
        <v>453892</v>
      </c>
      <c r="B716" s="22">
        <v>0</v>
      </c>
      <c r="C716" s="27" t="s">
        <v>1007</v>
      </c>
      <c r="D716" s="28">
        <v>4</v>
      </c>
      <c r="E716" s="28" t="s">
        <v>864</v>
      </c>
      <c r="F716" s="28" t="s">
        <v>951</v>
      </c>
      <c r="G716" s="28">
        <v>20</v>
      </c>
      <c r="H716" s="28"/>
      <c r="I716" s="28">
        <v>26</v>
      </c>
      <c r="J716" s="29">
        <v>18</v>
      </c>
    </row>
    <row r="717" spans="1:10" x14ac:dyDescent="0.35">
      <c r="A717" s="26">
        <v>453893</v>
      </c>
      <c r="B717" s="22">
        <v>0</v>
      </c>
      <c r="C717" s="27" t="s">
        <v>1008</v>
      </c>
      <c r="D717" s="28">
        <v>4</v>
      </c>
      <c r="E717" s="28" t="s">
        <v>864</v>
      </c>
      <c r="F717" s="28" t="s">
        <v>999</v>
      </c>
      <c r="G717" s="28">
        <v>20</v>
      </c>
      <c r="H717" s="28"/>
      <c r="I717" s="28">
        <v>20</v>
      </c>
      <c r="J717" s="29">
        <v>18</v>
      </c>
    </row>
    <row r="718" spans="1:10" x14ac:dyDescent="0.35">
      <c r="A718" s="26">
        <v>453894</v>
      </c>
      <c r="B718" s="22">
        <v>0</v>
      </c>
      <c r="C718" s="27" t="s">
        <v>1009</v>
      </c>
      <c r="D718" s="28">
        <v>4</v>
      </c>
      <c r="E718" s="28" t="s">
        <v>864</v>
      </c>
      <c r="F718" s="28" t="s">
        <v>999</v>
      </c>
      <c r="G718" s="28">
        <v>19</v>
      </c>
      <c r="H718" s="28"/>
      <c r="I718" s="30">
        <v>34</v>
      </c>
      <c r="J718" s="29">
        <v>18</v>
      </c>
    </row>
    <row r="719" spans="1:10" x14ac:dyDescent="0.35">
      <c r="A719" s="26">
        <v>453895</v>
      </c>
      <c r="B719" s="22">
        <v>0</v>
      </c>
      <c r="C719" s="27" t="s">
        <v>1010</v>
      </c>
      <c r="D719" s="28">
        <v>4</v>
      </c>
      <c r="E719" s="28" t="s">
        <v>864</v>
      </c>
      <c r="F719" s="28" t="s">
        <v>951</v>
      </c>
      <c r="G719" s="28">
        <v>20.6</v>
      </c>
      <c r="H719" s="28"/>
      <c r="I719" s="28">
        <v>33.5</v>
      </c>
      <c r="J719" s="29">
        <v>20.7</v>
      </c>
    </row>
    <row r="720" spans="1:10" x14ac:dyDescent="0.35">
      <c r="A720" s="26">
        <v>453896</v>
      </c>
      <c r="B720" s="22">
        <v>0</v>
      </c>
      <c r="C720" s="27" t="s">
        <v>1011</v>
      </c>
      <c r="D720" s="28">
        <v>4</v>
      </c>
      <c r="E720" s="28" t="s">
        <v>864</v>
      </c>
      <c r="F720" s="28" t="s">
        <v>999</v>
      </c>
      <c r="G720" s="28">
        <v>20</v>
      </c>
      <c r="H720" s="28"/>
      <c r="I720" s="28">
        <v>21</v>
      </c>
      <c r="J720" s="29">
        <v>20</v>
      </c>
    </row>
    <row r="721" spans="1:10" x14ac:dyDescent="0.35">
      <c r="A721" s="26">
        <v>453897</v>
      </c>
      <c r="B721" s="22">
        <v>0</v>
      </c>
      <c r="C721" s="27" t="s">
        <v>1012</v>
      </c>
      <c r="D721" s="28">
        <v>4</v>
      </c>
      <c r="E721" s="28" t="s">
        <v>864</v>
      </c>
      <c r="F721" s="28" t="s">
        <v>951</v>
      </c>
      <c r="G721" s="28">
        <v>19.399999999999999</v>
      </c>
      <c r="H721" s="28"/>
      <c r="I721" s="30">
        <v>25.22</v>
      </c>
      <c r="J721" s="29">
        <v>18</v>
      </c>
    </row>
    <row r="722" spans="1:10" x14ac:dyDescent="0.35">
      <c r="A722" s="26">
        <v>453898</v>
      </c>
      <c r="B722" s="22">
        <v>0</v>
      </c>
      <c r="C722" s="27" t="s">
        <v>1013</v>
      </c>
      <c r="D722" s="28">
        <v>4</v>
      </c>
      <c r="E722" s="28" t="s">
        <v>864</v>
      </c>
      <c r="F722" s="28" t="s">
        <v>951</v>
      </c>
      <c r="G722" s="28">
        <v>20.7</v>
      </c>
      <c r="H722" s="28"/>
      <c r="I722" s="30">
        <v>30</v>
      </c>
      <c r="J722" s="29">
        <v>19.100000000000001</v>
      </c>
    </row>
    <row r="723" spans="1:10" x14ac:dyDescent="0.35">
      <c r="A723" s="26">
        <v>453899</v>
      </c>
      <c r="B723" s="22">
        <v>0</v>
      </c>
      <c r="C723" s="27" t="s">
        <v>1014</v>
      </c>
      <c r="D723" s="28">
        <v>4</v>
      </c>
      <c r="E723" s="28" t="s">
        <v>864</v>
      </c>
      <c r="F723" s="28" t="s">
        <v>1015</v>
      </c>
      <c r="G723" s="28">
        <v>20</v>
      </c>
      <c r="H723" s="28"/>
      <c r="I723" s="28">
        <v>31</v>
      </c>
      <c r="J723" s="29">
        <v>18</v>
      </c>
    </row>
    <row r="724" spans="1:10" x14ac:dyDescent="0.35">
      <c r="A724" s="26">
        <v>453900</v>
      </c>
      <c r="B724" s="22">
        <v>0</v>
      </c>
      <c r="C724" s="27" t="s">
        <v>1016</v>
      </c>
      <c r="D724" s="28">
        <v>4</v>
      </c>
      <c r="E724" s="28" t="s">
        <v>864</v>
      </c>
      <c r="F724" s="28" t="s">
        <v>999</v>
      </c>
      <c r="G724" s="28">
        <v>20.6</v>
      </c>
      <c r="H724" s="28"/>
      <c r="I724" s="28">
        <v>26.78</v>
      </c>
      <c r="J724" s="29">
        <v>18</v>
      </c>
    </row>
    <row r="725" spans="1:10" x14ac:dyDescent="0.35">
      <c r="A725" s="26">
        <v>453901</v>
      </c>
      <c r="B725" s="22">
        <v>0</v>
      </c>
      <c r="C725" s="27" t="s">
        <v>1017</v>
      </c>
      <c r="D725" s="28">
        <v>4</v>
      </c>
      <c r="E725" s="28" t="s">
        <v>864</v>
      </c>
      <c r="F725" s="28" t="s">
        <v>999</v>
      </c>
      <c r="G725" s="28">
        <v>20.6</v>
      </c>
      <c r="H725" s="28"/>
      <c r="I725" s="28">
        <v>25</v>
      </c>
      <c r="J725" s="29">
        <v>18</v>
      </c>
    </row>
    <row r="726" spans="1:10" x14ac:dyDescent="0.35">
      <c r="A726" s="26">
        <v>453902</v>
      </c>
      <c r="B726" s="22">
        <v>0</v>
      </c>
      <c r="C726" s="27" t="s">
        <v>1018</v>
      </c>
      <c r="D726" s="28">
        <v>4</v>
      </c>
      <c r="E726" s="28" t="s">
        <v>864</v>
      </c>
      <c r="F726" s="28" t="s">
        <v>951</v>
      </c>
      <c r="G726" s="28">
        <v>21</v>
      </c>
      <c r="H726" s="28"/>
      <c r="I726" s="28">
        <v>24.6</v>
      </c>
      <c r="J726" s="29">
        <v>18</v>
      </c>
    </row>
    <row r="727" spans="1:10" x14ac:dyDescent="0.35">
      <c r="A727" s="26">
        <v>453903</v>
      </c>
      <c r="B727" s="22">
        <v>0</v>
      </c>
      <c r="C727" s="27" t="s">
        <v>1019</v>
      </c>
      <c r="D727" s="28">
        <v>4</v>
      </c>
      <c r="E727" s="28" t="s">
        <v>864</v>
      </c>
      <c r="F727" s="28" t="s">
        <v>999</v>
      </c>
      <c r="G727" s="28">
        <v>23.4</v>
      </c>
      <c r="H727" s="28"/>
      <c r="I727" s="28">
        <v>28</v>
      </c>
      <c r="J727" s="29">
        <v>22.6</v>
      </c>
    </row>
    <row r="728" spans="1:10" x14ac:dyDescent="0.35">
      <c r="A728" s="26">
        <v>453904</v>
      </c>
      <c r="B728" s="22">
        <v>0</v>
      </c>
      <c r="C728" s="27" t="s">
        <v>1020</v>
      </c>
      <c r="D728" s="28">
        <v>4</v>
      </c>
      <c r="E728" s="28" t="s">
        <v>864</v>
      </c>
      <c r="F728" s="28" t="s">
        <v>999</v>
      </c>
      <c r="G728" s="28">
        <v>24</v>
      </c>
      <c r="H728" s="28"/>
      <c r="I728" s="28">
        <v>25</v>
      </c>
      <c r="J728" s="29">
        <v>26.4</v>
      </c>
    </row>
    <row r="729" spans="1:10" x14ac:dyDescent="0.35">
      <c r="A729" s="26">
        <v>453905</v>
      </c>
      <c r="B729" s="22">
        <v>0</v>
      </c>
      <c r="C729" s="27" t="s">
        <v>1021</v>
      </c>
      <c r="D729" s="28">
        <v>4</v>
      </c>
      <c r="E729" s="28" t="s">
        <v>864</v>
      </c>
      <c r="F729" s="28" t="s">
        <v>999</v>
      </c>
      <c r="G729" s="28">
        <v>28</v>
      </c>
      <c r="H729" s="28"/>
      <c r="I729" s="30">
        <v>26</v>
      </c>
      <c r="J729" s="29">
        <v>24.4</v>
      </c>
    </row>
    <row r="730" spans="1:10" x14ac:dyDescent="0.35">
      <c r="A730" s="26">
        <v>453906</v>
      </c>
      <c r="B730" s="22">
        <v>0</v>
      </c>
      <c r="C730" s="27" t="s">
        <v>1022</v>
      </c>
      <c r="D730" s="28">
        <v>4</v>
      </c>
      <c r="E730" s="28" t="s">
        <v>864</v>
      </c>
      <c r="F730" s="28" t="s">
        <v>999</v>
      </c>
      <c r="G730" s="28">
        <v>28</v>
      </c>
      <c r="H730" s="28"/>
      <c r="I730" s="30">
        <v>27</v>
      </c>
      <c r="J730" s="29">
        <v>18</v>
      </c>
    </row>
    <row r="731" spans="1:10" x14ac:dyDescent="0.35">
      <c r="A731" s="26">
        <v>453907</v>
      </c>
      <c r="B731" s="22">
        <v>0</v>
      </c>
      <c r="C731" s="27" t="s">
        <v>1023</v>
      </c>
      <c r="D731" s="28">
        <v>4</v>
      </c>
      <c r="E731" s="28" t="s">
        <v>864</v>
      </c>
      <c r="F731" s="28" t="s">
        <v>999</v>
      </c>
      <c r="G731" s="28">
        <v>23</v>
      </c>
      <c r="H731" s="28"/>
      <c r="I731" s="28">
        <v>24</v>
      </c>
      <c r="J731" s="29">
        <v>20</v>
      </c>
    </row>
    <row r="732" spans="1:10" x14ac:dyDescent="0.35">
      <c r="A732" s="26">
        <v>453908</v>
      </c>
      <c r="B732" s="22">
        <v>0</v>
      </c>
      <c r="C732" s="27" t="s">
        <v>1024</v>
      </c>
      <c r="D732" s="28">
        <v>4</v>
      </c>
      <c r="E732" s="28" t="s">
        <v>864</v>
      </c>
      <c r="F732" s="28" t="s">
        <v>999</v>
      </c>
      <c r="G732" s="28">
        <v>26.8</v>
      </c>
      <c r="H732" s="28"/>
      <c r="I732" s="28">
        <v>34.840000000000003</v>
      </c>
      <c r="J732" s="29">
        <v>18</v>
      </c>
    </row>
    <row r="733" spans="1:10" x14ac:dyDescent="0.35">
      <c r="A733" s="26">
        <v>453909</v>
      </c>
      <c r="B733" s="22">
        <v>0</v>
      </c>
      <c r="C733" s="27" t="s">
        <v>1025</v>
      </c>
      <c r="D733" s="28">
        <v>4</v>
      </c>
      <c r="E733" s="28" t="s">
        <v>864</v>
      </c>
      <c r="F733" s="28" t="s">
        <v>999</v>
      </c>
      <c r="G733" s="28">
        <v>23.3</v>
      </c>
      <c r="H733" s="28"/>
      <c r="I733" s="28">
        <v>25.3</v>
      </c>
      <c r="J733" s="29">
        <v>24.1</v>
      </c>
    </row>
    <row r="734" spans="1:10" x14ac:dyDescent="0.35">
      <c r="A734" s="26">
        <v>453910</v>
      </c>
      <c r="B734" s="22">
        <v>0</v>
      </c>
      <c r="C734" s="27" t="s">
        <v>1026</v>
      </c>
      <c r="D734" s="28">
        <v>4</v>
      </c>
      <c r="E734" s="28" t="s">
        <v>864</v>
      </c>
      <c r="F734" s="28" t="s">
        <v>999</v>
      </c>
      <c r="G734" s="28">
        <v>21</v>
      </c>
      <c r="H734" s="28"/>
      <c r="I734" s="30">
        <v>35</v>
      </c>
      <c r="J734" s="29">
        <v>18</v>
      </c>
    </row>
    <row r="735" spans="1:10" x14ac:dyDescent="0.35">
      <c r="A735" s="26">
        <v>453911</v>
      </c>
      <c r="B735" s="22">
        <v>0</v>
      </c>
      <c r="C735" s="27" t="s">
        <v>1027</v>
      </c>
      <c r="D735" s="28">
        <v>4</v>
      </c>
      <c r="E735" s="28" t="s">
        <v>864</v>
      </c>
      <c r="F735" s="28" t="s">
        <v>1028</v>
      </c>
      <c r="G735" s="28">
        <v>34</v>
      </c>
      <c r="H735" s="28"/>
      <c r="I735" s="28">
        <v>44.2</v>
      </c>
      <c r="J735" s="29">
        <v>19</v>
      </c>
    </row>
    <row r="736" spans="1:10" x14ac:dyDescent="0.35">
      <c r="A736" s="26">
        <v>453912</v>
      </c>
      <c r="B736" s="22">
        <v>0</v>
      </c>
      <c r="C736" s="27" t="s">
        <v>1029</v>
      </c>
      <c r="D736" s="28">
        <v>4</v>
      </c>
      <c r="E736" s="28" t="s">
        <v>864</v>
      </c>
      <c r="F736" s="28" t="s">
        <v>1030</v>
      </c>
      <c r="G736" s="28">
        <v>34</v>
      </c>
      <c r="H736" s="28"/>
      <c r="I736" s="28">
        <v>44.2</v>
      </c>
      <c r="J736" s="29">
        <v>19</v>
      </c>
    </row>
    <row r="737" spans="1:10" x14ac:dyDescent="0.35">
      <c r="A737" s="26">
        <v>453913</v>
      </c>
      <c r="B737" s="22">
        <v>0</v>
      </c>
      <c r="C737" s="27" t="s">
        <v>1031</v>
      </c>
      <c r="D737" s="28">
        <v>4</v>
      </c>
      <c r="E737" s="28" t="s">
        <v>864</v>
      </c>
      <c r="F737" s="28" t="s">
        <v>1028</v>
      </c>
      <c r="G737" s="28">
        <v>34</v>
      </c>
      <c r="H737" s="28"/>
      <c r="I737" s="30">
        <v>29.5</v>
      </c>
      <c r="J737" s="29">
        <v>19</v>
      </c>
    </row>
    <row r="738" spans="1:10" x14ac:dyDescent="0.35">
      <c r="A738" s="26">
        <v>453914</v>
      </c>
      <c r="B738" s="22">
        <v>0</v>
      </c>
      <c r="C738" s="27" t="s">
        <v>1032</v>
      </c>
      <c r="D738" s="28">
        <v>4</v>
      </c>
      <c r="E738" s="28" t="s">
        <v>864</v>
      </c>
      <c r="F738" s="28" t="s">
        <v>999</v>
      </c>
      <c r="G738" s="28">
        <v>28</v>
      </c>
      <c r="H738" s="28"/>
      <c r="I738" s="28">
        <v>24</v>
      </c>
      <c r="J738" s="29">
        <v>22</v>
      </c>
    </row>
    <row r="739" spans="1:10" x14ac:dyDescent="0.35">
      <c r="A739" s="26">
        <v>453915</v>
      </c>
      <c r="B739" s="22">
        <v>0</v>
      </c>
      <c r="C739" s="27" t="s">
        <v>1033</v>
      </c>
      <c r="D739" s="28">
        <v>4</v>
      </c>
      <c r="E739" s="28" t="s">
        <v>864</v>
      </c>
      <c r="F739" s="28" t="s">
        <v>999</v>
      </c>
      <c r="G739" s="28">
        <v>24</v>
      </c>
      <c r="H739" s="28"/>
      <c r="I739" s="28">
        <v>24</v>
      </c>
      <c r="J739" s="29">
        <v>30.54</v>
      </c>
    </row>
    <row r="740" spans="1:10" x14ac:dyDescent="0.35">
      <c r="A740" s="26">
        <v>453916</v>
      </c>
      <c r="B740" s="22">
        <v>0</v>
      </c>
      <c r="C740" s="27" t="s">
        <v>1034</v>
      </c>
      <c r="D740" s="28">
        <v>4</v>
      </c>
      <c r="E740" s="28" t="s">
        <v>864</v>
      </c>
      <c r="F740" s="28" t="s">
        <v>999</v>
      </c>
      <c r="G740" s="28">
        <v>29.5</v>
      </c>
      <c r="H740" s="28"/>
      <c r="I740" s="30">
        <v>43.5</v>
      </c>
      <c r="J740" s="29">
        <v>21.1</v>
      </c>
    </row>
    <row r="741" spans="1:10" x14ac:dyDescent="0.35">
      <c r="A741" s="26">
        <v>453917</v>
      </c>
      <c r="B741" s="22">
        <v>0</v>
      </c>
      <c r="C741" s="27" t="s">
        <v>1035</v>
      </c>
      <c r="D741" s="28">
        <v>4</v>
      </c>
      <c r="E741" s="28" t="s">
        <v>864</v>
      </c>
      <c r="F741" s="28" t="s">
        <v>999</v>
      </c>
      <c r="G741" s="28">
        <v>23</v>
      </c>
      <c r="H741" s="28"/>
      <c r="I741" s="30">
        <v>29.900000000000002</v>
      </c>
      <c r="J741" s="29">
        <v>21.1</v>
      </c>
    </row>
    <row r="742" spans="1:10" x14ac:dyDescent="0.35">
      <c r="A742" s="26">
        <v>453918</v>
      </c>
      <c r="B742" s="22">
        <v>0</v>
      </c>
      <c r="C742" s="27" t="s">
        <v>1036</v>
      </c>
      <c r="D742" s="28">
        <v>4</v>
      </c>
      <c r="E742" s="28" t="s">
        <v>864</v>
      </c>
      <c r="F742" s="28" t="s">
        <v>999</v>
      </c>
      <c r="G742" s="28">
        <v>24</v>
      </c>
      <c r="H742" s="28"/>
      <c r="I742" s="30">
        <v>31.200000000000003</v>
      </c>
      <c r="J742" s="29">
        <v>18</v>
      </c>
    </row>
    <row r="743" spans="1:10" x14ac:dyDescent="0.35">
      <c r="A743" s="26">
        <v>453919</v>
      </c>
      <c r="B743" s="22">
        <v>0</v>
      </c>
      <c r="C743" s="27" t="s">
        <v>1037</v>
      </c>
      <c r="D743" s="28">
        <v>4</v>
      </c>
      <c r="E743" s="28" t="s">
        <v>864</v>
      </c>
      <c r="F743" s="28" t="s">
        <v>999</v>
      </c>
      <c r="G743" s="28">
        <v>23.6</v>
      </c>
      <c r="H743" s="28"/>
      <c r="I743" s="28">
        <v>30.680000000000003</v>
      </c>
      <c r="J743" s="29">
        <v>20.3</v>
      </c>
    </row>
    <row r="744" spans="1:10" x14ac:dyDescent="0.35">
      <c r="A744" s="26">
        <v>453920</v>
      </c>
      <c r="B744" s="22">
        <v>0</v>
      </c>
      <c r="C744" s="27" t="s">
        <v>1038</v>
      </c>
      <c r="D744" s="28">
        <v>4</v>
      </c>
      <c r="E744" s="28" t="s">
        <v>864</v>
      </c>
      <c r="F744" s="28" t="s">
        <v>999</v>
      </c>
      <c r="G744" s="28">
        <v>28</v>
      </c>
      <c r="H744" s="28"/>
      <c r="I744" s="30">
        <v>36.4</v>
      </c>
      <c r="J744" s="29">
        <v>19</v>
      </c>
    </row>
    <row r="745" spans="1:10" x14ac:dyDescent="0.35">
      <c r="A745" s="26">
        <v>453921</v>
      </c>
      <c r="B745" s="22">
        <v>0</v>
      </c>
      <c r="C745" s="27" t="s">
        <v>1039</v>
      </c>
      <c r="D745" s="28">
        <v>2</v>
      </c>
      <c r="E745" s="28" t="s">
        <v>864</v>
      </c>
      <c r="F745" s="28" t="s">
        <v>999</v>
      </c>
      <c r="G745" s="28">
        <v>31.7</v>
      </c>
      <c r="H745" s="28"/>
      <c r="I745" s="28">
        <v>46</v>
      </c>
      <c r="J745" s="29">
        <v>20.100000000000001</v>
      </c>
    </row>
    <row r="746" spans="1:10" x14ac:dyDescent="0.35">
      <c r="A746" s="26">
        <v>453922</v>
      </c>
      <c r="B746" s="22">
        <v>0</v>
      </c>
      <c r="C746" s="27" t="s">
        <v>1040</v>
      </c>
      <c r="D746" s="28">
        <v>4</v>
      </c>
      <c r="E746" s="28" t="s">
        <v>864</v>
      </c>
      <c r="F746" s="28" t="s">
        <v>999</v>
      </c>
      <c r="G746" s="28">
        <v>23</v>
      </c>
      <c r="H746" s="28"/>
      <c r="I746" s="28">
        <v>29.900000000000002</v>
      </c>
      <c r="J746" s="29">
        <v>20</v>
      </c>
    </row>
    <row r="747" spans="1:10" x14ac:dyDescent="0.35">
      <c r="A747" s="26">
        <v>453923</v>
      </c>
      <c r="B747" s="22">
        <v>0</v>
      </c>
      <c r="C747" s="27" t="s">
        <v>1041</v>
      </c>
      <c r="D747" s="28">
        <v>4</v>
      </c>
      <c r="E747" s="28" t="s">
        <v>864</v>
      </c>
      <c r="F747" s="28" t="s">
        <v>999</v>
      </c>
      <c r="G747" s="28">
        <v>39.200000000000003</v>
      </c>
      <c r="H747" s="28"/>
      <c r="I747" s="28">
        <v>60</v>
      </c>
      <c r="J747" s="29">
        <v>32.5</v>
      </c>
    </row>
    <row r="748" spans="1:10" x14ac:dyDescent="0.35">
      <c r="A748" s="26">
        <v>453924</v>
      </c>
      <c r="B748" s="22">
        <v>0</v>
      </c>
      <c r="C748" s="27" t="s">
        <v>1042</v>
      </c>
      <c r="D748" s="28">
        <v>4</v>
      </c>
      <c r="E748" s="28" t="s">
        <v>864</v>
      </c>
      <c r="F748" s="28" t="s">
        <v>999</v>
      </c>
      <c r="G748" s="28">
        <v>28</v>
      </c>
      <c r="H748" s="28"/>
      <c r="I748" s="28">
        <v>28.5</v>
      </c>
      <c r="J748" s="29">
        <v>20</v>
      </c>
    </row>
    <row r="749" spans="1:10" x14ac:dyDescent="0.35">
      <c r="A749" s="26">
        <v>453925</v>
      </c>
      <c r="B749" s="22">
        <v>0</v>
      </c>
      <c r="C749" s="27" t="s">
        <v>1043</v>
      </c>
      <c r="D749" s="28">
        <v>1</v>
      </c>
      <c r="E749" s="28" t="s">
        <v>864</v>
      </c>
      <c r="F749" s="28" t="s">
        <v>999</v>
      </c>
      <c r="G749" s="28">
        <v>28</v>
      </c>
      <c r="H749" s="28"/>
      <c r="I749" s="28">
        <v>58</v>
      </c>
      <c r="J749" s="29">
        <v>19</v>
      </c>
    </row>
    <row r="750" spans="1:10" x14ac:dyDescent="0.35">
      <c r="A750" s="26">
        <v>453926</v>
      </c>
      <c r="B750" s="22">
        <v>0</v>
      </c>
      <c r="C750" s="27" t="s">
        <v>1044</v>
      </c>
      <c r="D750" s="28">
        <v>2</v>
      </c>
      <c r="E750" s="28" t="s">
        <v>864</v>
      </c>
      <c r="F750" s="28" t="s">
        <v>999</v>
      </c>
      <c r="G750" s="28">
        <v>34</v>
      </c>
      <c r="H750" s="28"/>
      <c r="I750" s="28">
        <v>31</v>
      </c>
      <c r="J750" s="29">
        <v>18</v>
      </c>
    </row>
    <row r="751" spans="1:10" x14ac:dyDescent="0.35">
      <c r="A751" s="26">
        <v>453927</v>
      </c>
      <c r="B751" s="22">
        <v>0</v>
      </c>
      <c r="C751" s="27" t="s">
        <v>1045</v>
      </c>
      <c r="D751" s="28">
        <v>2</v>
      </c>
      <c r="E751" s="28" t="s">
        <v>864</v>
      </c>
      <c r="F751" s="28" t="s">
        <v>999</v>
      </c>
      <c r="G751" s="28">
        <v>31.4</v>
      </c>
      <c r="H751" s="28"/>
      <c r="I751" s="28">
        <v>67.8</v>
      </c>
      <c r="J751" s="29">
        <v>21.6</v>
      </c>
    </row>
    <row r="752" spans="1:10" x14ac:dyDescent="0.35">
      <c r="A752" s="26">
        <v>453928</v>
      </c>
      <c r="B752" s="22">
        <v>0</v>
      </c>
      <c r="C752" s="27" t="s">
        <v>1046</v>
      </c>
      <c r="D752" s="28">
        <v>2</v>
      </c>
      <c r="E752" s="28" t="s">
        <v>864</v>
      </c>
      <c r="F752" s="28" t="s">
        <v>999</v>
      </c>
      <c r="G752" s="28">
        <v>43</v>
      </c>
      <c r="H752" s="28"/>
      <c r="I752" s="28">
        <v>61.41</v>
      </c>
      <c r="J752" s="29">
        <v>22.2</v>
      </c>
    </row>
    <row r="753" spans="1:10" x14ac:dyDescent="0.35">
      <c r="A753" s="26">
        <v>453929</v>
      </c>
      <c r="B753" s="22">
        <v>0</v>
      </c>
      <c r="C753" s="27" t="s">
        <v>1047</v>
      </c>
      <c r="D753" s="28">
        <v>4</v>
      </c>
      <c r="E753" s="28" t="s">
        <v>864</v>
      </c>
      <c r="F753" s="28" t="s">
        <v>999</v>
      </c>
      <c r="G753" s="28">
        <v>43.3</v>
      </c>
      <c r="H753" s="28"/>
      <c r="I753" s="28">
        <v>59.8</v>
      </c>
      <c r="J753" s="29">
        <v>35</v>
      </c>
    </row>
    <row r="754" spans="1:10" x14ac:dyDescent="0.35">
      <c r="A754" s="26">
        <v>453930</v>
      </c>
      <c r="B754" s="22">
        <v>0</v>
      </c>
      <c r="C754" s="27" t="s">
        <v>1048</v>
      </c>
      <c r="D754" s="28">
        <v>2</v>
      </c>
      <c r="E754" s="28" t="s">
        <v>864</v>
      </c>
      <c r="F754" s="28" t="s">
        <v>1049</v>
      </c>
      <c r="G754" s="28">
        <v>39.5</v>
      </c>
      <c r="H754" s="28"/>
      <c r="I754" s="28">
        <v>56.9</v>
      </c>
      <c r="J754" s="29">
        <v>21.2</v>
      </c>
    </row>
    <row r="755" spans="1:10" x14ac:dyDescent="0.35">
      <c r="A755" s="26">
        <v>453931</v>
      </c>
      <c r="B755" s="22">
        <v>0</v>
      </c>
      <c r="C755" s="27" t="s">
        <v>1050</v>
      </c>
      <c r="D755" s="28">
        <v>2</v>
      </c>
      <c r="E755" s="28" t="s">
        <v>864</v>
      </c>
      <c r="F755" s="28" t="s">
        <v>1049</v>
      </c>
      <c r="G755" s="28">
        <v>39.5</v>
      </c>
      <c r="H755" s="28"/>
      <c r="I755" s="28">
        <v>89.4</v>
      </c>
      <c r="J755" s="29">
        <v>21.2</v>
      </c>
    </row>
    <row r="756" spans="1:10" x14ac:dyDescent="0.35">
      <c r="A756" s="26">
        <v>453932</v>
      </c>
      <c r="B756" s="22">
        <v>0</v>
      </c>
      <c r="C756" s="27" t="s">
        <v>1051</v>
      </c>
      <c r="D756" s="28">
        <v>2</v>
      </c>
      <c r="E756" s="28" t="s">
        <v>864</v>
      </c>
      <c r="F756" s="28" t="s">
        <v>1049</v>
      </c>
      <c r="G756" s="28">
        <v>39.5</v>
      </c>
      <c r="H756" s="28"/>
      <c r="I756" s="28">
        <v>56.9</v>
      </c>
      <c r="J756" s="29">
        <v>22.3</v>
      </c>
    </row>
    <row r="757" spans="1:10" x14ac:dyDescent="0.35">
      <c r="A757" s="26">
        <v>453933</v>
      </c>
      <c r="B757" s="22">
        <v>0</v>
      </c>
      <c r="C757" s="27" t="s">
        <v>1052</v>
      </c>
      <c r="D757" s="28">
        <v>2</v>
      </c>
      <c r="E757" s="28" t="s">
        <v>864</v>
      </c>
      <c r="F757" s="28" t="s">
        <v>1049</v>
      </c>
      <c r="G757" s="28">
        <v>39.5</v>
      </c>
      <c r="H757" s="28"/>
      <c r="I757" s="28">
        <v>59</v>
      </c>
      <c r="J757" s="29">
        <v>21.2</v>
      </c>
    </row>
    <row r="758" spans="1:10" x14ac:dyDescent="0.35">
      <c r="A758" s="26">
        <v>453934</v>
      </c>
      <c r="B758" s="22">
        <v>0</v>
      </c>
      <c r="C758" s="27" t="s">
        <v>1053</v>
      </c>
      <c r="D758" s="28">
        <v>1</v>
      </c>
      <c r="E758" s="28" t="s">
        <v>864</v>
      </c>
      <c r="F758" s="28" t="s">
        <v>999</v>
      </c>
      <c r="G758" s="28">
        <v>41</v>
      </c>
      <c r="H758" s="28"/>
      <c r="I758" s="30">
        <v>53.300000000000004</v>
      </c>
      <c r="J758" s="29">
        <v>20</v>
      </c>
    </row>
    <row r="759" spans="1:10" x14ac:dyDescent="0.35">
      <c r="A759" s="26">
        <v>453935</v>
      </c>
      <c r="B759" s="22">
        <v>0</v>
      </c>
      <c r="C759" s="27" t="s">
        <v>1054</v>
      </c>
      <c r="D759" s="28">
        <v>2</v>
      </c>
      <c r="E759" s="28" t="s">
        <v>864</v>
      </c>
      <c r="F759" s="28" t="s">
        <v>999</v>
      </c>
      <c r="G759" s="28">
        <v>53.9</v>
      </c>
      <c r="H759" s="28"/>
      <c r="I759" s="28">
        <v>57</v>
      </c>
      <c r="J759" s="29">
        <v>24.2</v>
      </c>
    </row>
    <row r="760" spans="1:10" x14ac:dyDescent="0.35">
      <c r="A760" s="26">
        <v>453936</v>
      </c>
      <c r="B760" s="22">
        <v>0</v>
      </c>
      <c r="C760" s="27" t="s">
        <v>1055</v>
      </c>
      <c r="D760" s="28">
        <v>2</v>
      </c>
      <c r="E760" s="28" t="s">
        <v>864</v>
      </c>
      <c r="F760" s="28" t="s">
        <v>999</v>
      </c>
      <c r="G760" s="28">
        <v>57.6</v>
      </c>
      <c r="H760" s="28"/>
      <c r="I760" s="30">
        <v>45</v>
      </c>
      <c r="J760" s="29">
        <v>27.2</v>
      </c>
    </row>
    <row r="761" spans="1:10" x14ac:dyDescent="0.35">
      <c r="A761" s="26">
        <v>453937</v>
      </c>
      <c r="B761" s="22">
        <v>0</v>
      </c>
      <c r="C761" s="27" t="s">
        <v>1056</v>
      </c>
      <c r="D761" s="28">
        <v>2</v>
      </c>
      <c r="E761" s="28" t="s">
        <v>864</v>
      </c>
      <c r="F761" s="28" t="s">
        <v>865</v>
      </c>
      <c r="G761" s="28">
        <v>44.699999999999996</v>
      </c>
      <c r="H761" s="28"/>
      <c r="I761" s="30">
        <v>58.11</v>
      </c>
      <c r="J761" s="29">
        <v>21.6</v>
      </c>
    </row>
    <row r="762" spans="1:10" x14ac:dyDescent="0.35">
      <c r="A762" s="26">
        <v>453938</v>
      </c>
      <c r="B762" s="22">
        <v>0</v>
      </c>
      <c r="C762" s="27" t="s">
        <v>1057</v>
      </c>
      <c r="D762" s="28">
        <v>2</v>
      </c>
      <c r="E762" s="28" t="s">
        <v>864</v>
      </c>
      <c r="F762" s="28" t="s">
        <v>999</v>
      </c>
      <c r="G762" s="28">
        <v>74.8</v>
      </c>
      <c r="H762" s="28"/>
      <c r="I762" s="28">
        <v>54</v>
      </c>
      <c r="J762" s="29">
        <v>24</v>
      </c>
    </row>
    <row r="763" spans="1:10" x14ac:dyDescent="0.35">
      <c r="A763" s="26">
        <v>453939</v>
      </c>
      <c r="B763" s="22">
        <v>0</v>
      </c>
      <c r="C763" s="27" t="s">
        <v>1058</v>
      </c>
      <c r="D763" s="28">
        <v>2</v>
      </c>
      <c r="E763" s="28" t="s">
        <v>864</v>
      </c>
      <c r="F763" s="28" t="s">
        <v>999</v>
      </c>
      <c r="G763" s="28">
        <v>74.8</v>
      </c>
      <c r="H763" s="28"/>
      <c r="I763" s="28">
        <v>97.24</v>
      </c>
      <c r="J763" s="29">
        <v>28</v>
      </c>
    </row>
    <row r="764" spans="1:10" x14ac:dyDescent="0.35">
      <c r="A764" s="26">
        <v>453940</v>
      </c>
      <c r="B764" s="22">
        <v>0</v>
      </c>
      <c r="C764" s="27" t="s">
        <v>1059</v>
      </c>
      <c r="D764" s="28">
        <v>2</v>
      </c>
      <c r="E764" s="28" t="s">
        <v>864</v>
      </c>
      <c r="F764" s="28" t="s">
        <v>1028</v>
      </c>
      <c r="G764" s="28">
        <v>55</v>
      </c>
      <c r="H764" s="28"/>
      <c r="I764" s="28">
        <v>61</v>
      </c>
      <c r="J764" s="29">
        <v>24</v>
      </c>
    </row>
    <row r="765" spans="1:10" x14ac:dyDescent="0.35">
      <c r="A765" s="26">
        <v>453941</v>
      </c>
      <c r="B765" s="22">
        <v>0</v>
      </c>
      <c r="C765" s="27" t="s">
        <v>1060</v>
      </c>
      <c r="D765" s="28">
        <v>2</v>
      </c>
      <c r="E765" s="28" t="s">
        <v>864</v>
      </c>
      <c r="F765" s="28" t="s">
        <v>1030</v>
      </c>
      <c r="G765" s="28">
        <v>54</v>
      </c>
      <c r="H765" s="28"/>
      <c r="I765" s="28">
        <v>66.8</v>
      </c>
      <c r="J765" s="29">
        <v>22</v>
      </c>
    </row>
    <row r="766" spans="1:10" x14ac:dyDescent="0.35">
      <c r="A766" s="26">
        <v>453942</v>
      </c>
      <c r="B766" s="22">
        <v>0</v>
      </c>
      <c r="C766" s="27" t="s">
        <v>1061</v>
      </c>
      <c r="D766" s="28">
        <v>2</v>
      </c>
      <c r="E766" s="28" t="s">
        <v>864</v>
      </c>
      <c r="F766" s="28" t="s">
        <v>951</v>
      </c>
      <c r="G766" s="28">
        <v>60</v>
      </c>
      <c r="H766" s="28"/>
      <c r="I766" s="28">
        <v>79.5</v>
      </c>
      <c r="J766" s="29">
        <v>21</v>
      </c>
    </row>
    <row r="767" spans="1:10" x14ac:dyDescent="0.35">
      <c r="A767" s="26">
        <v>453943</v>
      </c>
      <c r="B767" s="22">
        <v>0</v>
      </c>
      <c r="C767" s="27" t="s">
        <v>1062</v>
      </c>
      <c r="D767" s="28">
        <v>2</v>
      </c>
      <c r="E767" s="28" t="s">
        <v>864</v>
      </c>
      <c r="F767" s="28" t="s">
        <v>999</v>
      </c>
      <c r="G767" s="28">
        <v>67.5</v>
      </c>
      <c r="H767" s="28"/>
      <c r="I767" s="28">
        <v>61.15</v>
      </c>
      <c r="J767" s="29">
        <v>28</v>
      </c>
    </row>
    <row r="768" spans="1:10" x14ac:dyDescent="0.35">
      <c r="A768" s="26">
        <v>453944</v>
      </c>
      <c r="B768" s="22">
        <v>0</v>
      </c>
      <c r="C768" s="27" t="s">
        <v>1063</v>
      </c>
      <c r="D768" s="28">
        <v>2</v>
      </c>
      <c r="E768" s="28" t="s">
        <v>864</v>
      </c>
      <c r="F768" s="28" t="s">
        <v>865</v>
      </c>
      <c r="G768" s="28">
        <v>79.2</v>
      </c>
      <c r="H768" s="28"/>
      <c r="I768" s="30">
        <v>60</v>
      </c>
      <c r="J768" s="29">
        <v>26</v>
      </c>
    </row>
    <row r="769" spans="1:10" x14ac:dyDescent="0.35">
      <c r="A769" s="26">
        <v>453945</v>
      </c>
      <c r="B769" s="22">
        <v>0</v>
      </c>
      <c r="C769" s="27" t="s">
        <v>1064</v>
      </c>
      <c r="D769" s="28">
        <v>2</v>
      </c>
      <c r="E769" s="28" t="s">
        <v>864</v>
      </c>
      <c r="F769" s="28" t="s">
        <v>865</v>
      </c>
      <c r="G769" s="28">
        <v>60</v>
      </c>
      <c r="H769" s="28"/>
      <c r="I769" s="28">
        <v>82.2</v>
      </c>
      <c r="J769" s="29">
        <v>26</v>
      </c>
    </row>
    <row r="770" spans="1:10" x14ac:dyDescent="0.35">
      <c r="A770" s="26">
        <v>453946</v>
      </c>
      <c r="B770" s="22">
        <v>0</v>
      </c>
      <c r="C770" s="27" t="s">
        <v>1065</v>
      </c>
      <c r="D770" s="28">
        <v>2</v>
      </c>
      <c r="E770" s="28" t="s">
        <v>864</v>
      </c>
      <c r="F770" s="28" t="s">
        <v>1028</v>
      </c>
      <c r="G770" s="28">
        <v>62.4</v>
      </c>
      <c r="H770" s="28"/>
      <c r="I770" s="28">
        <v>81.12</v>
      </c>
      <c r="J770" s="29">
        <v>24.8</v>
      </c>
    </row>
    <row r="771" spans="1:10" x14ac:dyDescent="0.35">
      <c r="A771" s="26">
        <v>453947</v>
      </c>
      <c r="B771" s="22">
        <v>0</v>
      </c>
      <c r="C771" s="27" t="s">
        <v>1066</v>
      </c>
      <c r="D771" s="28">
        <v>2</v>
      </c>
      <c r="E771" s="28" t="s">
        <v>864</v>
      </c>
      <c r="F771" s="28" t="s">
        <v>1028</v>
      </c>
      <c r="G771" s="28">
        <v>62.4</v>
      </c>
      <c r="H771" s="28"/>
      <c r="I771" s="28">
        <v>88.9</v>
      </c>
      <c r="J771" s="29">
        <v>24.8</v>
      </c>
    </row>
    <row r="772" spans="1:10" x14ac:dyDescent="0.35">
      <c r="A772" s="26">
        <v>453948</v>
      </c>
      <c r="B772" s="22">
        <v>0</v>
      </c>
      <c r="C772" s="27" t="s">
        <v>1067</v>
      </c>
      <c r="D772" s="28">
        <v>2</v>
      </c>
      <c r="E772" s="28" t="s">
        <v>864</v>
      </c>
      <c r="F772" s="28" t="s">
        <v>1030</v>
      </c>
      <c r="G772" s="28">
        <v>62.4</v>
      </c>
      <c r="H772" s="28"/>
      <c r="I772" s="30">
        <v>51</v>
      </c>
      <c r="J772" s="29">
        <v>24.8</v>
      </c>
    </row>
    <row r="773" spans="1:10" x14ac:dyDescent="0.35">
      <c r="A773" s="26">
        <v>453949</v>
      </c>
      <c r="B773" s="22">
        <v>0</v>
      </c>
      <c r="C773" s="27" t="s">
        <v>1068</v>
      </c>
      <c r="D773" s="28">
        <v>1</v>
      </c>
      <c r="E773" s="28" t="s">
        <v>864</v>
      </c>
      <c r="F773" s="28" t="s">
        <v>1028</v>
      </c>
      <c r="G773" s="28">
        <v>51</v>
      </c>
      <c r="H773" s="28"/>
      <c r="I773" s="28">
        <v>66.3</v>
      </c>
      <c r="J773" s="29">
        <v>28</v>
      </c>
    </row>
    <row r="774" spans="1:10" x14ac:dyDescent="0.35">
      <c r="A774" s="26">
        <v>453951</v>
      </c>
      <c r="B774" s="22">
        <v>0</v>
      </c>
      <c r="C774" s="27" t="s">
        <v>1069</v>
      </c>
      <c r="D774" s="28">
        <v>1</v>
      </c>
      <c r="E774" s="28" t="s">
        <v>864</v>
      </c>
      <c r="F774" s="28" t="s">
        <v>865</v>
      </c>
      <c r="G774" s="28">
        <v>100</v>
      </c>
      <c r="H774" s="28"/>
      <c r="I774" s="28">
        <v>130</v>
      </c>
      <c r="J774" s="29">
        <v>33</v>
      </c>
    </row>
    <row r="775" spans="1:10" x14ac:dyDescent="0.35">
      <c r="A775" s="26">
        <v>453952</v>
      </c>
      <c r="B775" s="22">
        <v>0</v>
      </c>
      <c r="C775" s="27" t="s">
        <v>1070</v>
      </c>
      <c r="D775" s="28">
        <v>1</v>
      </c>
      <c r="E775" s="28" t="s">
        <v>864</v>
      </c>
      <c r="F775" s="28" t="s">
        <v>865</v>
      </c>
      <c r="G775" s="28">
        <v>121</v>
      </c>
      <c r="H775" s="28"/>
      <c r="I775" s="28">
        <v>22.6</v>
      </c>
      <c r="J775" s="29">
        <v>13.5</v>
      </c>
    </row>
    <row r="776" spans="1:10" x14ac:dyDescent="0.35">
      <c r="A776" s="26">
        <v>453969</v>
      </c>
      <c r="B776" s="22">
        <v>0</v>
      </c>
      <c r="C776" s="27" t="s">
        <v>1071</v>
      </c>
      <c r="D776" s="28">
        <v>1</v>
      </c>
      <c r="E776" s="28" t="s">
        <v>429</v>
      </c>
      <c r="F776" s="28" t="s">
        <v>877</v>
      </c>
      <c r="G776" s="28">
        <v>33</v>
      </c>
      <c r="H776" s="28"/>
      <c r="I776" s="28">
        <v>33</v>
      </c>
      <c r="J776" s="29">
        <v>14.1</v>
      </c>
    </row>
    <row r="777" spans="1:10" x14ac:dyDescent="0.35">
      <c r="A777" s="26">
        <v>453970</v>
      </c>
      <c r="B777" s="22">
        <v>0</v>
      </c>
      <c r="C777" s="27" t="s">
        <v>1072</v>
      </c>
      <c r="D777" s="28">
        <v>1</v>
      </c>
      <c r="E777" s="28" t="s">
        <v>429</v>
      </c>
      <c r="F777" s="28" t="s">
        <v>877</v>
      </c>
      <c r="G777" s="28">
        <v>33</v>
      </c>
      <c r="H777" s="28"/>
      <c r="I777" s="28">
        <v>33</v>
      </c>
      <c r="J777" s="29">
        <v>14.1</v>
      </c>
    </row>
    <row r="778" spans="1:10" x14ac:dyDescent="0.35">
      <c r="A778" s="26">
        <v>453971</v>
      </c>
      <c r="B778" s="22">
        <v>0</v>
      </c>
      <c r="C778" s="27" t="s">
        <v>1073</v>
      </c>
      <c r="D778" s="28">
        <v>1</v>
      </c>
      <c r="E778" s="28" t="s">
        <v>429</v>
      </c>
      <c r="F778" s="28" t="s">
        <v>877</v>
      </c>
      <c r="G778" s="28">
        <v>33</v>
      </c>
      <c r="H778" s="28"/>
      <c r="I778" s="28">
        <v>33</v>
      </c>
      <c r="J778" s="29">
        <v>14.1</v>
      </c>
    </row>
    <row r="779" spans="1:10" x14ac:dyDescent="0.35">
      <c r="A779" s="26">
        <v>453972</v>
      </c>
      <c r="B779" s="22">
        <v>0</v>
      </c>
      <c r="C779" s="27" t="s">
        <v>1074</v>
      </c>
      <c r="D779" s="28">
        <v>1</v>
      </c>
      <c r="E779" s="28" t="s">
        <v>429</v>
      </c>
      <c r="F779" s="28" t="s">
        <v>877</v>
      </c>
      <c r="G779" s="28">
        <v>33</v>
      </c>
      <c r="H779" s="28"/>
      <c r="I779" s="28">
        <v>33</v>
      </c>
      <c r="J779" s="29">
        <v>14.1</v>
      </c>
    </row>
    <row r="780" spans="1:10" x14ac:dyDescent="0.35">
      <c r="A780" s="26">
        <v>453973</v>
      </c>
      <c r="B780" s="22">
        <v>0</v>
      </c>
      <c r="C780" s="27" t="s">
        <v>1075</v>
      </c>
      <c r="D780" s="28">
        <v>1</v>
      </c>
      <c r="E780" s="28" t="s">
        <v>429</v>
      </c>
      <c r="F780" s="28" t="s">
        <v>877</v>
      </c>
      <c r="G780" s="28">
        <v>33</v>
      </c>
      <c r="H780" s="28"/>
      <c r="I780" s="28">
        <v>33</v>
      </c>
      <c r="J780" s="29">
        <v>14.1</v>
      </c>
    </row>
    <row r="781" spans="1:10" x14ac:dyDescent="0.35">
      <c r="A781" s="26">
        <v>453974</v>
      </c>
      <c r="B781" s="22">
        <v>0</v>
      </c>
      <c r="C781" s="27" t="s">
        <v>1076</v>
      </c>
      <c r="D781" s="28">
        <v>1</v>
      </c>
      <c r="E781" s="28" t="s">
        <v>429</v>
      </c>
      <c r="F781" s="28" t="s">
        <v>877</v>
      </c>
      <c r="G781" s="28">
        <v>33</v>
      </c>
      <c r="H781" s="28"/>
      <c r="I781" s="28">
        <v>33</v>
      </c>
      <c r="J781" s="29">
        <v>14.1</v>
      </c>
    </row>
    <row r="782" spans="1:10" x14ac:dyDescent="0.35">
      <c r="A782" s="26">
        <v>453975</v>
      </c>
      <c r="B782" s="22">
        <v>0</v>
      </c>
      <c r="C782" s="27" t="s">
        <v>1077</v>
      </c>
      <c r="D782" s="28">
        <v>1</v>
      </c>
      <c r="E782" s="28" t="s">
        <v>429</v>
      </c>
      <c r="F782" s="28" t="s">
        <v>877</v>
      </c>
      <c r="G782" s="28">
        <v>33</v>
      </c>
      <c r="H782" s="28"/>
      <c r="I782" s="28">
        <v>33</v>
      </c>
      <c r="J782" s="29">
        <v>14.1</v>
      </c>
    </row>
    <row r="783" spans="1:10" x14ac:dyDescent="0.35">
      <c r="A783" s="26">
        <v>453976</v>
      </c>
      <c r="B783" s="22">
        <v>0</v>
      </c>
      <c r="C783" s="27" t="s">
        <v>1078</v>
      </c>
      <c r="D783" s="28">
        <v>1</v>
      </c>
      <c r="E783" s="28" t="s">
        <v>429</v>
      </c>
      <c r="F783" s="28" t="s">
        <v>450</v>
      </c>
      <c r="G783" s="28">
        <v>62</v>
      </c>
      <c r="H783" s="28"/>
      <c r="I783" s="28">
        <v>62.3</v>
      </c>
      <c r="J783" s="29">
        <v>16.5</v>
      </c>
    </row>
    <row r="784" spans="1:10" x14ac:dyDescent="0.35">
      <c r="A784" s="26">
        <v>453990</v>
      </c>
      <c r="B784" s="22">
        <v>0</v>
      </c>
      <c r="C784" s="27" t="s">
        <v>1079</v>
      </c>
      <c r="D784" s="28">
        <v>1</v>
      </c>
      <c r="E784" s="28" t="s">
        <v>429</v>
      </c>
      <c r="F784" s="28" t="s">
        <v>877</v>
      </c>
      <c r="G784" s="28">
        <v>177</v>
      </c>
      <c r="H784" s="28"/>
      <c r="I784" s="28">
        <v>177</v>
      </c>
      <c r="J784" s="29">
        <v>24</v>
      </c>
    </row>
    <row r="785" spans="1:10" x14ac:dyDescent="0.35">
      <c r="A785" s="26">
        <v>453991</v>
      </c>
      <c r="B785" s="22">
        <v>0</v>
      </c>
      <c r="C785" s="27" t="s">
        <v>1080</v>
      </c>
      <c r="D785" s="28">
        <v>1</v>
      </c>
      <c r="E785" s="28" t="s">
        <v>429</v>
      </c>
      <c r="F785" s="28" t="s">
        <v>450</v>
      </c>
      <c r="G785" s="28">
        <v>65.5</v>
      </c>
      <c r="H785" s="28"/>
      <c r="I785" s="28">
        <v>62.4</v>
      </c>
      <c r="J785" s="29">
        <v>24</v>
      </c>
    </row>
    <row r="786" spans="1:10" x14ac:dyDescent="0.35">
      <c r="A786" s="26">
        <v>454144</v>
      </c>
      <c r="B786" s="22">
        <v>0</v>
      </c>
      <c r="C786" s="27" t="s">
        <v>1081</v>
      </c>
      <c r="D786" s="28">
        <v>1</v>
      </c>
      <c r="E786" s="28" t="s">
        <v>429</v>
      </c>
      <c r="F786" s="28" t="s">
        <v>887</v>
      </c>
      <c r="G786" s="28">
        <v>12.3</v>
      </c>
      <c r="H786" s="28"/>
      <c r="I786" s="28">
        <v>13</v>
      </c>
      <c r="J786" s="29">
        <v>13</v>
      </c>
    </row>
    <row r="787" spans="1:10" x14ac:dyDescent="0.35">
      <c r="A787" s="26">
        <v>454145</v>
      </c>
      <c r="B787" s="22">
        <v>0</v>
      </c>
      <c r="C787" s="27" t="s">
        <v>1082</v>
      </c>
      <c r="D787" s="28">
        <v>4</v>
      </c>
      <c r="E787" s="28" t="s">
        <v>429</v>
      </c>
      <c r="F787" s="28" t="s">
        <v>922</v>
      </c>
      <c r="G787" s="28">
        <v>12.1</v>
      </c>
      <c r="H787" s="28"/>
      <c r="I787" s="28">
        <v>12.1</v>
      </c>
      <c r="J787" s="29">
        <v>19.399999999999999</v>
      </c>
    </row>
    <row r="788" spans="1:10" x14ac:dyDescent="0.35">
      <c r="A788" s="26">
        <v>454146</v>
      </c>
      <c r="B788" s="22">
        <v>0</v>
      </c>
      <c r="C788" s="27" t="s">
        <v>1083</v>
      </c>
      <c r="D788" s="28">
        <v>4</v>
      </c>
      <c r="E788" s="28" t="s">
        <v>429</v>
      </c>
      <c r="F788" s="28" t="s">
        <v>872</v>
      </c>
      <c r="G788" s="28">
        <v>12.1</v>
      </c>
      <c r="H788" s="28"/>
      <c r="I788" s="28">
        <v>12.1</v>
      </c>
      <c r="J788" s="29">
        <v>19.399999999999999</v>
      </c>
    </row>
    <row r="789" spans="1:10" x14ac:dyDescent="0.35">
      <c r="A789" s="26">
        <v>454159</v>
      </c>
      <c r="B789" s="22">
        <v>0</v>
      </c>
      <c r="C789" s="27" t="s">
        <v>1084</v>
      </c>
      <c r="D789" s="28">
        <v>1</v>
      </c>
      <c r="E789" s="28" t="s">
        <v>429</v>
      </c>
      <c r="F789" s="28" t="s">
        <v>440</v>
      </c>
      <c r="G789" s="28">
        <v>32</v>
      </c>
      <c r="H789" s="28"/>
      <c r="I789" s="28">
        <v>32</v>
      </c>
      <c r="J789" s="29">
        <v>14.1</v>
      </c>
    </row>
    <row r="790" spans="1:10" x14ac:dyDescent="0.35">
      <c r="A790" s="26">
        <v>454164</v>
      </c>
      <c r="B790" s="22">
        <v>0</v>
      </c>
      <c r="C790" s="27" t="s">
        <v>1085</v>
      </c>
      <c r="D790" s="28">
        <v>4</v>
      </c>
      <c r="E790" s="28" t="s">
        <v>429</v>
      </c>
      <c r="F790" s="28" t="s">
        <v>440</v>
      </c>
      <c r="G790" s="28">
        <v>4.8999999999999995</v>
      </c>
      <c r="H790" s="28"/>
      <c r="I790" s="28">
        <v>4.96</v>
      </c>
      <c r="J790" s="29">
        <v>14.6</v>
      </c>
    </row>
    <row r="791" spans="1:10" x14ac:dyDescent="0.35">
      <c r="A791" s="26">
        <v>454165</v>
      </c>
      <c r="B791" s="22">
        <v>0</v>
      </c>
      <c r="C791" s="27" t="s">
        <v>1086</v>
      </c>
      <c r="D791" s="28">
        <v>4</v>
      </c>
      <c r="E791" s="28" t="s">
        <v>429</v>
      </c>
      <c r="F791" s="28" t="s">
        <v>922</v>
      </c>
      <c r="G791" s="28">
        <v>4.2</v>
      </c>
      <c r="H791" s="28"/>
      <c r="I791" s="28">
        <v>4.7</v>
      </c>
      <c r="J791" s="29">
        <v>14.6</v>
      </c>
    </row>
    <row r="792" spans="1:10" x14ac:dyDescent="0.35">
      <c r="A792" s="26">
        <v>454166</v>
      </c>
      <c r="B792" s="22">
        <v>0</v>
      </c>
      <c r="C792" s="27" t="s">
        <v>1087</v>
      </c>
      <c r="D792" s="28">
        <v>4</v>
      </c>
      <c r="E792" s="28" t="s">
        <v>429</v>
      </c>
      <c r="F792" s="28" t="s">
        <v>922</v>
      </c>
      <c r="G792" s="28">
        <v>4.2</v>
      </c>
      <c r="H792" s="28"/>
      <c r="I792" s="28">
        <v>4.8</v>
      </c>
      <c r="J792" s="29">
        <v>14.6</v>
      </c>
    </row>
    <row r="793" spans="1:10" x14ac:dyDescent="0.35">
      <c r="A793" s="26">
        <v>454167</v>
      </c>
      <c r="B793" s="22">
        <v>0</v>
      </c>
      <c r="C793" s="27" t="s">
        <v>1088</v>
      </c>
      <c r="D793" s="28">
        <v>1</v>
      </c>
      <c r="E793" s="28" t="s">
        <v>429</v>
      </c>
      <c r="F793" s="28" t="s">
        <v>440</v>
      </c>
      <c r="G793" s="28">
        <v>32</v>
      </c>
      <c r="H793" s="28"/>
      <c r="I793" s="28">
        <v>32</v>
      </c>
      <c r="J793" s="29">
        <v>14.2</v>
      </c>
    </row>
    <row r="794" spans="1:10" x14ac:dyDescent="0.35">
      <c r="A794" s="26">
        <v>454169</v>
      </c>
      <c r="B794" s="22">
        <v>0</v>
      </c>
      <c r="C794" s="27" t="s">
        <v>1089</v>
      </c>
      <c r="D794" s="28">
        <v>1</v>
      </c>
      <c r="E794" s="28" t="s">
        <v>429</v>
      </c>
      <c r="F794" s="28" t="s">
        <v>877</v>
      </c>
      <c r="G794" s="28">
        <v>41</v>
      </c>
      <c r="H794" s="28"/>
      <c r="I794" s="28">
        <v>41</v>
      </c>
      <c r="J794" s="29">
        <v>14</v>
      </c>
    </row>
    <row r="795" spans="1:10" x14ac:dyDescent="0.35">
      <c r="A795" s="26">
        <v>454174</v>
      </c>
      <c r="B795" s="22">
        <v>0</v>
      </c>
      <c r="C795" s="27" t="s">
        <v>1090</v>
      </c>
      <c r="D795" s="28">
        <v>1</v>
      </c>
      <c r="E795" s="28" t="s">
        <v>429</v>
      </c>
      <c r="F795" s="28" t="s">
        <v>877</v>
      </c>
      <c r="G795" s="28">
        <v>24</v>
      </c>
      <c r="H795" s="28"/>
      <c r="I795" s="28">
        <v>24</v>
      </c>
      <c r="J795" s="29">
        <v>13.7</v>
      </c>
    </row>
    <row r="796" spans="1:10" x14ac:dyDescent="0.35">
      <c r="A796" s="26">
        <v>454175</v>
      </c>
      <c r="B796" s="22">
        <v>0</v>
      </c>
      <c r="C796" s="27" t="s">
        <v>1091</v>
      </c>
      <c r="D796" s="28">
        <v>2</v>
      </c>
      <c r="E796" s="28" t="s">
        <v>429</v>
      </c>
      <c r="F796" s="28" t="s">
        <v>877</v>
      </c>
      <c r="G796" s="28">
        <v>13.200000000000001</v>
      </c>
      <c r="H796" s="28"/>
      <c r="I796" s="28">
        <v>13.200000000000001</v>
      </c>
      <c r="J796" s="29">
        <v>15.6</v>
      </c>
    </row>
    <row r="797" spans="1:10" x14ac:dyDescent="0.35">
      <c r="A797" s="26">
        <v>454176</v>
      </c>
      <c r="B797" s="22">
        <v>0</v>
      </c>
      <c r="C797" s="27" t="s">
        <v>1092</v>
      </c>
      <c r="D797" s="28">
        <v>8</v>
      </c>
      <c r="E797" s="28" t="s">
        <v>429</v>
      </c>
      <c r="F797" s="28" t="s">
        <v>889</v>
      </c>
      <c r="G797" s="28">
        <v>3.6</v>
      </c>
      <c r="H797" s="28"/>
      <c r="I797" s="28">
        <v>3.6</v>
      </c>
      <c r="J797" s="29">
        <v>14</v>
      </c>
    </row>
    <row r="798" spans="1:10" x14ac:dyDescent="0.35">
      <c r="A798" s="26">
        <v>454177</v>
      </c>
      <c r="B798" s="22">
        <v>0</v>
      </c>
      <c r="C798" s="27" t="s">
        <v>1093</v>
      </c>
      <c r="D798" s="28">
        <v>4</v>
      </c>
      <c r="E798" s="28" t="s">
        <v>864</v>
      </c>
      <c r="F798" s="28" t="s">
        <v>999</v>
      </c>
      <c r="G798" s="28">
        <v>18</v>
      </c>
      <c r="H798" s="28"/>
      <c r="I798" s="30">
        <v>23.400000000000002</v>
      </c>
      <c r="J798" s="29">
        <v>17</v>
      </c>
    </row>
    <row r="799" spans="1:10" x14ac:dyDescent="0.35">
      <c r="A799" s="26">
        <v>454178</v>
      </c>
      <c r="B799" s="22">
        <v>0</v>
      </c>
      <c r="C799" s="27" t="s">
        <v>1094</v>
      </c>
      <c r="D799" s="28">
        <v>6</v>
      </c>
      <c r="E799" s="28" t="s">
        <v>429</v>
      </c>
      <c r="F799" s="28" t="s">
        <v>1095</v>
      </c>
      <c r="G799" s="28">
        <v>11.3</v>
      </c>
      <c r="H799" s="28"/>
      <c r="I799" s="28">
        <v>11.3</v>
      </c>
      <c r="J799" s="29">
        <v>21</v>
      </c>
    </row>
    <row r="800" spans="1:10" x14ac:dyDescent="0.35">
      <c r="A800" s="26">
        <v>454179</v>
      </c>
      <c r="B800" s="22">
        <v>0</v>
      </c>
      <c r="C800" s="27" t="s">
        <v>1096</v>
      </c>
      <c r="D800" s="28">
        <v>4</v>
      </c>
      <c r="E800" s="28" t="s">
        <v>429</v>
      </c>
      <c r="F800" s="28" t="s">
        <v>877</v>
      </c>
      <c r="G800" s="28">
        <v>7</v>
      </c>
      <c r="H800" s="28"/>
      <c r="I800" s="28">
        <v>7</v>
      </c>
      <c r="J800" s="29">
        <v>15.2</v>
      </c>
    </row>
    <row r="801" spans="1:10" x14ac:dyDescent="0.35">
      <c r="A801" s="26">
        <v>454180</v>
      </c>
      <c r="B801" s="22">
        <v>0</v>
      </c>
      <c r="C801" s="27" t="s">
        <v>1097</v>
      </c>
      <c r="D801" s="28">
        <v>2</v>
      </c>
      <c r="E801" s="28" t="s">
        <v>429</v>
      </c>
      <c r="F801" s="28" t="s">
        <v>877</v>
      </c>
      <c r="G801" s="28">
        <v>9.4</v>
      </c>
      <c r="H801" s="28"/>
      <c r="I801" s="28">
        <v>9.44</v>
      </c>
      <c r="J801" s="29">
        <v>16.399999999999999</v>
      </c>
    </row>
    <row r="802" spans="1:10" x14ac:dyDescent="0.35">
      <c r="A802" s="26">
        <v>454183</v>
      </c>
      <c r="B802" s="22">
        <v>0</v>
      </c>
      <c r="C802" s="27" t="s">
        <v>1098</v>
      </c>
      <c r="D802" s="28">
        <v>2</v>
      </c>
      <c r="E802" s="28" t="s">
        <v>864</v>
      </c>
      <c r="F802" s="28" t="s">
        <v>865</v>
      </c>
      <c r="G802" s="28">
        <v>38</v>
      </c>
      <c r="H802" s="28"/>
      <c r="I802" s="28">
        <v>44.08</v>
      </c>
      <c r="J802" s="29">
        <v>20.9</v>
      </c>
    </row>
    <row r="803" spans="1:10" x14ac:dyDescent="0.35">
      <c r="A803" s="26">
        <v>454184</v>
      </c>
      <c r="B803" s="22">
        <v>0</v>
      </c>
      <c r="C803" s="27" t="s">
        <v>1099</v>
      </c>
      <c r="D803" s="28">
        <v>2</v>
      </c>
      <c r="E803" s="28" t="s">
        <v>864</v>
      </c>
      <c r="F803" s="28" t="s">
        <v>865</v>
      </c>
      <c r="G803" s="28">
        <v>38</v>
      </c>
      <c r="H803" s="28"/>
      <c r="I803" s="28"/>
      <c r="J803" s="29">
        <v>20.9</v>
      </c>
    </row>
    <row r="804" spans="1:10" x14ac:dyDescent="0.35">
      <c r="A804" s="26">
        <v>454185</v>
      </c>
      <c r="B804" s="22">
        <v>0</v>
      </c>
      <c r="C804" s="27" t="s">
        <v>1100</v>
      </c>
      <c r="D804" s="28">
        <v>4</v>
      </c>
      <c r="E804" s="28" t="s">
        <v>429</v>
      </c>
      <c r="F804" s="28" t="s">
        <v>1101</v>
      </c>
      <c r="G804" s="28">
        <v>6.4</v>
      </c>
      <c r="H804" s="28"/>
      <c r="I804" s="28">
        <v>6.5</v>
      </c>
      <c r="J804" s="29">
        <v>20.100000000000001</v>
      </c>
    </row>
    <row r="805" spans="1:10" x14ac:dyDescent="0.35">
      <c r="A805" s="26">
        <v>454186</v>
      </c>
      <c r="B805" s="22">
        <v>0</v>
      </c>
      <c r="C805" s="27" t="s">
        <v>1102</v>
      </c>
      <c r="D805" s="28">
        <v>4</v>
      </c>
      <c r="E805" s="28" t="s">
        <v>429</v>
      </c>
      <c r="F805" s="28" t="s">
        <v>1101</v>
      </c>
      <c r="G805" s="28">
        <v>5.7</v>
      </c>
      <c r="H805" s="28"/>
      <c r="I805" s="28">
        <v>6.5</v>
      </c>
      <c r="J805" s="29">
        <v>20.100000000000001</v>
      </c>
    </row>
    <row r="806" spans="1:10" x14ac:dyDescent="0.35">
      <c r="A806" s="26">
        <v>454187</v>
      </c>
      <c r="B806" s="22">
        <v>0</v>
      </c>
      <c r="C806" s="27" t="s">
        <v>1103</v>
      </c>
      <c r="D806" s="28">
        <v>1</v>
      </c>
      <c r="E806" s="28" t="s">
        <v>429</v>
      </c>
      <c r="F806" s="28" t="s">
        <v>440</v>
      </c>
      <c r="G806" s="28">
        <v>56.8</v>
      </c>
      <c r="H806" s="28"/>
      <c r="I806" s="28">
        <v>58</v>
      </c>
      <c r="J806" s="29">
        <v>14.4</v>
      </c>
    </row>
    <row r="807" spans="1:10" x14ac:dyDescent="0.35">
      <c r="A807" s="26">
        <v>454191</v>
      </c>
      <c r="B807" s="22">
        <v>0</v>
      </c>
      <c r="C807" s="27" t="s">
        <v>1104</v>
      </c>
      <c r="D807" s="28">
        <v>2</v>
      </c>
      <c r="E807" s="28" t="s">
        <v>864</v>
      </c>
      <c r="F807" s="28" t="s">
        <v>1028</v>
      </c>
      <c r="G807" s="28">
        <v>63.4</v>
      </c>
      <c r="H807" s="28"/>
      <c r="I807" s="28">
        <v>61</v>
      </c>
      <c r="J807" s="29">
        <v>24.8</v>
      </c>
    </row>
    <row r="808" spans="1:10" x14ac:dyDescent="0.35">
      <c r="A808" s="26">
        <v>454192</v>
      </c>
      <c r="B808" s="22">
        <v>0</v>
      </c>
      <c r="C808" s="27" t="s">
        <v>1105</v>
      </c>
      <c r="D808" s="28">
        <v>4</v>
      </c>
      <c r="E808" s="28" t="s">
        <v>864</v>
      </c>
      <c r="F808" s="28" t="s">
        <v>865</v>
      </c>
      <c r="G808" s="28">
        <v>60</v>
      </c>
      <c r="H808" s="28"/>
      <c r="I808" s="30">
        <v>78</v>
      </c>
      <c r="J808" s="29">
        <v>48.2</v>
      </c>
    </row>
    <row r="809" spans="1:10" x14ac:dyDescent="0.35">
      <c r="A809" s="26">
        <v>454195</v>
      </c>
      <c r="B809" s="22">
        <v>0</v>
      </c>
      <c r="C809" s="27" t="s">
        <v>1106</v>
      </c>
      <c r="D809" s="28">
        <v>1</v>
      </c>
      <c r="E809" s="28" t="s">
        <v>429</v>
      </c>
      <c r="F809" s="28" t="s">
        <v>877</v>
      </c>
      <c r="G809" s="28">
        <v>23.2</v>
      </c>
      <c r="H809" s="28"/>
      <c r="I809" s="28">
        <v>23.2</v>
      </c>
      <c r="J809" s="29">
        <v>14</v>
      </c>
    </row>
    <row r="810" spans="1:10" x14ac:dyDescent="0.35">
      <c r="A810" s="26">
        <v>454196</v>
      </c>
      <c r="B810" s="22">
        <v>0</v>
      </c>
      <c r="C810" s="27" t="s">
        <v>1107</v>
      </c>
      <c r="D810" s="28">
        <v>2</v>
      </c>
      <c r="E810" s="28" t="s">
        <v>429</v>
      </c>
      <c r="F810" s="28" t="s">
        <v>877</v>
      </c>
      <c r="G810" s="28">
        <v>9.4</v>
      </c>
      <c r="H810" s="28"/>
      <c r="I810" s="28">
        <v>9.4</v>
      </c>
      <c r="J810" s="29">
        <v>16.399999999999999</v>
      </c>
    </row>
    <row r="811" spans="1:10" x14ac:dyDescent="0.35">
      <c r="A811" s="26">
        <v>454197</v>
      </c>
      <c r="B811" s="22">
        <v>0</v>
      </c>
      <c r="C811" s="27" t="s">
        <v>1108</v>
      </c>
      <c r="D811" s="28">
        <v>1</v>
      </c>
      <c r="E811" s="28" t="s">
        <v>429</v>
      </c>
      <c r="F811" s="28" t="s">
        <v>877</v>
      </c>
      <c r="G811" s="28">
        <v>24</v>
      </c>
      <c r="H811" s="28"/>
      <c r="I811" s="28">
        <v>24</v>
      </c>
      <c r="J811" s="29">
        <v>13.7</v>
      </c>
    </row>
    <row r="812" spans="1:10" x14ac:dyDescent="0.35">
      <c r="A812" s="26">
        <v>454198</v>
      </c>
      <c r="B812" s="22">
        <v>0</v>
      </c>
      <c r="C812" s="27" t="s">
        <v>1109</v>
      </c>
      <c r="D812" s="28">
        <v>8</v>
      </c>
      <c r="E812" s="28" t="s">
        <v>429</v>
      </c>
      <c r="F812" s="28" t="s">
        <v>450</v>
      </c>
      <c r="G812" s="28">
        <v>1.8</v>
      </c>
      <c r="H812" s="28"/>
      <c r="I812" s="28">
        <v>1.8</v>
      </c>
      <c r="J812" s="29">
        <v>32.799999999999997</v>
      </c>
    </row>
    <row r="813" spans="1:10" x14ac:dyDescent="0.35">
      <c r="A813" s="26">
        <v>454201</v>
      </c>
      <c r="B813" s="22">
        <v>0</v>
      </c>
      <c r="C813" s="27" t="s">
        <v>1110</v>
      </c>
      <c r="D813" s="28">
        <v>2</v>
      </c>
      <c r="E813" s="28" t="s">
        <v>429</v>
      </c>
      <c r="F813" s="28" t="s">
        <v>877</v>
      </c>
      <c r="G813" s="28">
        <v>9.4</v>
      </c>
      <c r="H813" s="28"/>
      <c r="I813" s="28">
        <v>9.4</v>
      </c>
      <c r="J813" s="29">
        <v>16.399999999999999</v>
      </c>
    </row>
    <row r="814" spans="1:10" x14ac:dyDescent="0.35">
      <c r="A814" s="26">
        <v>454202</v>
      </c>
      <c r="B814" s="22">
        <v>0</v>
      </c>
      <c r="C814" s="27" t="s">
        <v>1111</v>
      </c>
      <c r="D814" s="28">
        <v>1</v>
      </c>
      <c r="E814" s="28" t="s">
        <v>429</v>
      </c>
      <c r="F814" s="28" t="s">
        <v>877</v>
      </c>
      <c r="G814" s="28">
        <v>53.2</v>
      </c>
      <c r="H814" s="28"/>
      <c r="I814" s="28">
        <v>51.64</v>
      </c>
      <c r="J814" s="29">
        <v>13.8</v>
      </c>
    </row>
    <row r="815" spans="1:10" x14ac:dyDescent="0.35">
      <c r="A815" s="26">
        <v>454203</v>
      </c>
      <c r="B815" s="22">
        <v>0</v>
      </c>
      <c r="C815" s="27" t="s">
        <v>1112</v>
      </c>
      <c r="D815" s="28">
        <v>1</v>
      </c>
      <c r="E815" s="28" t="s">
        <v>429</v>
      </c>
      <c r="F815" s="28" t="s">
        <v>877</v>
      </c>
      <c r="G815" s="28">
        <v>50.2</v>
      </c>
      <c r="H815" s="28"/>
      <c r="I815" s="28">
        <v>50.2</v>
      </c>
      <c r="J815" s="29">
        <v>15</v>
      </c>
    </row>
    <row r="816" spans="1:10" x14ac:dyDescent="0.35">
      <c r="A816" s="26">
        <v>454205</v>
      </c>
      <c r="B816" s="22">
        <v>0</v>
      </c>
      <c r="C816" s="27" t="s">
        <v>1113</v>
      </c>
      <c r="D816" s="28">
        <v>1</v>
      </c>
      <c r="E816" s="28" t="s">
        <v>429</v>
      </c>
      <c r="F816" s="28" t="s">
        <v>877</v>
      </c>
      <c r="G816" s="28">
        <v>33</v>
      </c>
      <c r="H816" s="28"/>
      <c r="I816" s="28">
        <v>33</v>
      </c>
      <c r="J816" s="29">
        <v>14.2</v>
      </c>
    </row>
    <row r="817" spans="1:10" x14ac:dyDescent="0.35">
      <c r="A817" s="26">
        <v>454206</v>
      </c>
      <c r="B817" s="22">
        <v>0</v>
      </c>
      <c r="C817" s="27" t="s">
        <v>1114</v>
      </c>
      <c r="D817" s="28">
        <v>1</v>
      </c>
      <c r="E817" s="28" t="s">
        <v>429</v>
      </c>
      <c r="F817" s="28" t="s">
        <v>877</v>
      </c>
      <c r="G817" s="28">
        <v>33</v>
      </c>
      <c r="H817" s="28"/>
      <c r="I817" s="28">
        <v>33</v>
      </c>
      <c r="J817" s="29">
        <v>14.2</v>
      </c>
    </row>
    <row r="818" spans="1:10" x14ac:dyDescent="0.35">
      <c r="A818" s="26">
        <v>454209</v>
      </c>
      <c r="B818" s="22">
        <v>0</v>
      </c>
      <c r="C818" s="27" t="s">
        <v>1115</v>
      </c>
      <c r="D818" s="28">
        <v>1</v>
      </c>
      <c r="E818" s="28" t="s">
        <v>429</v>
      </c>
      <c r="F818" s="28" t="s">
        <v>877</v>
      </c>
      <c r="G818" s="28">
        <v>33</v>
      </c>
      <c r="H818" s="28"/>
      <c r="I818" s="28">
        <v>33</v>
      </c>
      <c r="J818" s="29">
        <v>14.2</v>
      </c>
    </row>
    <row r="819" spans="1:10" x14ac:dyDescent="0.35">
      <c r="A819" s="26">
        <v>454213</v>
      </c>
      <c r="B819" s="22">
        <v>0</v>
      </c>
      <c r="C819" s="27" t="s">
        <v>1116</v>
      </c>
      <c r="D819" s="28">
        <v>1</v>
      </c>
      <c r="E819" s="28" t="s">
        <v>429</v>
      </c>
      <c r="F819" s="28" t="s">
        <v>450</v>
      </c>
      <c r="G819" s="28">
        <v>33</v>
      </c>
      <c r="H819" s="28"/>
      <c r="I819" s="28">
        <v>33</v>
      </c>
      <c r="J819" s="29">
        <v>14</v>
      </c>
    </row>
    <row r="820" spans="1:10" x14ac:dyDescent="0.35">
      <c r="A820" s="26">
        <v>454214</v>
      </c>
      <c r="B820" s="22">
        <v>0</v>
      </c>
      <c r="C820" s="27" t="s">
        <v>1117</v>
      </c>
      <c r="D820" s="28">
        <v>1</v>
      </c>
      <c r="E820" s="28" t="s">
        <v>429</v>
      </c>
      <c r="F820" s="28" t="s">
        <v>877</v>
      </c>
      <c r="G820" s="28">
        <v>118</v>
      </c>
      <c r="H820" s="28"/>
      <c r="I820" s="28">
        <v>118</v>
      </c>
      <c r="J820" s="29">
        <v>17.8</v>
      </c>
    </row>
    <row r="821" spans="1:10" x14ac:dyDescent="0.35">
      <c r="A821" s="26">
        <v>454215</v>
      </c>
      <c r="B821" s="22">
        <v>0</v>
      </c>
      <c r="C821" s="27" t="s">
        <v>1118</v>
      </c>
      <c r="D821" s="28">
        <v>1</v>
      </c>
      <c r="E821" s="28" t="s">
        <v>429</v>
      </c>
      <c r="F821" s="28" t="s">
        <v>877</v>
      </c>
      <c r="G821" s="28">
        <v>118</v>
      </c>
      <c r="H821" s="28"/>
      <c r="I821" s="28">
        <v>117.67</v>
      </c>
      <c r="J821" s="29">
        <v>17.8</v>
      </c>
    </row>
    <row r="822" spans="1:10" x14ac:dyDescent="0.35">
      <c r="A822" s="26">
        <v>454217</v>
      </c>
      <c r="B822" s="22">
        <v>0</v>
      </c>
      <c r="C822" s="27" t="s">
        <v>1119</v>
      </c>
      <c r="D822" s="28">
        <v>1</v>
      </c>
      <c r="E822" s="28" t="s">
        <v>864</v>
      </c>
      <c r="F822" s="28" t="s">
        <v>999</v>
      </c>
      <c r="G822" s="28">
        <v>45</v>
      </c>
      <c r="H822" s="28"/>
      <c r="I822" s="30">
        <v>64.81</v>
      </c>
      <c r="J822" s="29">
        <v>27.5</v>
      </c>
    </row>
    <row r="823" spans="1:10" x14ac:dyDescent="0.35">
      <c r="A823" s="26">
        <v>454218</v>
      </c>
      <c r="B823" s="22">
        <v>0</v>
      </c>
      <c r="C823" s="27" t="s">
        <v>1120</v>
      </c>
      <c r="D823" s="28">
        <v>1</v>
      </c>
      <c r="E823" s="28" t="s">
        <v>429</v>
      </c>
      <c r="F823" s="28" t="s">
        <v>877</v>
      </c>
      <c r="G823" s="28">
        <v>33</v>
      </c>
      <c r="H823" s="28"/>
      <c r="I823" s="28">
        <v>33</v>
      </c>
      <c r="J823" s="29">
        <v>14</v>
      </c>
    </row>
    <row r="824" spans="1:10" x14ac:dyDescent="0.35">
      <c r="A824" s="26">
        <v>454219</v>
      </c>
      <c r="B824" s="22">
        <v>0</v>
      </c>
      <c r="C824" s="27" t="s">
        <v>1121</v>
      </c>
      <c r="D824" s="28">
        <v>1</v>
      </c>
      <c r="E824" s="28" t="s">
        <v>429</v>
      </c>
      <c r="F824" s="28" t="s">
        <v>877</v>
      </c>
      <c r="G824" s="28">
        <v>12.6</v>
      </c>
      <c r="H824" s="28"/>
      <c r="I824" s="28">
        <v>12.6</v>
      </c>
      <c r="J824" s="29">
        <v>13.4</v>
      </c>
    </row>
    <row r="825" spans="1:10" x14ac:dyDescent="0.35">
      <c r="A825" s="26">
        <v>454221</v>
      </c>
      <c r="B825" s="22">
        <v>0</v>
      </c>
      <c r="C825" s="27" t="s">
        <v>1122</v>
      </c>
      <c r="D825" s="28">
        <v>2</v>
      </c>
      <c r="E825" s="28" t="s">
        <v>864</v>
      </c>
      <c r="F825" s="28" t="s">
        <v>999</v>
      </c>
      <c r="G825" s="28">
        <v>44.699999999999996</v>
      </c>
      <c r="H825" s="28"/>
      <c r="I825" s="28">
        <v>58.11</v>
      </c>
      <c r="J825" s="29">
        <v>21.6</v>
      </c>
    </row>
    <row r="826" spans="1:10" x14ac:dyDescent="0.35">
      <c r="A826" s="26">
        <v>454222</v>
      </c>
      <c r="B826" s="22">
        <v>0</v>
      </c>
      <c r="C826" s="27" t="s">
        <v>1123</v>
      </c>
      <c r="D826" s="28">
        <v>1</v>
      </c>
      <c r="E826" s="28" t="s">
        <v>429</v>
      </c>
      <c r="F826" s="28" t="s">
        <v>440</v>
      </c>
      <c r="G826" s="28">
        <v>32</v>
      </c>
      <c r="H826" s="28"/>
      <c r="I826" s="28">
        <v>32</v>
      </c>
      <c r="J826" s="29">
        <v>14.2</v>
      </c>
    </row>
    <row r="827" spans="1:10" x14ac:dyDescent="0.35">
      <c r="A827" s="26">
        <v>454224</v>
      </c>
      <c r="B827" s="22">
        <v>0</v>
      </c>
      <c r="C827" s="27" t="s">
        <v>1124</v>
      </c>
      <c r="D827" s="28">
        <v>4</v>
      </c>
      <c r="E827" s="28" t="s">
        <v>864</v>
      </c>
      <c r="F827" s="28" t="s">
        <v>999</v>
      </c>
      <c r="G827" s="28">
        <v>20</v>
      </c>
      <c r="H827" s="28"/>
      <c r="I827" s="28">
        <v>60.5</v>
      </c>
      <c r="J827" s="29">
        <v>20.399999999999999</v>
      </c>
    </row>
    <row r="828" spans="1:10" x14ac:dyDescent="0.35">
      <c r="A828" s="26">
        <v>454225</v>
      </c>
      <c r="B828" s="22">
        <v>0</v>
      </c>
      <c r="C828" s="27" t="s">
        <v>1125</v>
      </c>
      <c r="D828" s="28">
        <v>1</v>
      </c>
      <c r="E828" s="28" t="s">
        <v>429</v>
      </c>
      <c r="F828" s="28" t="s">
        <v>877</v>
      </c>
      <c r="G828" s="28">
        <v>60</v>
      </c>
      <c r="H828" s="28"/>
      <c r="I828" s="28">
        <v>60</v>
      </c>
      <c r="J828" s="29">
        <v>25</v>
      </c>
    </row>
    <row r="829" spans="1:10" x14ac:dyDescent="0.35">
      <c r="A829" s="26">
        <v>454226</v>
      </c>
      <c r="B829" s="22">
        <v>0</v>
      </c>
      <c r="C829" s="27" t="s">
        <v>1126</v>
      </c>
      <c r="D829" s="28">
        <v>1</v>
      </c>
      <c r="E829" s="28" t="s">
        <v>429</v>
      </c>
      <c r="F829" s="28" t="s">
        <v>450</v>
      </c>
      <c r="G829" s="28">
        <v>66</v>
      </c>
      <c r="H829" s="28"/>
      <c r="I829" s="28">
        <v>64.7</v>
      </c>
      <c r="J829" s="29">
        <v>19.100000000000001</v>
      </c>
    </row>
    <row r="830" spans="1:10" x14ac:dyDescent="0.35">
      <c r="A830" s="26">
        <v>454227</v>
      </c>
      <c r="B830" s="22">
        <v>0</v>
      </c>
      <c r="C830" s="27" t="s">
        <v>1127</v>
      </c>
      <c r="D830" s="28">
        <v>2</v>
      </c>
      <c r="E830" s="28" t="s">
        <v>864</v>
      </c>
      <c r="F830" s="28" t="s">
        <v>1049</v>
      </c>
      <c r="G830" s="28">
        <v>29.5</v>
      </c>
      <c r="H830" s="28"/>
      <c r="I830" s="28">
        <v>38.35</v>
      </c>
      <c r="J830" s="29">
        <v>23</v>
      </c>
    </row>
    <row r="831" spans="1:10" x14ac:dyDescent="0.35">
      <c r="A831" s="26">
        <v>454228</v>
      </c>
      <c r="B831" s="22">
        <v>0</v>
      </c>
      <c r="C831" s="27" t="s">
        <v>1128</v>
      </c>
      <c r="D831" s="28">
        <v>4</v>
      </c>
      <c r="E831" s="28" t="s">
        <v>864</v>
      </c>
      <c r="F831" s="28" t="s">
        <v>999</v>
      </c>
      <c r="G831" s="28">
        <v>23</v>
      </c>
      <c r="H831" s="28"/>
      <c r="I831" s="28">
        <v>40.200000000000003</v>
      </c>
      <c r="J831" s="29">
        <v>23</v>
      </c>
    </row>
    <row r="832" spans="1:10" x14ac:dyDescent="0.35">
      <c r="A832" s="26">
        <v>454229</v>
      </c>
      <c r="B832" s="22">
        <v>0</v>
      </c>
      <c r="C832" s="27" t="s">
        <v>1129</v>
      </c>
      <c r="D832" s="28">
        <v>2</v>
      </c>
      <c r="E832" s="28" t="s">
        <v>429</v>
      </c>
      <c r="F832" s="28" t="s">
        <v>877</v>
      </c>
      <c r="G832" s="28">
        <v>13.200000000000001</v>
      </c>
      <c r="H832" s="28"/>
      <c r="I832" s="28">
        <v>13.200000000000001</v>
      </c>
      <c r="J832" s="29">
        <v>15.6</v>
      </c>
    </row>
    <row r="833" spans="1:10" x14ac:dyDescent="0.35">
      <c r="A833" s="26">
        <v>454240</v>
      </c>
      <c r="B833" s="22">
        <v>0</v>
      </c>
      <c r="C833" s="27" t="s">
        <v>1130</v>
      </c>
      <c r="D833" s="28">
        <v>8</v>
      </c>
      <c r="E833" s="28" t="s">
        <v>429</v>
      </c>
      <c r="F833" s="28" t="s">
        <v>889</v>
      </c>
      <c r="G833" s="28">
        <v>3.6</v>
      </c>
      <c r="H833" s="28"/>
      <c r="I833" s="28">
        <v>3.6</v>
      </c>
      <c r="J833" s="29">
        <v>14</v>
      </c>
    </row>
    <row r="834" spans="1:10" x14ac:dyDescent="0.35">
      <c r="A834" s="26">
        <v>454241</v>
      </c>
      <c r="B834" s="22">
        <v>0</v>
      </c>
      <c r="C834" s="27" t="s">
        <v>1131</v>
      </c>
      <c r="D834" s="28">
        <v>4</v>
      </c>
      <c r="E834" s="28" t="s">
        <v>864</v>
      </c>
      <c r="F834" s="28" t="s">
        <v>999</v>
      </c>
      <c r="G834" s="28">
        <v>36</v>
      </c>
      <c r="H834" s="28"/>
      <c r="I834" s="28">
        <v>46.800000000000004</v>
      </c>
      <c r="J834" s="29">
        <v>22.8</v>
      </c>
    </row>
    <row r="835" spans="1:10" x14ac:dyDescent="0.35">
      <c r="A835" s="26">
        <v>454248</v>
      </c>
      <c r="B835" s="22">
        <v>0</v>
      </c>
      <c r="C835" s="27" t="s">
        <v>1132</v>
      </c>
      <c r="D835" s="28">
        <v>1</v>
      </c>
      <c r="E835" s="28" t="s">
        <v>864</v>
      </c>
      <c r="F835" s="28" t="s">
        <v>865</v>
      </c>
      <c r="G835" s="28">
        <v>96</v>
      </c>
      <c r="H835" s="28"/>
      <c r="I835" s="28">
        <v>31</v>
      </c>
      <c r="J835" s="29">
        <v>25.6</v>
      </c>
    </row>
    <row r="836" spans="1:10" x14ac:dyDescent="0.35">
      <c r="A836" s="26">
        <v>454249</v>
      </c>
      <c r="B836" s="22">
        <v>0</v>
      </c>
      <c r="C836" s="27" t="s">
        <v>1133</v>
      </c>
      <c r="D836" s="28">
        <v>4</v>
      </c>
      <c r="E836" s="28" t="s">
        <v>429</v>
      </c>
      <c r="F836" s="28" t="s">
        <v>872</v>
      </c>
      <c r="G836" s="28">
        <v>4.2</v>
      </c>
      <c r="H836" s="28"/>
      <c r="I836" s="28">
        <v>4.2</v>
      </c>
      <c r="J836" s="29">
        <v>14.6</v>
      </c>
    </row>
    <row r="837" spans="1:10" x14ac:dyDescent="0.35">
      <c r="A837" s="26">
        <v>454250</v>
      </c>
      <c r="B837" s="22">
        <v>0</v>
      </c>
      <c r="C837" s="27" t="s">
        <v>1134</v>
      </c>
      <c r="D837" s="28">
        <v>4</v>
      </c>
      <c r="E837" s="28" t="s">
        <v>429</v>
      </c>
      <c r="F837" s="28" t="s">
        <v>872</v>
      </c>
      <c r="G837" s="28">
        <v>4.2</v>
      </c>
      <c r="H837" s="28"/>
      <c r="I837" s="28">
        <v>4.2</v>
      </c>
      <c r="J837" s="29">
        <v>14.6</v>
      </c>
    </row>
    <row r="838" spans="1:10" x14ac:dyDescent="0.35">
      <c r="A838" s="26">
        <v>454251</v>
      </c>
      <c r="B838" s="22">
        <v>0</v>
      </c>
      <c r="C838" s="27" t="s">
        <v>1135</v>
      </c>
      <c r="D838" s="28">
        <v>4</v>
      </c>
      <c r="E838" s="28" t="s">
        <v>429</v>
      </c>
      <c r="F838" s="28" t="s">
        <v>922</v>
      </c>
      <c r="G838" s="28">
        <v>4.2</v>
      </c>
      <c r="H838" s="28"/>
      <c r="I838" s="28">
        <v>4.05</v>
      </c>
      <c r="J838" s="29">
        <v>14.6</v>
      </c>
    </row>
    <row r="839" spans="1:10" x14ac:dyDescent="0.35">
      <c r="A839" s="26">
        <v>454252</v>
      </c>
      <c r="B839" s="22">
        <v>0</v>
      </c>
      <c r="C839" s="27" t="s">
        <v>1136</v>
      </c>
      <c r="D839" s="28">
        <v>1</v>
      </c>
      <c r="E839" s="28" t="s">
        <v>429</v>
      </c>
      <c r="F839" s="28" t="s">
        <v>440</v>
      </c>
      <c r="G839" s="28">
        <v>12.6</v>
      </c>
      <c r="H839" s="28"/>
      <c r="I839" s="28">
        <v>12.6</v>
      </c>
      <c r="J839" s="29">
        <v>11.1</v>
      </c>
    </row>
    <row r="840" spans="1:10" x14ac:dyDescent="0.35">
      <c r="A840" s="26">
        <v>454253</v>
      </c>
      <c r="B840" s="22">
        <v>0</v>
      </c>
      <c r="C840" s="27" t="s">
        <v>1137</v>
      </c>
      <c r="D840" s="28">
        <v>1</v>
      </c>
      <c r="E840" s="28" t="s">
        <v>429</v>
      </c>
      <c r="F840" s="28" t="s">
        <v>883</v>
      </c>
      <c r="G840" s="28">
        <v>12.6</v>
      </c>
      <c r="H840" s="28"/>
      <c r="I840" s="28">
        <v>12.75</v>
      </c>
      <c r="J840" s="29">
        <v>11.1</v>
      </c>
    </row>
    <row r="841" spans="1:10" x14ac:dyDescent="0.35">
      <c r="A841" s="26">
        <v>454254</v>
      </c>
      <c r="B841" s="22">
        <v>0</v>
      </c>
      <c r="C841" s="27" t="s">
        <v>1138</v>
      </c>
      <c r="D841" s="28">
        <v>1</v>
      </c>
      <c r="E841" s="28" t="s">
        <v>429</v>
      </c>
      <c r="F841" s="28" t="s">
        <v>440</v>
      </c>
      <c r="G841" s="28">
        <v>87</v>
      </c>
      <c r="H841" s="28"/>
      <c r="I841" s="28">
        <v>87</v>
      </c>
      <c r="J841" s="29">
        <v>24</v>
      </c>
    </row>
    <row r="842" spans="1:10" x14ac:dyDescent="0.35">
      <c r="A842" s="26">
        <v>454255</v>
      </c>
      <c r="B842" s="22">
        <v>0</v>
      </c>
      <c r="C842" s="27" t="s">
        <v>1139</v>
      </c>
      <c r="D842" s="28">
        <v>0</v>
      </c>
      <c r="E842" s="28" t="s">
        <v>429</v>
      </c>
      <c r="F842" s="28" t="s">
        <v>440</v>
      </c>
      <c r="G842" s="28">
        <v>38</v>
      </c>
      <c r="H842" s="28"/>
      <c r="I842" s="28">
        <v>38</v>
      </c>
      <c r="J842" s="29">
        <v>24</v>
      </c>
    </row>
    <row r="843" spans="1:10" x14ac:dyDescent="0.35">
      <c r="A843" s="26">
        <v>454256</v>
      </c>
      <c r="B843" s="22">
        <v>0</v>
      </c>
      <c r="C843" s="27" t="s">
        <v>1140</v>
      </c>
      <c r="D843" s="28">
        <v>2</v>
      </c>
      <c r="E843" s="28" t="s">
        <v>429</v>
      </c>
      <c r="F843" s="28" t="s">
        <v>440</v>
      </c>
      <c r="G843" s="28">
        <v>38</v>
      </c>
      <c r="H843" s="28"/>
      <c r="I843" s="28">
        <v>38</v>
      </c>
      <c r="J843" s="29">
        <v>24</v>
      </c>
    </row>
    <row r="844" spans="1:10" x14ac:dyDescent="0.35">
      <c r="A844" s="26">
        <v>454259</v>
      </c>
      <c r="B844" s="22">
        <v>0</v>
      </c>
      <c r="C844" s="27" t="s">
        <v>1141</v>
      </c>
      <c r="D844" s="28">
        <v>4</v>
      </c>
      <c r="E844" s="28" t="s">
        <v>864</v>
      </c>
      <c r="F844" s="28" t="s">
        <v>999</v>
      </c>
      <c r="G844" s="28">
        <v>24</v>
      </c>
      <c r="H844" s="28"/>
      <c r="I844" s="30">
        <v>40.700000000000003</v>
      </c>
      <c r="J844" s="29">
        <v>18</v>
      </c>
    </row>
    <row r="845" spans="1:10" x14ac:dyDescent="0.35">
      <c r="A845" s="26">
        <v>454279</v>
      </c>
      <c r="B845" s="22">
        <v>0</v>
      </c>
      <c r="C845" s="27" t="s">
        <v>1142</v>
      </c>
      <c r="D845" s="28">
        <v>2</v>
      </c>
      <c r="E845" s="28" t="s">
        <v>864</v>
      </c>
      <c r="F845" s="28" t="s">
        <v>999</v>
      </c>
      <c r="G845" s="28">
        <v>87</v>
      </c>
      <c r="H845" s="28"/>
      <c r="I845" s="30"/>
      <c r="J845" s="29">
        <v>35.9</v>
      </c>
    </row>
    <row r="846" spans="1:10" x14ac:dyDescent="0.35">
      <c r="A846" s="26">
        <v>454280</v>
      </c>
      <c r="B846" s="22">
        <v>0</v>
      </c>
      <c r="C846" s="27" t="s">
        <v>1143</v>
      </c>
      <c r="D846" s="28">
        <v>2</v>
      </c>
      <c r="E846" s="28" t="s">
        <v>429</v>
      </c>
      <c r="F846" s="28" t="s">
        <v>467</v>
      </c>
      <c r="G846" s="28">
        <v>5.7</v>
      </c>
      <c r="H846" s="28"/>
      <c r="I846" s="28">
        <v>5</v>
      </c>
      <c r="J846" s="29">
        <v>12.9</v>
      </c>
    </row>
    <row r="847" spans="1:10" x14ac:dyDescent="0.35">
      <c r="A847" s="26">
        <v>454281</v>
      </c>
      <c r="B847" s="22">
        <v>0</v>
      </c>
      <c r="C847" s="27" t="s">
        <v>1144</v>
      </c>
      <c r="D847" s="28">
        <v>2</v>
      </c>
      <c r="E847" s="28" t="s">
        <v>429</v>
      </c>
      <c r="F847" s="28" t="s">
        <v>467</v>
      </c>
      <c r="G847" s="28">
        <v>5.7</v>
      </c>
      <c r="H847" s="28"/>
      <c r="I847" s="28">
        <v>5</v>
      </c>
      <c r="J847" s="29">
        <v>12.9</v>
      </c>
    </row>
    <row r="848" spans="1:10" x14ac:dyDescent="0.35">
      <c r="A848" s="26">
        <v>454282</v>
      </c>
      <c r="B848" s="22">
        <v>0</v>
      </c>
      <c r="C848" s="27" t="s">
        <v>1145</v>
      </c>
      <c r="D848" s="28">
        <v>1</v>
      </c>
      <c r="E848" s="28" t="s">
        <v>429</v>
      </c>
      <c r="F848" s="28" t="s">
        <v>877</v>
      </c>
      <c r="G848" s="28">
        <v>21</v>
      </c>
      <c r="H848" s="28"/>
      <c r="I848" s="28">
        <v>21</v>
      </c>
      <c r="J848" s="29">
        <v>14</v>
      </c>
    </row>
    <row r="849" spans="1:10" x14ac:dyDescent="0.35">
      <c r="A849" s="26">
        <v>454881</v>
      </c>
      <c r="B849" s="22">
        <v>0</v>
      </c>
      <c r="C849" s="27" t="s">
        <v>1146</v>
      </c>
      <c r="D849" s="28">
        <v>4</v>
      </c>
      <c r="E849" s="28" t="s">
        <v>864</v>
      </c>
      <c r="F849" s="28" t="s">
        <v>999</v>
      </c>
      <c r="G849" s="28">
        <v>20.7</v>
      </c>
      <c r="H849" s="28"/>
      <c r="I849" s="28">
        <v>26.91</v>
      </c>
      <c r="J849" s="29">
        <v>19.100000000000001</v>
      </c>
    </row>
    <row r="850" spans="1:10" x14ac:dyDescent="0.35">
      <c r="A850" s="26">
        <v>454883</v>
      </c>
      <c r="B850" s="22">
        <v>0</v>
      </c>
      <c r="C850" s="27" t="s">
        <v>1147</v>
      </c>
      <c r="D850" s="28">
        <v>4</v>
      </c>
      <c r="E850" s="28" t="s">
        <v>864</v>
      </c>
      <c r="F850" s="28" t="s">
        <v>999</v>
      </c>
      <c r="G850" s="28">
        <v>20</v>
      </c>
      <c r="H850" s="28"/>
      <c r="I850" s="30">
        <v>26</v>
      </c>
      <c r="J850" s="29">
        <v>18.600000000000001</v>
      </c>
    </row>
    <row r="851" spans="1:10" x14ac:dyDescent="0.35">
      <c r="A851" s="26">
        <v>455983</v>
      </c>
      <c r="B851" s="22">
        <v>0</v>
      </c>
      <c r="C851" s="27" t="s">
        <v>1148</v>
      </c>
      <c r="D851" s="28">
        <v>4</v>
      </c>
      <c r="E851" s="28" t="s">
        <v>429</v>
      </c>
      <c r="F851" s="28" t="s">
        <v>440</v>
      </c>
      <c r="G851" s="28">
        <v>8.3000000000000007</v>
      </c>
      <c r="H851" s="28"/>
      <c r="I851" s="28">
        <v>8</v>
      </c>
      <c r="J851" s="29">
        <v>15.3</v>
      </c>
    </row>
    <row r="852" spans="1:10" x14ac:dyDescent="0.35">
      <c r="A852" s="26">
        <v>456142</v>
      </c>
      <c r="B852" s="22">
        <v>0</v>
      </c>
      <c r="C852" s="27" t="s">
        <v>1149</v>
      </c>
      <c r="D852" s="28">
        <v>1</v>
      </c>
      <c r="E852" s="28" t="s">
        <v>429</v>
      </c>
      <c r="F852" s="28" t="s">
        <v>877</v>
      </c>
      <c r="G852" s="28">
        <v>11.3</v>
      </c>
      <c r="H852" s="28"/>
      <c r="I852" s="28">
        <v>11.57</v>
      </c>
      <c r="J852" s="29">
        <v>3.5</v>
      </c>
    </row>
    <row r="853" spans="1:10" x14ac:dyDescent="0.35">
      <c r="A853" s="26">
        <v>456285</v>
      </c>
      <c r="B853" s="22">
        <v>0</v>
      </c>
      <c r="C853" s="27" t="s">
        <v>1150</v>
      </c>
      <c r="D853" s="28">
        <v>1</v>
      </c>
      <c r="E853" s="28" t="s">
        <v>429</v>
      </c>
      <c r="F853" s="28" t="s">
        <v>877</v>
      </c>
      <c r="G853" s="28">
        <v>53.2</v>
      </c>
      <c r="H853" s="28"/>
      <c r="I853" s="28">
        <v>51</v>
      </c>
      <c r="J853" s="29">
        <v>13.7</v>
      </c>
    </row>
    <row r="854" spans="1:10" x14ac:dyDescent="0.35">
      <c r="A854" s="26">
        <v>456286</v>
      </c>
      <c r="B854" s="22">
        <v>0</v>
      </c>
      <c r="C854" s="27" t="s">
        <v>1151</v>
      </c>
      <c r="D854" s="28">
        <v>1</v>
      </c>
      <c r="E854" s="28" t="s">
        <v>429</v>
      </c>
      <c r="F854" s="28" t="s">
        <v>440</v>
      </c>
      <c r="G854" s="28">
        <v>32</v>
      </c>
      <c r="H854" s="28"/>
      <c r="I854" s="28">
        <v>32</v>
      </c>
      <c r="J854" s="29">
        <v>14.2</v>
      </c>
    </row>
    <row r="855" spans="1:10" x14ac:dyDescent="0.35">
      <c r="A855" s="26">
        <v>457837</v>
      </c>
      <c r="B855" s="22">
        <v>0</v>
      </c>
      <c r="C855" s="27" t="s">
        <v>1152</v>
      </c>
      <c r="D855" s="28">
        <v>4</v>
      </c>
      <c r="E855" s="28" t="s">
        <v>298</v>
      </c>
      <c r="F855" s="28" t="s">
        <v>1</v>
      </c>
      <c r="G855" s="28">
        <v>23</v>
      </c>
      <c r="H855" s="28"/>
      <c r="I855" s="28">
        <v>29</v>
      </c>
      <c r="J855" s="29">
        <v>20.399999999999999</v>
      </c>
    </row>
    <row r="856" spans="1:10" x14ac:dyDescent="0.35">
      <c r="A856" s="26">
        <v>459161</v>
      </c>
      <c r="B856" s="22">
        <v>0</v>
      </c>
      <c r="C856" s="27" t="s">
        <v>1153</v>
      </c>
      <c r="D856" s="28">
        <v>4</v>
      </c>
      <c r="E856" s="28" t="s">
        <v>429</v>
      </c>
      <c r="F856" s="28" t="s">
        <v>430</v>
      </c>
      <c r="G856" s="28">
        <v>13.200000000000001</v>
      </c>
      <c r="H856" s="28"/>
      <c r="I856" s="28">
        <v>13.2</v>
      </c>
      <c r="J856" s="29">
        <v>20</v>
      </c>
    </row>
    <row r="857" spans="1:10" x14ac:dyDescent="0.35">
      <c r="A857" s="26">
        <v>459267</v>
      </c>
      <c r="B857" s="22">
        <v>0</v>
      </c>
      <c r="C857" s="27" t="s">
        <v>1154</v>
      </c>
      <c r="D857" s="28">
        <v>4</v>
      </c>
      <c r="E857" s="28" t="s">
        <v>864</v>
      </c>
      <c r="F857" s="28" t="s">
        <v>999</v>
      </c>
      <c r="G857" s="28">
        <v>23</v>
      </c>
      <c r="H857" s="28"/>
      <c r="I857" s="28">
        <v>29.900000000000002</v>
      </c>
      <c r="J857" s="29">
        <v>18</v>
      </c>
    </row>
    <row r="858" spans="1:10" x14ac:dyDescent="0.35">
      <c r="A858" s="26">
        <v>460841</v>
      </c>
      <c r="B858" s="22">
        <v>0</v>
      </c>
      <c r="C858" s="27" t="s">
        <v>1155</v>
      </c>
      <c r="D858" s="28">
        <v>2</v>
      </c>
      <c r="E858" s="28" t="s">
        <v>429</v>
      </c>
      <c r="F858" s="28" t="s">
        <v>877</v>
      </c>
      <c r="G858" s="28">
        <v>9.4</v>
      </c>
      <c r="H858" s="28"/>
      <c r="I858" s="28">
        <v>9.4</v>
      </c>
      <c r="J858" s="29">
        <v>12.4</v>
      </c>
    </row>
    <row r="859" spans="1:10" x14ac:dyDescent="0.35">
      <c r="A859" s="26">
        <v>461195</v>
      </c>
      <c r="B859" s="22">
        <v>0</v>
      </c>
      <c r="C859" s="27" t="s">
        <v>1156</v>
      </c>
      <c r="D859" s="28">
        <v>4</v>
      </c>
      <c r="E859" s="28" t="s">
        <v>864</v>
      </c>
      <c r="F859" s="28" t="s">
        <v>999</v>
      </c>
      <c r="G859" s="28">
        <v>25</v>
      </c>
      <c r="H859" s="28"/>
      <c r="I859" s="30">
        <v>38</v>
      </c>
      <c r="J859" s="29">
        <v>20</v>
      </c>
    </row>
    <row r="860" spans="1:10" x14ac:dyDescent="0.35">
      <c r="A860" s="26">
        <v>461197</v>
      </c>
      <c r="B860" s="22">
        <v>0</v>
      </c>
      <c r="C860" s="27" t="s">
        <v>1157</v>
      </c>
      <c r="D860" s="28">
        <v>4</v>
      </c>
      <c r="E860" s="28" t="s">
        <v>864</v>
      </c>
      <c r="F860" s="28" t="s">
        <v>999</v>
      </c>
      <c r="G860" s="28">
        <v>23</v>
      </c>
      <c r="H860" s="28"/>
      <c r="I860" s="28">
        <v>26</v>
      </c>
      <c r="J860" s="29">
        <v>18</v>
      </c>
    </row>
    <row r="861" spans="1:10" x14ac:dyDescent="0.35">
      <c r="A861" s="26">
        <v>463202</v>
      </c>
      <c r="B861" s="22">
        <v>0</v>
      </c>
      <c r="C861" s="27" t="s">
        <v>1158</v>
      </c>
      <c r="D861" s="28">
        <v>4</v>
      </c>
      <c r="E861" s="28" t="s">
        <v>298</v>
      </c>
      <c r="F861" s="28" t="s">
        <v>1</v>
      </c>
      <c r="G861" s="28">
        <v>23</v>
      </c>
      <c r="H861" s="28"/>
      <c r="I861" s="28">
        <v>23</v>
      </c>
      <c r="J861" s="29">
        <v>22.92</v>
      </c>
    </row>
    <row r="862" spans="1:10" x14ac:dyDescent="0.35">
      <c r="A862" s="26">
        <v>464690</v>
      </c>
      <c r="B862" s="22">
        <v>0</v>
      </c>
      <c r="C862" s="27" t="s">
        <v>1159</v>
      </c>
      <c r="D862" s="28">
        <v>4</v>
      </c>
      <c r="E862" s="28" t="s">
        <v>298</v>
      </c>
      <c r="F862" s="28" t="s">
        <v>1</v>
      </c>
      <c r="G862" s="28">
        <v>35.6</v>
      </c>
      <c r="H862" s="28"/>
      <c r="I862" s="28">
        <v>35.6</v>
      </c>
      <c r="J862" s="29">
        <v>29</v>
      </c>
    </row>
    <row r="863" spans="1:10" x14ac:dyDescent="0.35">
      <c r="A863" s="26">
        <v>465632</v>
      </c>
      <c r="B863" s="22">
        <v>0</v>
      </c>
      <c r="C863" s="27" t="s">
        <v>1160</v>
      </c>
      <c r="D863" s="28">
        <v>4</v>
      </c>
      <c r="E863" s="28" t="s">
        <v>429</v>
      </c>
      <c r="F863" s="28" t="s">
        <v>872</v>
      </c>
      <c r="G863" s="28">
        <v>4.2</v>
      </c>
      <c r="H863" s="28"/>
      <c r="I863" s="28">
        <v>4.2</v>
      </c>
      <c r="J863" s="29">
        <v>14.6</v>
      </c>
    </row>
    <row r="864" spans="1:10" x14ac:dyDescent="0.35">
      <c r="A864" s="26">
        <v>465633</v>
      </c>
      <c r="B864" s="22">
        <v>0</v>
      </c>
      <c r="C864" s="27" t="s">
        <v>1161</v>
      </c>
      <c r="D864" s="28">
        <v>8</v>
      </c>
      <c r="E864" s="28" t="s">
        <v>429</v>
      </c>
      <c r="F864" s="28" t="s">
        <v>889</v>
      </c>
      <c r="G864" s="28">
        <v>3.6</v>
      </c>
      <c r="H864" s="28"/>
      <c r="I864" s="28">
        <v>3.6</v>
      </c>
      <c r="J864" s="29">
        <v>14</v>
      </c>
    </row>
    <row r="865" spans="1:10" x14ac:dyDescent="0.35">
      <c r="A865" s="26">
        <v>465634</v>
      </c>
      <c r="B865" s="22">
        <v>0</v>
      </c>
      <c r="C865" s="27" t="s">
        <v>1162</v>
      </c>
      <c r="D865" s="28">
        <v>4</v>
      </c>
      <c r="E865" s="28" t="s">
        <v>864</v>
      </c>
      <c r="F865" s="28" t="s">
        <v>999</v>
      </c>
      <c r="G865" s="28">
        <v>28</v>
      </c>
      <c r="H865" s="28"/>
      <c r="I865" s="28">
        <v>29</v>
      </c>
      <c r="J865" s="29">
        <v>19.100000000000001</v>
      </c>
    </row>
    <row r="866" spans="1:10" x14ac:dyDescent="0.35">
      <c r="A866" s="26">
        <v>466923</v>
      </c>
      <c r="B866" s="22">
        <v>0</v>
      </c>
      <c r="C866" s="27" t="s">
        <v>1163</v>
      </c>
      <c r="D866" s="28">
        <v>4</v>
      </c>
      <c r="E866" s="28" t="s">
        <v>298</v>
      </c>
      <c r="F866" s="28" t="s">
        <v>1</v>
      </c>
      <c r="G866" s="28">
        <v>19</v>
      </c>
      <c r="H866" s="28"/>
      <c r="I866" s="28">
        <v>18.899999999999999</v>
      </c>
      <c r="J866" s="29">
        <v>20.8</v>
      </c>
    </row>
    <row r="867" spans="1:10" x14ac:dyDescent="0.35">
      <c r="A867" s="26">
        <v>467002</v>
      </c>
      <c r="B867" s="22">
        <v>0</v>
      </c>
      <c r="C867" s="27" t="s">
        <v>1164</v>
      </c>
      <c r="D867" s="28">
        <v>4</v>
      </c>
      <c r="E867" s="28" t="s">
        <v>864</v>
      </c>
      <c r="F867" s="28" t="s">
        <v>999</v>
      </c>
      <c r="G867" s="28">
        <v>21</v>
      </c>
      <c r="H867" s="28"/>
      <c r="I867" s="28">
        <v>37.5</v>
      </c>
      <c r="J867" s="29">
        <v>18</v>
      </c>
    </row>
    <row r="868" spans="1:10" x14ac:dyDescent="0.35">
      <c r="A868" s="26">
        <v>467024</v>
      </c>
      <c r="B868" s="22">
        <v>0</v>
      </c>
      <c r="C868" s="27" t="s">
        <v>1165</v>
      </c>
      <c r="D868" s="28">
        <v>2</v>
      </c>
      <c r="E868" s="28" t="s">
        <v>429</v>
      </c>
      <c r="F868" s="28" t="s">
        <v>877</v>
      </c>
      <c r="G868" s="28">
        <v>9.4</v>
      </c>
      <c r="H868" s="28"/>
      <c r="I868" s="28">
        <v>9.4</v>
      </c>
      <c r="J868" s="29">
        <v>14</v>
      </c>
    </row>
    <row r="869" spans="1:10" x14ac:dyDescent="0.35">
      <c r="A869" s="26">
        <v>467905</v>
      </c>
      <c r="B869" s="22">
        <v>0</v>
      </c>
      <c r="C869" s="27" t="s">
        <v>1166</v>
      </c>
      <c r="D869" s="28">
        <v>1</v>
      </c>
      <c r="E869" s="28" t="s">
        <v>429</v>
      </c>
      <c r="F869" s="28" t="s">
        <v>440</v>
      </c>
      <c r="G869" s="28">
        <v>24.7</v>
      </c>
      <c r="H869" s="28"/>
      <c r="I869" s="28">
        <v>24.7</v>
      </c>
      <c r="J869" s="29">
        <v>18</v>
      </c>
    </row>
    <row r="870" spans="1:10" x14ac:dyDescent="0.35">
      <c r="A870" s="26">
        <v>468170</v>
      </c>
      <c r="B870" s="22">
        <v>0</v>
      </c>
      <c r="C870" s="27" t="s">
        <v>1167</v>
      </c>
      <c r="D870" s="28">
        <v>4</v>
      </c>
      <c r="E870" s="28" t="s">
        <v>298</v>
      </c>
      <c r="F870" s="28" t="s">
        <v>1</v>
      </c>
      <c r="G870" s="28">
        <v>34.5</v>
      </c>
      <c r="H870" s="28"/>
      <c r="I870" s="28">
        <v>34.5</v>
      </c>
      <c r="J870" s="29">
        <v>9</v>
      </c>
    </row>
    <row r="871" spans="1:10" x14ac:dyDescent="0.35">
      <c r="A871" s="26">
        <v>471353</v>
      </c>
      <c r="B871" s="22">
        <v>0</v>
      </c>
      <c r="C871" s="27" t="s">
        <v>1168</v>
      </c>
      <c r="D871" s="28">
        <v>8</v>
      </c>
      <c r="E871" s="28" t="s">
        <v>429</v>
      </c>
      <c r="F871" s="28" t="s">
        <v>440</v>
      </c>
      <c r="G871" s="28">
        <v>4.7</v>
      </c>
      <c r="H871" s="28"/>
      <c r="I871" s="28">
        <v>4.7</v>
      </c>
      <c r="J871" s="29">
        <v>17.600000000000001</v>
      </c>
    </row>
    <row r="872" spans="1:10" x14ac:dyDescent="0.35">
      <c r="A872" s="26">
        <v>471417</v>
      </c>
      <c r="B872" s="22">
        <v>0</v>
      </c>
      <c r="C872" s="27" t="s">
        <v>1169</v>
      </c>
      <c r="D872" s="28">
        <v>7</v>
      </c>
      <c r="E872" s="28" t="s">
        <v>298</v>
      </c>
      <c r="F872" s="28" t="s">
        <v>1</v>
      </c>
      <c r="G872" s="28">
        <v>18.8</v>
      </c>
      <c r="H872" s="28"/>
      <c r="I872" s="28">
        <v>18.8</v>
      </c>
      <c r="J872" s="29">
        <v>14.301000000000002</v>
      </c>
    </row>
    <row r="873" spans="1:10" x14ac:dyDescent="0.35">
      <c r="A873" s="26">
        <v>472132</v>
      </c>
      <c r="B873" s="22">
        <v>0</v>
      </c>
      <c r="C873" s="27" t="s">
        <v>1170</v>
      </c>
      <c r="D873" s="28">
        <v>4</v>
      </c>
      <c r="E873" s="28" t="s">
        <v>429</v>
      </c>
      <c r="F873" s="28" t="s">
        <v>440</v>
      </c>
      <c r="G873" s="28">
        <v>8.3000000000000007</v>
      </c>
      <c r="H873" s="28"/>
      <c r="I873" s="28">
        <v>7</v>
      </c>
      <c r="J873" s="29">
        <v>15.3</v>
      </c>
    </row>
    <row r="874" spans="1:10" x14ac:dyDescent="0.35">
      <c r="A874" s="26">
        <v>472338</v>
      </c>
      <c r="B874" s="22">
        <v>0</v>
      </c>
      <c r="C874" s="27" t="s">
        <v>1171</v>
      </c>
      <c r="D874" s="28">
        <v>4</v>
      </c>
      <c r="E874" s="28" t="s">
        <v>864</v>
      </c>
      <c r="F874" s="28" t="s">
        <v>999</v>
      </c>
      <c r="G874" s="28">
        <v>21</v>
      </c>
      <c r="H874" s="28"/>
      <c r="I874" s="28">
        <v>27.3</v>
      </c>
      <c r="J874" s="29">
        <v>18</v>
      </c>
    </row>
    <row r="875" spans="1:10" x14ac:dyDescent="0.35">
      <c r="A875" s="26">
        <v>473708</v>
      </c>
      <c r="B875" s="22">
        <v>0</v>
      </c>
      <c r="C875" s="27" t="s">
        <v>1172</v>
      </c>
      <c r="D875" s="28">
        <v>4</v>
      </c>
      <c r="E875" s="28" t="s">
        <v>429</v>
      </c>
      <c r="F875" s="28" t="s">
        <v>440</v>
      </c>
      <c r="G875" s="28">
        <v>7.4</v>
      </c>
      <c r="H875" s="28"/>
      <c r="I875" s="28">
        <v>7.4</v>
      </c>
      <c r="J875" s="29">
        <v>10.52</v>
      </c>
    </row>
    <row r="876" spans="1:10" x14ac:dyDescent="0.35">
      <c r="A876" s="26">
        <v>473865</v>
      </c>
      <c r="B876" s="22">
        <v>0</v>
      </c>
      <c r="C876" s="27" t="s">
        <v>1173</v>
      </c>
      <c r="D876" s="28">
        <v>4</v>
      </c>
      <c r="E876" s="28" t="s">
        <v>429</v>
      </c>
      <c r="F876" s="28" t="s">
        <v>440</v>
      </c>
      <c r="G876" s="28">
        <v>6.4</v>
      </c>
      <c r="H876" s="28"/>
      <c r="I876" s="28">
        <v>6.4</v>
      </c>
      <c r="J876" s="29">
        <v>10.52</v>
      </c>
    </row>
    <row r="877" spans="1:10" x14ac:dyDescent="0.35">
      <c r="A877" s="26">
        <v>474380</v>
      </c>
      <c r="B877" s="22">
        <v>0</v>
      </c>
      <c r="C877" s="27" t="s">
        <v>1174</v>
      </c>
      <c r="D877" s="28">
        <v>2</v>
      </c>
      <c r="E877" s="28" t="s">
        <v>864</v>
      </c>
      <c r="F877" s="28" t="s">
        <v>1175</v>
      </c>
      <c r="G877" s="28">
        <v>30</v>
      </c>
      <c r="H877" s="28"/>
      <c r="I877" s="30">
        <v>30</v>
      </c>
      <c r="J877" s="29">
        <v>23</v>
      </c>
    </row>
    <row r="878" spans="1:10" x14ac:dyDescent="0.35">
      <c r="A878" s="26">
        <v>474849</v>
      </c>
      <c r="B878" s="22">
        <v>0</v>
      </c>
      <c r="C878" s="27" t="s">
        <v>1176</v>
      </c>
      <c r="D878" s="28">
        <v>4</v>
      </c>
      <c r="E878" s="28" t="s">
        <v>298</v>
      </c>
      <c r="F878" s="28" t="s">
        <v>1</v>
      </c>
      <c r="G878" s="28">
        <v>68</v>
      </c>
      <c r="H878" s="28"/>
      <c r="I878" s="28">
        <v>68</v>
      </c>
      <c r="J878" s="29">
        <v>30</v>
      </c>
    </row>
    <row r="879" spans="1:10" x14ac:dyDescent="0.35">
      <c r="A879" s="26">
        <v>475541</v>
      </c>
      <c r="B879" s="22">
        <v>0</v>
      </c>
      <c r="C879" s="27" t="s">
        <v>1177</v>
      </c>
      <c r="D879" s="28">
        <v>4</v>
      </c>
      <c r="E879" s="28" t="s">
        <v>298</v>
      </c>
      <c r="F879" s="28" t="s">
        <v>1</v>
      </c>
      <c r="G879" s="28">
        <v>44</v>
      </c>
      <c r="H879" s="28"/>
      <c r="I879" s="28">
        <v>44</v>
      </c>
      <c r="J879" s="29">
        <v>25</v>
      </c>
    </row>
    <row r="880" spans="1:10" x14ac:dyDescent="0.35">
      <c r="A880" s="26">
        <v>475572</v>
      </c>
      <c r="B880" s="22">
        <v>0</v>
      </c>
      <c r="C880" s="27" t="s">
        <v>1178</v>
      </c>
      <c r="D880" s="28">
        <v>4</v>
      </c>
      <c r="E880" s="28" t="s">
        <v>429</v>
      </c>
      <c r="F880" s="28" t="s">
        <v>440</v>
      </c>
      <c r="G880" s="28">
        <v>8.3000000000000007</v>
      </c>
      <c r="H880" s="28"/>
      <c r="I880" s="28">
        <v>7</v>
      </c>
      <c r="J880" s="29">
        <v>15.2</v>
      </c>
    </row>
    <row r="881" spans="1:10" x14ac:dyDescent="0.35">
      <c r="A881" s="26">
        <v>476105</v>
      </c>
      <c r="B881" s="22">
        <v>0</v>
      </c>
      <c r="C881" s="27" t="s">
        <v>1179</v>
      </c>
      <c r="D881" s="28">
        <v>4</v>
      </c>
      <c r="E881" s="28" t="s">
        <v>298</v>
      </c>
      <c r="F881" s="28" t="s">
        <v>1</v>
      </c>
      <c r="G881" s="28">
        <v>44.9</v>
      </c>
      <c r="H881" s="28"/>
      <c r="I881" s="28">
        <v>45</v>
      </c>
      <c r="J881" s="29">
        <v>32.04</v>
      </c>
    </row>
    <row r="882" spans="1:10" x14ac:dyDescent="0.35">
      <c r="A882" s="26">
        <v>476794</v>
      </c>
      <c r="B882" s="22">
        <v>0</v>
      </c>
      <c r="C882" s="27" t="s">
        <v>1180</v>
      </c>
      <c r="D882" s="28">
        <v>2</v>
      </c>
      <c r="E882" s="28" t="s">
        <v>429</v>
      </c>
      <c r="F882" s="28" t="s">
        <v>467</v>
      </c>
      <c r="G882" s="28">
        <v>9.9</v>
      </c>
      <c r="H882" s="28"/>
      <c r="I882" s="28">
        <v>10.5</v>
      </c>
      <c r="J882" s="29">
        <v>11.6</v>
      </c>
    </row>
    <row r="883" spans="1:10" x14ac:dyDescent="0.35">
      <c r="A883" s="26">
        <v>477022</v>
      </c>
      <c r="B883" s="22">
        <v>0</v>
      </c>
      <c r="C883" s="27" t="s">
        <v>1181</v>
      </c>
      <c r="D883" s="28">
        <v>8</v>
      </c>
      <c r="E883" s="28" t="s">
        <v>429</v>
      </c>
      <c r="F883" s="28" t="s">
        <v>440</v>
      </c>
      <c r="G883" s="28">
        <v>3.87</v>
      </c>
      <c r="H883" s="28"/>
      <c r="I883" s="28">
        <v>3.87</v>
      </c>
      <c r="J883" s="29">
        <v>17.600000000000001</v>
      </c>
    </row>
    <row r="884" spans="1:10" x14ac:dyDescent="0.35">
      <c r="A884" s="26">
        <v>478369</v>
      </c>
      <c r="B884" s="22">
        <v>0</v>
      </c>
      <c r="C884" s="27" t="s">
        <v>1182</v>
      </c>
      <c r="D884" s="28">
        <v>4</v>
      </c>
      <c r="E884" s="28" t="s">
        <v>429</v>
      </c>
      <c r="F884" s="28" t="s">
        <v>430</v>
      </c>
      <c r="G884" s="28">
        <v>14.200000000000001</v>
      </c>
      <c r="H884" s="28"/>
      <c r="I884" s="28">
        <v>14.200000000000001</v>
      </c>
      <c r="J884" s="29">
        <v>20</v>
      </c>
    </row>
    <row r="885" spans="1:10" x14ac:dyDescent="0.35">
      <c r="A885" s="26">
        <v>478691</v>
      </c>
      <c r="B885" s="22">
        <v>0</v>
      </c>
      <c r="C885" s="27" t="s">
        <v>1183</v>
      </c>
      <c r="D885" s="28">
        <v>4</v>
      </c>
      <c r="E885" s="28" t="s">
        <v>429</v>
      </c>
      <c r="F885" s="28" t="s">
        <v>440</v>
      </c>
      <c r="G885" s="28">
        <v>7.3000000000000007</v>
      </c>
      <c r="H885" s="28"/>
      <c r="I885" s="28">
        <v>7.01</v>
      </c>
      <c r="J885" s="29">
        <v>15.3</v>
      </c>
    </row>
    <row r="886" spans="1:10" x14ac:dyDescent="0.35">
      <c r="A886" s="26">
        <v>478933</v>
      </c>
      <c r="B886" s="22">
        <v>0</v>
      </c>
      <c r="C886" s="27" t="s">
        <v>1184</v>
      </c>
      <c r="D886" s="28">
        <v>4</v>
      </c>
      <c r="E886" s="28" t="s">
        <v>429</v>
      </c>
      <c r="F886" s="28" t="s">
        <v>440</v>
      </c>
      <c r="G886" s="28">
        <v>8.3000000000000007</v>
      </c>
      <c r="H886" s="28"/>
      <c r="I886" s="28"/>
      <c r="J886" s="29">
        <v>15.3</v>
      </c>
    </row>
    <row r="887" spans="1:10" x14ac:dyDescent="0.35">
      <c r="A887" s="26">
        <v>479856</v>
      </c>
      <c r="B887" s="22">
        <v>0</v>
      </c>
      <c r="C887" s="27" t="s">
        <v>1185</v>
      </c>
      <c r="D887" s="28">
        <v>4</v>
      </c>
      <c r="E887" s="28" t="s">
        <v>298</v>
      </c>
      <c r="F887" s="28" t="s">
        <v>1</v>
      </c>
      <c r="G887" s="28">
        <v>68</v>
      </c>
      <c r="H887" s="28"/>
      <c r="I887" s="28">
        <v>68</v>
      </c>
      <c r="J887" s="29">
        <v>32</v>
      </c>
    </row>
    <row r="888" spans="1:10" x14ac:dyDescent="0.35">
      <c r="A888" s="26">
        <v>480192</v>
      </c>
      <c r="B888" s="22">
        <v>0</v>
      </c>
      <c r="C888" s="27" t="s">
        <v>1186</v>
      </c>
      <c r="D888" s="28">
        <v>4</v>
      </c>
      <c r="E888" s="28" t="s">
        <v>864</v>
      </c>
      <c r="F888" s="28" t="s">
        <v>999</v>
      </c>
      <c r="G888" s="28">
        <v>15.2</v>
      </c>
      <c r="H888" s="28"/>
      <c r="I888" s="30">
        <v>19.759999999999998</v>
      </c>
      <c r="J888" s="29">
        <v>21</v>
      </c>
    </row>
    <row r="889" spans="1:10" x14ac:dyDescent="0.35">
      <c r="A889" s="26">
        <v>480195</v>
      </c>
      <c r="B889" s="22">
        <v>0</v>
      </c>
      <c r="C889" s="27" t="s">
        <v>1187</v>
      </c>
      <c r="D889" s="28">
        <v>4</v>
      </c>
      <c r="E889" s="28" t="s">
        <v>429</v>
      </c>
      <c r="F889" s="28" t="s">
        <v>1188</v>
      </c>
      <c r="G889" s="28">
        <v>2.2000000000000002</v>
      </c>
      <c r="H889" s="28"/>
      <c r="I889" s="28">
        <v>1.5</v>
      </c>
      <c r="J889" s="29">
        <v>17</v>
      </c>
    </row>
    <row r="890" spans="1:10" x14ac:dyDescent="0.35">
      <c r="A890" s="26">
        <v>480196</v>
      </c>
      <c r="B890" s="22">
        <v>0</v>
      </c>
      <c r="C890" s="27" t="s">
        <v>1189</v>
      </c>
      <c r="D890" s="28">
        <v>4</v>
      </c>
      <c r="E890" s="28" t="s">
        <v>429</v>
      </c>
      <c r="F890" s="28" t="s">
        <v>440</v>
      </c>
      <c r="G890" s="28">
        <v>2.5</v>
      </c>
      <c r="H890" s="28"/>
      <c r="I890" s="28">
        <v>2.8</v>
      </c>
      <c r="J890" s="29">
        <v>21.2</v>
      </c>
    </row>
    <row r="891" spans="1:10" x14ac:dyDescent="0.35">
      <c r="A891" s="26">
        <v>480198</v>
      </c>
      <c r="B891" s="22">
        <v>0</v>
      </c>
      <c r="C891" s="27" t="s">
        <v>1190</v>
      </c>
      <c r="D891" s="28">
        <v>4</v>
      </c>
      <c r="E891" s="28" t="s">
        <v>429</v>
      </c>
      <c r="F891" s="28" t="s">
        <v>440</v>
      </c>
      <c r="G891" s="28">
        <v>2.5</v>
      </c>
      <c r="H891" s="28"/>
      <c r="I891" s="28">
        <v>2.8</v>
      </c>
      <c r="J891" s="29">
        <v>21.2</v>
      </c>
    </row>
    <row r="892" spans="1:10" x14ac:dyDescent="0.35">
      <c r="A892" s="26">
        <v>480199</v>
      </c>
      <c r="B892" s="22">
        <v>0</v>
      </c>
      <c r="C892" s="27" t="s">
        <v>1191</v>
      </c>
      <c r="D892" s="28">
        <v>4</v>
      </c>
      <c r="E892" s="28" t="s">
        <v>429</v>
      </c>
      <c r="F892" s="28" t="s">
        <v>440</v>
      </c>
      <c r="G892" s="28">
        <v>2.5</v>
      </c>
      <c r="H892" s="28"/>
      <c r="I892" s="28">
        <v>2.5</v>
      </c>
      <c r="J892" s="29">
        <v>21.2</v>
      </c>
    </row>
    <row r="893" spans="1:10" x14ac:dyDescent="0.35">
      <c r="A893" s="26">
        <v>480471</v>
      </c>
      <c r="B893" s="22">
        <v>0</v>
      </c>
      <c r="C893" s="27" t="s">
        <v>1192</v>
      </c>
      <c r="D893" s="28">
        <v>4</v>
      </c>
      <c r="E893" s="28" t="s">
        <v>298</v>
      </c>
      <c r="F893" s="28" t="s">
        <v>1</v>
      </c>
      <c r="G893" s="28">
        <v>30</v>
      </c>
      <c r="H893" s="28"/>
      <c r="I893" s="28">
        <v>24</v>
      </c>
      <c r="J893" s="29">
        <v>24.48</v>
      </c>
    </row>
    <row r="894" spans="1:10" x14ac:dyDescent="0.35">
      <c r="A894" s="26">
        <v>481769</v>
      </c>
      <c r="B894" s="22">
        <v>0</v>
      </c>
      <c r="C894" s="27" t="s">
        <v>1193</v>
      </c>
      <c r="D894" s="28">
        <v>8</v>
      </c>
      <c r="E894" s="28" t="s">
        <v>429</v>
      </c>
      <c r="F894" s="28" t="s">
        <v>440</v>
      </c>
      <c r="G894" s="28">
        <v>4.7</v>
      </c>
      <c r="H894" s="28"/>
      <c r="I894" s="28">
        <v>4.7</v>
      </c>
      <c r="J894" s="29">
        <v>17.600000000000001</v>
      </c>
    </row>
    <row r="895" spans="1:10" x14ac:dyDescent="0.35">
      <c r="A895" s="26">
        <v>483356</v>
      </c>
      <c r="B895" s="22">
        <v>0</v>
      </c>
      <c r="C895" s="27" t="s">
        <v>1194</v>
      </c>
      <c r="D895" s="28">
        <v>4</v>
      </c>
      <c r="E895" s="28" t="s">
        <v>429</v>
      </c>
      <c r="F895" s="28" t="s">
        <v>440</v>
      </c>
      <c r="G895" s="28">
        <v>2.5</v>
      </c>
      <c r="H895" s="28"/>
      <c r="I895" s="28">
        <v>2.8</v>
      </c>
      <c r="J895" s="29">
        <v>20.399999999999999</v>
      </c>
    </row>
    <row r="896" spans="1:10" x14ac:dyDescent="0.35">
      <c r="A896" s="26">
        <v>483357</v>
      </c>
      <c r="B896" s="22">
        <v>0</v>
      </c>
      <c r="C896" s="27" t="s">
        <v>1195</v>
      </c>
      <c r="D896" s="28">
        <v>4</v>
      </c>
      <c r="E896" s="28" t="s">
        <v>429</v>
      </c>
      <c r="F896" s="28" t="s">
        <v>440</v>
      </c>
      <c r="G896" s="28">
        <v>2.5</v>
      </c>
      <c r="H896" s="28"/>
      <c r="I896" s="28">
        <v>2.8</v>
      </c>
      <c r="J896" s="29">
        <v>20.399999999999999</v>
      </c>
    </row>
    <row r="897" spans="1:10" x14ac:dyDescent="0.35">
      <c r="A897" s="26">
        <v>486135</v>
      </c>
      <c r="B897" s="22">
        <v>0</v>
      </c>
      <c r="C897" s="27" t="s">
        <v>1196</v>
      </c>
      <c r="D897" s="28">
        <v>4</v>
      </c>
      <c r="E897" s="28" t="s">
        <v>429</v>
      </c>
      <c r="F897" s="28" t="s">
        <v>440</v>
      </c>
      <c r="G897" s="28">
        <v>2.5</v>
      </c>
      <c r="H897" s="28"/>
      <c r="I897" s="28">
        <v>2.8</v>
      </c>
      <c r="J897" s="29">
        <v>21.2</v>
      </c>
    </row>
    <row r="898" spans="1:10" x14ac:dyDescent="0.35">
      <c r="A898" s="26">
        <v>486568</v>
      </c>
      <c r="B898" s="22">
        <v>0</v>
      </c>
      <c r="C898" s="27" t="s">
        <v>1197</v>
      </c>
      <c r="D898" s="28">
        <v>7</v>
      </c>
      <c r="E898" s="28" t="s">
        <v>298</v>
      </c>
      <c r="F898" s="28" t="s">
        <v>1</v>
      </c>
      <c r="G898" s="28">
        <v>27.6</v>
      </c>
      <c r="H898" s="28"/>
      <c r="I898" s="28">
        <v>27.6</v>
      </c>
      <c r="J898" s="29">
        <v>19.004999999999999</v>
      </c>
    </row>
    <row r="899" spans="1:10" x14ac:dyDescent="0.35">
      <c r="A899" s="26">
        <v>486892</v>
      </c>
      <c r="B899" s="22">
        <v>0</v>
      </c>
      <c r="C899" s="27" t="s">
        <v>1198</v>
      </c>
      <c r="D899" s="28">
        <v>1</v>
      </c>
      <c r="E899" s="28" t="s">
        <v>429</v>
      </c>
      <c r="F899" s="28" t="s">
        <v>877</v>
      </c>
      <c r="G899" s="28">
        <v>33</v>
      </c>
      <c r="H899" s="28"/>
      <c r="I899" s="28">
        <v>33</v>
      </c>
      <c r="J899" s="29">
        <v>14.2</v>
      </c>
    </row>
    <row r="900" spans="1:10" x14ac:dyDescent="0.35">
      <c r="A900" s="26">
        <v>486893</v>
      </c>
      <c r="B900" s="22">
        <v>0</v>
      </c>
      <c r="C900" s="27" t="s">
        <v>1199</v>
      </c>
      <c r="D900" s="28">
        <v>1</v>
      </c>
      <c r="E900" s="28" t="s">
        <v>429</v>
      </c>
      <c r="F900" s="28" t="s">
        <v>877</v>
      </c>
      <c r="G900" s="28">
        <v>33</v>
      </c>
      <c r="H900" s="28"/>
      <c r="I900" s="28">
        <v>33</v>
      </c>
      <c r="J900" s="29">
        <v>14.2</v>
      </c>
    </row>
    <row r="901" spans="1:10" x14ac:dyDescent="0.35">
      <c r="A901" s="26">
        <v>486894</v>
      </c>
      <c r="B901" s="22">
        <v>0</v>
      </c>
      <c r="C901" s="27" t="s">
        <v>1200</v>
      </c>
      <c r="D901" s="28">
        <v>1</v>
      </c>
      <c r="E901" s="28" t="s">
        <v>429</v>
      </c>
      <c r="F901" s="28" t="s">
        <v>877</v>
      </c>
      <c r="G901" s="28">
        <v>33</v>
      </c>
      <c r="H901" s="28"/>
      <c r="I901" s="28">
        <v>33</v>
      </c>
      <c r="J901" s="29">
        <v>14.2</v>
      </c>
    </row>
    <row r="902" spans="1:10" x14ac:dyDescent="0.35">
      <c r="A902" s="26">
        <v>486895</v>
      </c>
      <c r="B902" s="22">
        <v>0</v>
      </c>
      <c r="C902" s="27" t="s">
        <v>1201</v>
      </c>
      <c r="D902" s="28">
        <v>1</v>
      </c>
      <c r="E902" s="28" t="s">
        <v>429</v>
      </c>
      <c r="F902" s="28" t="s">
        <v>877</v>
      </c>
      <c r="G902" s="28">
        <v>33</v>
      </c>
      <c r="H902" s="28"/>
      <c r="I902" s="28">
        <v>33</v>
      </c>
      <c r="J902" s="29">
        <v>14.2</v>
      </c>
    </row>
    <row r="903" spans="1:10" x14ac:dyDescent="0.35">
      <c r="A903" s="26">
        <v>486896</v>
      </c>
      <c r="B903" s="22">
        <v>0</v>
      </c>
      <c r="C903" s="27" t="s">
        <v>1202</v>
      </c>
      <c r="D903" s="28">
        <v>1</v>
      </c>
      <c r="E903" s="28" t="s">
        <v>429</v>
      </c>
      <c r="F903" s="28" t="s">
        <v>877</v>
      </c>
      <c r="G903" s="28">
        <v>33</v>
      </c>
      <c r="H903" s="28"/>
      <c r="I903" s="28">
        <v>33</v>
      </c>
      <c r="J903" s="29">
        <v>14.2</v>
      </c>
    </row>
    <row r="904" spans="1:10" x14ac:dyDescent="0.35">
      <c r="A904" s="26">
        <v>486897</v>
      </c>
      <c r="B904" s="22">
        <v>0</v>
      </c>
      <c r="C904" s="27" t="s">
        <v>1203</v>
      </c>
      <c r="D904" s="28">
        <v>1</v>
      </c>
      <c r="E904" s="28" t="s">
        <v>429</v>
      </c>
      <c r="F904" s="28" t="s">
        <v>877</v>
      </c>
      <c r="G904" s="28">
        <v>33</v>
      </c>
      <c r="H904" s="28"/>
      <c r="I904" s="28">
        <v>33</v>
      </c>
      <c r="J904" s="29">
        <v>14.2</v>
      </c>
    </row>
    <row r="905" spans="1:10" x14ac:dyDescent="0.35">
      <c r="A905" s="26">
        <v>487472</v>
      </c>
      <c r="B905" s="22">
        <v>0</v>
      </c>
      <c r="C905" s="27" t="s">
        <v>1204</v>
      </c>
      <c r="D905" s="28">
        <v>12</v>
      </c>
      <c r="E905" s="28" t="s">
        <v>429</v>
      </c>
      <c r="F905" s="28" t="s">
        <v>467</v>
      </c>
      <c r="G905" s="28">
        <v>5.86</v>
      </c>
      <c r="H905" s="28"/>
      <c r="I905" s="28">
        <v>5.86</v>
      </c>
      <c r="J905" s="29">
        <v>29.04</v>
      </c>
    </row>
    <row r="906" spans="1:10" x14ac:dyDescent="0.35">
      <c r="A906" s="26">
        <v>487473</v>
      </c>
      <c r="B906" s="22">
        <v>0</v>
      </c>
      <c r="C906" s="27" t="s">
        <v>1205</v>
      </c>
      <c r="D906" s="28">
        <v>12</v>
      </c>
      <c r="E906" s="28" t="s">
        <v>429</v>
      </c>
      <c r="F906" s="28" t="s">
        <v>467</v>
      </c>
      <c r="G906" s="28">
        <v>5.6</v>
      </c>
      <c r="H906" s="28"/>
      <c r="I906" s="28">
        <v>5.6</v>
      </c>
      <c r="J906" s="29">
        <v>29.04</v>
      </c>
    </row>
    <row r="907" spans="1:10" x14ac:dyDescent="0.35">
      <c r="A907" s="26">
        <v>487474</v>
      </c>
      <c r="B907" s="22">
        <v>0</v>
      </c>
      <c r="C907" s="27" t="s">
        <v>1206</v>
      </c>
      <c r="D907" s="28">
        <v>12</v>
      </c>
      <c r="E907" s="28" t="s">
        <v>429</v>
      </c>
      <c r="F907" s="28" t="s">
        <v>467</v>
      </c>
      <c r="G907" s="28">
        <v>5.86</v>
      </c>
      <c r="H907" s="28"/>
      <c r="I907" s="28">
        <v>5.86</v>
      </c>
      <c r="J907" s="29">
        <v>29.04</v>
      </c>
    </row>
    <row r="908" spans="1:10" x14ac:dyDescent="0.35">
      <c r="A908" s="26">
        <v>487475</v>
      </c>
      <c r="B908" s="22">
        <v>0</v>
      </c>
      <c r="C908" s="27" t="s">
        <v>1207</v>
      </c>
      <c r="D908" s="28">
        <v>12</v>
      </c>
      <c r="E908" s="28" t="s">
        <v>429</v>
      </c>
      <c r="F908" s="28" t="s">
        <v>1208</v>
      </c>
      <c r="G908" s="28">
        <v>5.7</v>
      </c>
      <c r="H908" s="28"/>
      <c r="I908" s="28">
        <v>5.7</v>
      </c>
      <c r="J908" s="29">
        <v>29.04</v>
      </c>
    </row>
    <row r="909" spans="1:10" x14ac:dyDescent="0.35">
      <c r="A909" s="26">
        <v>487476</v>
      </c>
      <c r="B909" s="22">
        <v>0</v>
      </c>
      <c r="C909" s="27" t="s">
        <v>1209</v>
      </c>
      <c r="D909" s="28">
        <v>12</v>
      </c>
      <c r="E909" s="28" t="s">
        <v>429</v>
      </c>
      <c r="F909" s="28" t="s">
        <v>1208</v>
      </c>
      <c r="G909" s="28">
        <v>5.7</v>
      </c>
      <c r="H909" s="28"/>
      <c r="I909" s="28">
        <v>5.7</v>
      </c>
      <c r="J909" s="29">
        <v>29.04</v>
      </c>
    </row>
    <row r="910" spans="1:10" x14ac:dyDescent="0.35">
      <c r="A910" s="26">
        <v>487478</v>
      </c>
      <c r="B910" s="22">
        <v>0</v>
      </c>
      <c r="C910" s="27" t="s">
        <v>1210</v>
      </c>
      <c r="D910" s="28">
        <v>12</v>
      </c>
      <c r="E910" s="28" t="s">
        <v>429</v>
      </c>
      <c r="F910" s="28" t="s">
        <v>467</v>
      </c>
      <c r="G910" s="28">
        <v>5.7</v>
      </c>
      <c r="H910" s="28"/>
      <c r="I910" s="28">
        <v>5.7</v>
      </c>
      <c r="J910" s="29">
        <v>29.04</v>
      </c>
    </row>
    <row r="911" spans="1:10" x14ac:dyDescent="0.35">
      <c r="A911" s="26">
        <v>489246</v>
      </c>
      <c r="B911" s="22">
        <v>0</v>
      </c>
      <c r="C911" s="27" t="s">
        <v>1211</v>
      </c>
      <c r="D911" s="28">
        <v>1</v>
      </c>
      <c r="E911" s="28" t="s">
        <v>429</v>
      </c>
      <c r="F911" s="28" t="s">
        <v>877</v>
      </c>
      <c r="G911" s="28">
        <v>33</v>
      </c>
      <c r="H911" s="28"/>
      <c r="I911" s="28">
        <v>33</v>
      </c>
      <c r="J911" s="29">
        <v>14.2</v>
      </c>
    </row>
    <row r="912" spans="1:10" x14ac:dyDescent="0.35">
      <c r="A912" s="26">
        <v>489247</v>
      </c>
      <c r="B912" s="22">
        <v>0</v>
      </c>
      <c r="C912" s="27" t="s">
        <v>1212</v>
      </c>
      <c r="D912" s="28">
        <v>1</v>
      </c>
      <c r="E912" s="28" t="s">
        <v>429</v>
      </c>
      <c r="F912" s="28" t="s">
        <v>877</v>
      </c>
      <c r="G912" s="28">
        <v>33</v>
      </c>
      <c r="H912" s="28"/>
      <c r="I912" s="28">
        <v>33</v>
      </c>
      <c r="J912" s="29">
        <v>14.2</v>
      </c>
    </row>
    <row r="913" spans="1:10" x14ac:dyDescent="0.35">
      <c r="A913" s="26">
        <v>489248</v>
      </c>
      <c r="B913" s="22">
        <v>0</v>
      </c>
      <c r="C913" s="27" t="s">
        <v>1213</v>
      </c>
      <c r="D913" s="28">
        <v>1</v>
      </c>
      <c r="E913" s="28" t="s">
        <v>429</v>
      </c>
      <c r="F913" s="28" t="s">
        <v>877</v>
      </c>
      <c r="G913" s="28">
        <v>33</v>
      </c>
      <c r="H913" s="28"/>
      <c r="I913" s="28">
        <v>33</v>
      </c>
      <c r="J913" s="29">
        <v>14.2</v>
      </c>
    </row>
    <row r="914" spans="1:10" x14ac:dyDescent="0.35">
      <c r="A914" s="26">
        <v>490532</v>
      </c>
      <c r="B914" s="22">
        <v>0</v>
      </c>
      <c r="C914" s="27" t="s">
        <v>1214</v>
      </c>
      <c r="D914" s="28">
        <v>4</v>
      </c>
      <c r="E914" s="28" t="s">
        <v>298</v>
      </c>
      <c r="F914" s="28" t="s">
        <v>1</v>
      </c>
      <c r="G914" s="28">
        <v>29</v>
      </c>
      <c r="H914" s="28"/>
      <c r="I914" s="28">
        <v>29</v>
      </c>
      <c r="J914" s="29">
        <v>26.4</v>
      </c>
    </row>
    <row r="915" spans="1:10" x14ac:dyDescent="0.35">
      <c r="A915" s="26">
        <v>490787</v>
      </c>
      <c r="B915" s="22">
        <v>0</v>
      </c>
      <c r="C915" s="27" t="s">
        <v>1215</v>
      </c>
      <c r="D915" s="28">
        <v>1</v>
      </c>
      <c r="E915" s="28" t="s">
        <v>429</v>
      </c>
      <c r="F915" s="28" t="s">
        <v>877</v>
      </c>
      <c r="G915" s="28">
        <v>33</v>
      </c>
      <c r="H915" s="28"/>
      <c r="I915" s="28">
        <v>33</v>
      </c>
      <c r="J915" s="29">
        <v>14.2</v>
      </c>
    </row>
    <row r="916" spans="1:10" x14ac:dyDescent="0.35">
      <c r="A916" s="26">
        <v>490788</v>
      </c>
      <c r="B916" s="22">
        <v>0</v>
      </c>
      <c r="C916" s="27" t="s">
        <v>1216</v>
      </c>
      <c r="D916" s="28">
        <v>1</v>
      </c>
      <c r="E916" s="28" t="s">
        <v>429</v>
      </c>
      <c r="F916" s="28" t="s">
        <v>877</v>
      </c>
      <c r="G916" s="28">
        <v>33</v>
      </c>
      <c r="H916" s="28"/>
      <c r="I916" s="28">
        <v>33</v>
      </c>
      <c r="J916" s="29">
        <v>14.2</v>
      </c>
    </row>
    <row r="917" spans="1:10" x14ac:dyDescent="0.35">
      <c r="A917" s="26">
        <v>490789</v>
      </c>
      <c r="B917" s="22">
        <v>0</v>
      </c>
      <c r="C917" s="27" t="s">
        <v>1217</v>
      </c>
      <c r="D917" s="28">
        <v>1</v>
      </c>
      <c r="E917" s="28" t="s">
        <v>429</v>
      </c>
      <c r="F917" s="28" t="s">
        <v>877</v>
      </c>
      <c r="G917" s="28">
        <v>33</v>
      </c>
      <c r="H917" s="28"/>
      <c r="I917" s="28">
        <v>33</v>
      </c>
      <c r="J917" s="29">
        <v>14.2</v>
      </c>
    </row>
    <row r="918" spans="1:10" x14ac:dyDescent="0.35">
      <c r="A918" s="26">
        <v>490790</v>
      </c>
      <c r="B918" s="22">
        <v>0</v>
      </c>
      <c r="C918" s="27" t="s">
        <v>1218</v>
      </c>
      <c r="D918" s="28">
        <v>1</v>
      </c>
      <c r="E918" s="28" t="s">
        <v>429</v>
      </c>
      <c r="F918" s="28" t="s">
        <v>440</v>
      </c>
      <c r="G918" s="28">
        <v>33</v>
      </c>
      <c r="H918" s="28"/>
      <c r="I918" s="28">
        <v>33</v>
      </c>
      <c r="J918" s="29">
        <v>14.2</v>
      </c>
    </row>
    <row r="919" spans="1:10" x14ac:dyDescent="0.35">
      <c r="A919" s="26">
        <v>490791</v>
      </c>
      <c r="B919" s="28">
        <v>0</v>
      </c>
      <c r="C919" s="27" t="s">
        <v>1219</v>
      </c>
      <c r="D919" s="28">
        <v>1</v>
      </c>
      <c r="E919" s="28" t="s">
        <v>429</v>
      </c>
      <c r="F919" s="28" t="s">
        <v>440</v>
      </c>
      <c r="G919" s="28">
        <v>33</v>
      </c>
      <c r="H919" s="28"/>
      <c r="I919" s="28">
        <v>33</v>
      </c>
      <c r="J919" s="29">
        <v>14.2</v>
      </c>
    </row>
    <row r="920" spans="1:10" x14ac:dyDescent="0.35">
      <c r="A920" s="26">
        <v>493185</v>
      </c>
      <c r="B920" s="28">
        <v>0</v>
      </c>
      <c r="C920" s="27" t="s">
        <v>1220</v>
      </c>
      <c r="D920" s="28">
        <v>8</v>
      </c>
      <c r="E920" s="28" t="s">
        <v>429</v>
      </c>
      <c r="F920" s="28" t="s">
        <v>440</v>
      </c>
      <c r="G920" s="28">
        <v>4.7</v>
      </c>
      <c r="H920" s="28"/>
      <c r="I920" s="28">
        <v>4.7</v>
      </c>
      <c r="J920" s="29">
        <v>17.600000000000001</v>
      </c>
    </row>
    <row r="921" spans="1:10" x14ac:dyDescent="0.35">
      <c r="A921" s="26">
        <v>493614</v>
      </c>
      <c r="B921" s="28">
        <v>0</v>
      </c>
      <c r="C921" s="27" t="s">
        <v>1221</v>
      </c>
      <c r="D921" s="28">
        <v>4</v>
      </c>
      <c r="E921" s="28" t="s">
        <v>864</v>
      </c>
      <c r="F921" s="28" t="s">
        <v>999</v>
      </c>
      <c r="G921" s="28">
        <v>21</v>
      </c>
      <c r="H921" s="28"/>
      <c r="I921" s="30">
        <v>36</v>
      </c>
      <c r="J921" s="29">
        <v>18</v>
      </c>
    </row>
    <row r="922" spans="1:10" x14ac:dyDescent="0.35">
      <c r="A922" s="26">
        <v>493995</v>
      </c>
      <c r="B922" s="28">
        <v>0</v>
      </c>
      <c r="C922" s="27" t="s">
        <v>1222</v>
      </c>
      <c r="D922" s="28">
        <v>7</v>
      </c>
      <c r="E922" s="28" t="s">
        <v>298</v>
      </c>
      <c r="F922" s="28" t="s">
        <v>1</v>
      </c>
      <c r="G922" s="28">
        <v>27</v>
      </c>
      <c r="H922" s="28"/>
      <c r="I922" s="28">
        <v>27.2</v>
      </c>
      <c r="J922" s="29">
        <v>23.099999999999998</v>
      </c>
    </row>
    <row r="923" spans="1:10" x14ac:dyDescent="0.35">
      <c r="A923" s="26">
        <v>494371</v>
      </c>
      <c r="B923" s="28">
        <v>0</v>
      </c>
      <c r="C923" s="27" t="s">
        <v>1223</v>
      </c>
      <c r="D923" s="28">
        <v>7</v>
      </c>
      <c r="E923" s="28" t="s">
        <v>298</v>
      </c>
      <c r="F923" s="28" t="s">
        <v>1</v>
      </c>
      <c r="G923" s="28">
        <v>18.8</v>
      </c>
      <c r="H923" s="28"/>
      <c r="I923" s="28">
        <v>18.8</v>
      </c>
      <c r="J923" s="29">
        <v>15.049999999999999</v>
      </c>
    </row>
    <row r="924" spans="1:10" x14ac:dyDescent="0.35">
      <c r="A924" s="26">
        <v>502715</v>
      </c>
      <c r="B924" s="28">
        <v>0</v>
      </c>
      <c r="C924" s="27" t="s">
        <v>1224</v>
      </c>
      <c r="D924" s="28">
        <v>8</v>
      </c>
      <c r="E924" s="28" t="s">
        <v>429</v>
      </c>
      <c r="F924" s="28" t="s">
        <v>889</v>
      </c>
      <c r="G924" s="28">
        <v>3.6</v>
      </c>
      <c r="H924" s="28"/>
      <c r="I924" s="28">
        <v>3.6</v>
      </c>
      <c r="J924" s="29">
        <v>16</v>
      </c>
    </row>
    <row r="925" spans="1:10" x14ac:dyDescent="0.35">
      <c r="A925" s="26">
        <v>502881</v>
      </c>
      <c r="B925" s="28">
        <v>0</v>
      </c>
      <c r="C925" s="27" t="s">
        <v>1225</v>
      </c>
      <c r="D925" s="28">
        <v>4</v>
      </c>
      <c r="E925" s="28" t="s">
        <v>429</v>
      </c>
      <c r="F925" s="28" t="s">
        <v>440</v>
      </c>
      <c r="G925" s="28">
        <v>8.3000000000000007</v>
      </c>
      <c r="H925" s="28"/>
      <c r="I925" s="28">
        <v>8.3000000000000007</v>
      </c>
      <c r="J925" s="29">
        <v>15.3</v>
      </c>
    </row>
    <row r="926" spans="1:10" x14ac:dyDescent="0.35">
      <c r="A926" s="26">
        <v>502963</v>
      </c>
      <c r="B926" s="28">
        <v>0</v>
      </c>
      <c r="C926" s="27" t="s">
        <v>1226</v>
      </c>
      <c r="D926" s="28">
        <v>4</v>
      </c>
      <c r="E926" s="28" t="s">
        <v>298</v>
      </c>
      <c r="F926" s="28" t="s">
        <v>1</v>
      </c>
      <c r="G926" s="28">
        <v>18.5</v>
      </c>
      <c r="H926" s="28"/>
      <c r="I926" s="28">
        <v>18.8</v>
      </c>
      <c r="J926" s="29">
        <v>20.36</v>
      </c>
    </row>
    <row r="927" spans="1:10" x14ac:dyDescent="0.35">
      <c r="A927" s="26">
        <v>503660</v>
      </c>
      <c r="B927" s="28">
        <v>0</v>
      </c>
      <c r="C927" s="27" t="s">
        <v>1227</v>
      </c>
      <c r="D927" s="28">
        <v>4</v>
      </c>
      <c r="E927" s="28" t="s">
        <v>864</v>
      </c>
      <c r="F927" s="28" t="s">
        <v>999</v>
      </c>
      <c r="G927" s="28">
        <v>21</v>
      </c>
      <c r="H927" s="28"/>
      <c r="I927" s="28">
        <v>38.1</v>
      </c>
      <c r="J927" s="29">
        <v>21.4</v>
      </c>
    </row>
    <row r="928" spans="1:10" x14ac:dyDescent="0.35">
      <c r="A928" s="26">
        <v>503940</v>
      </c>
      <c r="B928" s="28">
        <v>0</v>
      </c>
      <c r="C928" s="27" t="s">
        <v>1228</v>
      </c>
      <c r="D928" s="28">
        <v>0</v>
      </c>
      <c r="E928" s="28" t="s">
        <v>429</v>
      </c>
      <c r="F928" s="28" t="s">
        <v>877</v>
      </c>
      <c r="G928" s="28">
        <v>15.5</v>
      </c>
      <c r="H928" s="28"/>
      <c r="I928" s="28"/>
      <c r="J928" s="29">
        <v>13.2</v>
      </c>
    </row>
    <row r="929" spans="1:10" x14ac:dyDescent="0.35">
      <c r="A929" s="26">
        <v>503974</v>
      </c>
      <c r="B929" s="28">
        <v>0</v>
      </c>
      <c r="C929" s="27" t="s">
        <v>1229</v>
      </c>
      <c r="D929" s="28">
        <v>0</v>
      </c>
      <c r="E929" s="28" t="s">
        <v>429</v>
      </c>
      <c r="F929" s="28" t="s">
        <v>877</v>
      </c>
      <c r="G929" s="28">
        <v>15.5</v>
      </c>
      <c r="H929" s="28"/>
      <c r="I929" s="28">
        <v>15.5</v>
      </c>
      <c r="J929" s="29">
        <v>13.2</v>
      </c>
    </row>
    <row r="930" spans="1:10" x14ac:dyDescent="0.35">
      <c r="A930" s="26">
        <v>503976</v>
      </c>
      <c r="B930" s="28">
        <v>0</v>
      </c>
      <c r="C930" s="27" t="s">
        <v>1230</v>
      </c>
      <c r="D930" s="28">
        <v>0</v>
      </c>
      <c r="E930" s="28" t="s">
        <v>429</v>
      </c>
      <c r="F930" s="28" t="s">
        <v>877</v>
      </c>
      <c r="G930" s="28">
        <v>15.5</v>
      </c>
      <c r="H930" s="28"/>
      <c r="I930" s="28">
        <v>15.5</v>
      </c>
      <c r="J930" s="29">
        <v>13.2</v>
      </c>
    </row>
    <row r="931" spans="1:10" x14ac:dyDescent="0.35">
      <c r="A931" s="26">
        <v>503980</v>
      </c>
      <c r="B931" s="28">
        <v>0</v>
      </c>
      <c r="C931" s="27" t="s">
        <v>1231</v>
      </c>
      <c r="D931" s="28">
        <v>0</v>
      </c>
      <c r="E931" s="28" t="s">
        <v>429</v>
      </c>
      <c r="F931" s="28" t="s">
        <v>877</v>
      </c>
      <c r="G931" s="28">
        <v>15.5</v>
      </c>
      <c r="H931" s="28"/>
      <c r="I931" s="28">
        <v>15.5</v>
      </c>
      <c r="J931" s="29">
        <v>13.2</v>
      </c>
    </row>
    <row r="932" spans="1:10" x14ac:dyDescent="0.35">
      <c r="A932" s="26">
        <v>504598</v>
      </c>
      <c r="B932" s="28">
        <v>0</v>
      </c>
      <c r="C932" s="27" t="s">
        <v>1232</v>
      </c>
      <c r="D932" s="28">
        <v>4</v>
      </c>
      <c r="E932" s="28" t="s">
        <v>298</v>
      </c>
      <c r="F932" s="28" t="s">
        <v>1</v>
      </c>
      <c r="G932" s="28">
        <v>28</v>
      </c>
      <c r="H932" s="28"/>
      <c r="I932" s="28">
        <v>30.2</v>
      </c>
      <c r="J932" s="29">
        <v>22.24</v>
      </c>
    </row>
    <row r="933" spans="1:10" x14ac:dyDescent="0.35">
      <c r="A933" s="26">
        <v>504840</v>
      </c>
      <c r="B933" s="28">
        <v>0</v>
      </c>
      <c r="C933" s="27" t="s">
        <v>1233</v>
      </c>
      <c r="D933" s="28">
        <v>4</v>
      </c>
      <c r="E933" s="28" t="s">
        <v>298</v>
      </c>
      <c r="F933" s="28" t="s">
        <v>1</v>
      </c>
      <c r="G933" s="28">
        <v>68</v>
      </c>
      <c r="H933" s="28"/>
      <c r="I933" s="28">
        <v>68</v>
      </c>
      <c r="J933" s="29">
        <v>32</v>
      </c>
    </row>
    <row r="934" spans="1:10" x14ac:dyDescent="0.35">
      <c r="A934" s="26">
        <v>504928</v>
      </c>
      <c r="B934" s="28">
        <v>0</v>
      </c>
      <c r="C934" s="27" t="s">
        <v>1234</v>
      </c>
      <c r="D934" s="28">
        <v>4</v>
      </c>
      <c r="E934" s="28" t="s">
        <v>298</v>
      </c>
      <c r="F934" s="28" t="s">
        <v>1</v>
      </c>
      <c r="G934" s="28">
        <v>29</v>
      </c>
      <c r="H934" s="28"/>
      <c r="I934" s="28">
        <v>29</v>
      </c>
      <c r="J934" s="29">
        <v>27.6</v>
      </c>
    </row>
    <row r="935" spans="1:10" x14ac:dyDescent="0.35">
      <c r="A935" s="26">
        <v>505282</v>
      </c>
      <c r="B935" s="28">
        <v>0</v>
      </c>
      <c r="C935" s="27" t="s">
        <v>1235</v>
      </c>
      <c r="D935" s="28">
        <v>4</v>
      </c>
      <c r="E935" s="28" t="s">
        <v>298</v>
      </c>
      <c r="F935" s="28" t="s">
        <v>1</v>
      </c>
      <c r="G935" s="28">
        <v>34.5</v>
      </c>
      <c r="H935" s="28"/>
      <c r="I935" s="28">
        <v>34.5</v>
      </c>
      <c r="J935" s="29">
        <v>9</v>
      </c>
    </row>
    <row r="936" spans="1:10" x14ac:dyDescent="0.35">
      <c r="A936" s="26">
        <v>509852</v>
      </c>
      <c r="B936" s="28">
        <v>0</v>
      </c>
      <c r="C936" s="27" t="s">
        <v>1236</v>
      </c>
      <c r="D936" s="28">
        <v>0</v>
      </c>
      <c r="E936" s="28" t="s">
        <v>429</v>
      </c>
      <c r="F936" s="28" t="s">
        <v>877</v>
      </c>
      <c r="G936" s="28">
        <v>15.5</v>
      </c>
      <c r="H936" s="28"/>
      <c r="I936" s="28">
        <v>15.5</v>
      </c>
      <c r="J936" s="29">
        <v>13.2</v>
      </c>
    </row>
    <row r="937" spans="1:10" x14ac:dyDescent="0.35">
      <c r="A937" s="26">
        <v>509876</v>
      </c>
      <c r="B937" s="28">
        <v>0</v>
      </c>
      <c r="C937" s="27" t="s">
        <v>1237</v>
      </c>
      <c r="D937" s="28">
        <v>0</v>
      </c>
      <c r="E937" s="28" t="s">
        <v>429</v>
      </c>
      <c r="F937" s="28" t="s">
        <v>877</v>
      </c>
      <c r="G937" s="28">
        <v>15.5</v>
      </c>
      <c r="H937" s="28"/>
      <c r="I937" s="28">
        <v>15.5</v>
      </c>
      <c r="J937" s="29">
        <v>13.2</v>
      </c>
    </row>
    <row r="938" spans="1:10" x14ac:dyDescent="0.35">
      <c r="A938" s="26">
        <v>519157</v>
      </c>
      <c r="B938" s="28">
        <v>0</v>
      </c>
      <c r="C938" s="27" t="s">
        <v>1238</v>
      </c>
      <c r="D938" s="28">
        <v>4</v>
      </c>
      <c r="E938" s="28" t="s">
        <v>429</v>
      </c>
      <c r="F938" s="28" t="s">
        <v>430</v>
      </c>
      <c r="G938" s="28">
        <v>8.1999999999999993</v>
      </c>
      <c r="H938" s="28"/>
      <c r="I938" s="28">
        <v>8.1999999999999993</v>
      </c>
      <c r="J938" s="29">
        <v>16.88</v>
      </c>
    </row>
    <row r="939" spans="1:10" x14ac:dyDescent="0.35">
      <c r="A939" s="26">
        <v>519158</v>
      </c>
      <c r="B939" s="28">
        <v>0</v>
      </c>
      <c r="C939" s="27" t="s">
        <v>1239</v>
      </c>
      <c r="D939" s="28">
        <v>4</v>
      </c>
      <c r="E939" s="28" t="s">
        <v>429</v>
      </c>
      <c r="F939" s="28" t="s">
        <v>430</v>
      </c>
      <c r="G939" s="28">
        <v>4.5999999999999996</v>
      </c>
      <c r="H939" s="28"/>
      <c r="I939" s="28">
        <v>4.5999999999999996</v>
      </c>
      <c r="J939" s="29">
        <v>17.8</v>
      </c>
    </row>
    <row r="940" spans="1:10" x14ac:dyDescent="0.35">
      <c r="A940" s="26">
        <v>520334</v>
      </c>
      <c r="B940" s="28">
        <v>0</v>
      </c>
      <c r="C940" s="27" t="s">
        <v>1240</v>
      </c>
      <c r="D940" s="28">
        <v>4</v>
      </c>
      <c r="E940" s="28" t="s">
        <v>429</v>
      </c>
      <c r="F940" s="28" t="s">
        <v>538</v>
      </c>
      <c r="G940" s="28">
        <v>10</v>
      </c>
      <c r="H940" s="28"/>
      <c r="I940" s="28">
        <v>9.75</v>
      </c>
      <c r="J940" s="29">
        <v>16.5</v>
      </c>
    </row>
    <row r="941" spans="1:10" x14ac:dyDescent="0.35">
      <c r="A941" s="26">
        <v>521997</v>
      </c>
      <c r="B941" s="28">
        <v>0</v>
      </c>
      <c r="C941" s="27" t="s">
        <v>1241</v>
      </c>
      <c r="D941" s="28">
        <v>4</v>
      </c>
      <c r="E941" s="28" t="s">
        <v>298</v>
      </c>
      <c r="F941" s="28" t="s">
        <v>1</v>
      </c>
      <c r="G941" s="28">
        <v>44</v>
      </c>
      <c r="H941" s="28"/>
      <c r="I941" s="28">
        <v>40.590000000000003</v>
      </c>
      <c r="J941" s="29">
        <v>27.04</v>
      </c>
    </row>
    <row r="942" spans="1:10" x14ac:dyDescent="0.35">
      <c r="A942" s="26">
        <v>522196</v>
      </c>
      <c r="B942" s="28">
        <v>0</v>
      </c>
      <c r="C942" s="27" t="s">
        <v>1242</v>
      </c>
      <c r="D942" s="28">
        <v>4</v>
      </c>
      <c r="E942" s="28" t="s">
        <v>298</v>
      </c>
      <c r="F942" s="28" t="s">
        <v>1</v>
      </c>
      <c r="G942" s="28">
        <v>34</v>
      </c>
      <c r="H942" s="28"/>
      <c r="I942" s="28">
        <v>24</v>
      </c>
      <c r="J942" s="29">
        <v>21.68</v>
      </c>
    </row>
    <row r="943" spans="1:10" x14ac:dyDescent="0.35">
      <c r="A943" s="26">
        <v>522217</v>
      </c>
      <c r="B943" s="28">
        <v>0</v>
      </c>
      <c r="C943" s="27" t="s">
        <v>1243</v>
      </c>
      <c r="D943" s="28">
        <v>4</v>
      </c>
      <c r="E943" s="28" t="s">
        <v>864</v>
      </c>
      <c r="F943" s="28" t="s">
        <v>951</v>
      </c>
      <c r="G943" s="28">
        <v>6</v>
      </c>
      <c r="H943" s="28"/>
      <c r="I943" s="30">
        <v>6</v>
      </c>
      <c r="J943" s="29">
        <v>21.5</v>
      </c>
    </row>
    <row r="944" spans="1:10" x14ac:dyDescent="0.35">
      <c r="A944" s="26">
        <v>523813</v>
      </c>
      <c r="B944" s="28">
        <v>0</v>
      </c>
      <c r="C944" s="27" t="s">
        <v>1244</v>
      </c>
      <c r="D944" s="28">
        <v>4</v>
      </c>
      <c r="E944" s="28" t="s">
        <v>298</v>
      </c>
      <c r="F944" s="28" t="s">
        <v>1</v>
      </c>
      <c r="G944" s="28">
        <v>40.799999999999997</v>
      </c>
      <c r="H944" s="28"/>
      <c r="I944" s="28">
        <v>41.3</v>
      </c>
      <c r="J944" s="29">
        <v>22</v>
      </c>
    </row>
    <row r="945" spans="1:10" x14ac:dyDescent="0.35">
      <c r="A945" s="26">
        <v>524918</v>
      </c>
      <c r="B945" s="28">
        <v>0</v>
      </c>
      <c r="C945" s="27" t="s">
        <v>1245</v>
      </c>
      <c r="D945" s="28">
        <v>4</v>
      </c>
      <c r="E945" s="28" t="s">
        <v>429</v>
      </c>
      <c r="F945" s="28" t="s">
        <v>922</v>
      </c>
      <c r="G945" s="28">
        <v>4.6999999999999993</v>
      </c>
      <c r="H945" s="28"/>
      <c r="I945" s="28">
        <v>4.7</v>
      </c>
      <c r="J945" s="29">
        <v>16.5</v>
      </c>
    </row>
    <row r="946" spans="1:10" x14ac:dyDescent="0.35">
      <c r="A946" s="26">
        <v>525036</v>
      </c>
      <c r="B946" s="28">
        <v>0</v>
      </c>
      <c r="C946" s="27" t="s">
        <v>1246</v>
      </c>
      <c r="D946" s="28">
        <v>4</v>
      </c>
      <c r="E946" s="28" t="s">
        <v>298</v>
      </c>
      <c r="F946" s="28" t="s">
        <v>1</v>
      </c>
      <c r="G946" s="28">
        <v>35.5</v>
      </c>
      <c r="H946" s="28"/>
      <c r="I946" s="28">
        <v>35.5</v>
      </c>
      <c r="J946" s="29">
        <v>9</v>
      </c>
    </row>
    <row r="947" spans="1:10" x14ac:dyDescent="0.35">
      <c r="A947" s="26">
        <v>528872</v>
      </c>
      <c r="B947" s="28">
        <v>0</v>
      </c>
      <c r="C947" s="27" t="s">
        <v>1247</v>
      </c>
      <c r="D947" s="28">
        <v>4</v>
      </c>
      <c r="E947" s="28" t="s">
        <v>864</v>
      </c>
      <c r="F947" s="28" t="s">
        <v>999</v>
      </c>
      <c r="G947" s="28">
        <v>35</v>
      </c>
      <c r="H947" s="28"/>
      <c r="I947" s="30">
        <v>45.5</v>
      </c>
      <c r="J947" s="29">
        <v>25</v>
      </c>
    </row>
    <row r="948" spans="1:10" x14ac:dyDescent="0.35">
      <c r="A948" s="26">
        <v>529002</v>
      </c>
      <c r="B948" s="28">
        <v>0</v>
      </c>
      <c r="C948" s="27" t="s">
        <v>1248</v>
      </c>
      <c r="D948" s="28">
        <v>4</v>
      </c>
      <c r="E948" s="28" t="s">
        <v>429</v>
      </c>
      <c r="F948" s="28" t="s">
        <v>440</v>
      </c>
      <c r="G948" s="28">
        <v>7.4</v>
      </c>
      <c r="H948" s="28"/>
      <c r="I948" s="28">
        <v>7.4</v>
      </c>
      <c r="J948" s="29">
        <v>10.52</v>
      </c>
    </row>
    <row r="949" spans="1:10" x14ac:dyDescent="0.35">
      <c r="A949" s="26">
        <v>529003</v>
      </c>
      <c r="B949" s="28">
        <v>0</v>
      </c>
      <c r="C949" s="27" t="s">
        <v>1249</v>
      </c>
      <c r="D949" s="28">
        <v>4</v>
      </c>
      <c r="E949" s="28" t="s">
        <v>298</v>
      </c>
      <c r="F949" s="28" t="s">
        <v>1</v>
      </c>
      <c r="G949" s="28">
        <v>19</v>
      </c>
      <c r="H949" s="28"/>
      <c r="I949" s="28">
        <v>18.899999999999999</v>
      </c>
      <c r="J949" s="29">
        <v>21</v>
      </c>
    </row>
    <row r="950" spans="1:10" x14ac:dyDescent="0.35">
      <c r="A950" s="26">
        <v>529004</v>
      </c>
      <c r="B950" s="28">
        <v>0</v>
      </c>
      <c r="C950" s="27" t="s">
        <v>1250</v>
      </c>
      <c r="D950" s="28">
        <v>4</v>
      </c>
      <c r="E950" s="28" t="s">
        <v>298</v>
      </c>
      <c r="F950" s="28" t="s">
        <v>1</v>
      </c>
      <c r="G950" s="28">
        <v>31</v>
      </c>
      <c r="H950" s="28"/>
      <c r="I950" s="28">
        <v>31</v>
      </c>
      <c r="J950" s="29">
        <v>29</v>
      </c>
    </row>
    <row r="951" spans="1:10" x14ac:dyDescent="0.35">
      <c r="A951" s="26">
        <v>531331</v>
      </c>
      <c r="B951" s="28">
        <v>0</v>
      </c>
      <c r="C951" s="27" t="s">
        <v>1251</v>
      </c>
      <c r="D951" s="28">
        <v>4</v>
      </c>
      <c r="E951" s="28" t="s">
        <v>298</v>
      </c>
      <c r="F951" s="28" t="s">
        <v>1</v>
      </c>
      <c r="G951" s="28">
        <v>24</v>
      </c>
      <c r="H951" s="28"/>
      <c r="I951" s="28">
        <v>24</v>
      </c>
      <c r="J951" s="29">
        <v>22.08</v>
      </c>
    </row>
    <row r="952" spans="1:10" x14ac:dyDescent="0.35">
      <c r="A952" s="26">
        <v>531765</v>
      </c>
      <c r="B952" s="28">
        <v>0</v>
      </c>
      <c r="C952" s="27" t="s">
        <v>1252</v>
      </c>
      <c r="D952" s="28">
        <v>4</v>
      </c>
      <c r="E952" s="28" t="s">
        <v>864</v>
      </c>
      <c r="F952" s="28" t="s">
        <v>999</v>
      </c>
      <c r="G952" s="28">
        <v>35.1</v>
      </c>
      <c r="H952" s="28"/>
      <c r="I952" s="30">
        <v>24</v>
      </c>
      <c r="J952" s="29">
        <v>26.1</v>
      </c>
    </row>
    <row r="953" spans="1:10" x14ac:dyDescent="0.35">
      <c r="A953" s="26">
        <v>532300</v>
      </c>
      <c r="B953" s="28">
        <v>0</v>
      </c>
      <c r="C953" s="27" t="s">
        <v>1253</v>
      </c>
      <c r="D953" s="28">
        <v>4</v>
      </c>
      <c r="E953" s="28" t="s">
        <v>429</v>
      </c>
      <c r="F953" s="28" t="s">
        <v>467</v>
      </c>
      <c r="G953" s="28">
        <v>4.8499999999999996</v>
      </c>
      <c r="H953" s="28"/>
      <c r="I953" s="28">
        <v>4.8499999999999996</v>
      </c>
      <c r="J953" s="29">
        <v>16.2</v>
      </c>
    </row>
    <row r="954" spans="1:10" x14ac:dyDescent="0.35">
      <c r="A954" s="26">
        <v>532333</v>
      </c>
      <c r="B954" s="28">
        <v>0</v>
      </c>
      <c r="C954" s="27" t="s">
        <v>1254</v>
      </c>
      <c r="D954" s="28">
        <v>8</v>
      </c>
      <c r="E954" s="28" t="s">
        <v>429</v>
      </c>
      <c r="F954" s="28" t="s">
        <v>889</v>
      </c>
      <c r="G954" s="28">
        <v>4.5999999999999996</v>
      </c>
      <c r="H954" s="28"/>
      <c r="I954" s="28">
        <v>3.5</v>
      </c>
      <c r="J954" s="29">
        <v>14</v>
      </c>
    </row>
    <row r="955" spans="1:10" x14ac:dyDescent="0.35">
      <c r="A955" s="26">
        <v>532334</v>
      </c>
      <c r="B955" s="28">
        <v>0</v>
      </c>
      <c r="C955" s="27" t="s">
        <v>1255</v>
      </c>
      <c r="D955" s="28">
        <v>8</v>
      </c>
      <c r="E955" s="28" t="s">
        <v>429</v>
      </c>
      <c r="F955" s="28" t="s">
        <v>889</v>
      </c>
      <c r="G955" s="28">
        <v>4.5999999999999996</v>
      </c>
      <c r="H955" s="28"/>
      <c r="I955" s="28"/>
      <c r="J955" s="29">
        <v>14</v>
      </c>
    </row>
    <row r="956" spans="1:10" x14ac:dyDescent="0.35">
      <c r="A956" s="26">
        <v>532972</v>
      </c>
      <c r="B956" s="28">
        <v>0</v>
      </c>
      <c r="C956" s="27" t="s">
        <v>1256</v>
      </c>
      <c r="D956" s="28">
        <v>0</v>
      </c>
      <c r="E956" s="28" t="s">
        <v>429</v>
      </c>
      <c r="F956" s="28" t="s">
        <v>877</v>
      </c>
      <c r="G956" s="28">
        <v>33</v>
      </c>
      <c r="H956" s="28"/>
      <c r="I956" s="28">
        <v>33</v>
      </c>
      <c r="J956" s="29">
        <v>14.2</v>
      </c>
    </row>
    <row r="957" spans="1:10" x14ac:dyDescent="0.35">
      <c r="A957" s="26">
        <v>532976</v>
      </c>
      <c r="B957" s="28">
        <v>0</v>
      </c>
      <c r="C957" s="27" t="s">
        <v>1257</v>
      </c>
      <c r="D957" s="28">
        <v>4</v>
      </c>
      <c r="E957" s="28" t="s">
        <v>298</v>
      </c>
      <c r="F957" s="28" t="s">
        <v>1</v>
      </c>
      <c r="G957" s="28">
        <v>41.6</v>
      </c>
      <c r="H957" s="28"/>
      <c r="I957" s="28">
        <v>41.5</v>
      </c>
      <c r="J957" s="29">
        <v>25.56</v>
      </c>
    </row>
    <row r="958" spans="1:10" x14ac:dyDescent="0.35">
      <c r="A958" s="26">
        <v>532981</v>
      </c>
      <c r="B958" s="28">
        <v>0</v>
      </c>
      <c r="C958" s="27" t="s">
        <v>1258</v>
      </c>
      <c r="D958" s="28">
        <v>4</v>
      </c>
      <c r="E958" s="28" t="s">
        <v>298</v>
      </c>
      <c r="F958" s="28" t="s">
        <v>1</v>
      </c>
      <c r="G958" s="28">
        <v>24</v>
      </c>
      <c r="H958" s="28"/>
      <c r="I958" s="28">
        <v>24.45</v>
      </c>
      <c r="J958" s="29">
        <v>22.04</v>
      </c>
    </row>
    <row r="959" spans="1:10" x14ac:dyDescent="0.35">
      <c r="A959" s="26">
        <v>539101</v>
      </c>
      <c r="B959" s="28">
        <v>0</v>
      </c>
      <c r="C959" s="27" t="s">
        <v>1259</v>
      </c>
      <c r="D959" s="28">
        <v>4</v>
      </c>
      <c r="E959" s="28" t="s">
        <v>298</v>
      </c>
      <c r="F959" s="28" t="s">
        <v>1</v>
      </c>
      <c r="G959" s="28">
        <v>68</v>
      </c>
      <c r="H959" s="28"/>
      <c r="I959" s="28">
        <v>68</v>
      </c>
      <c r="J959" s="29">
        <v>31.2</v>
      </c>
    </row>
    <row r="960" spans="1:10" x14ac:dyDescent="0.35">
      <c r="A960" s="26">
        <v>540600</v>
      </c>
      <c r="B960" s="28">
        <v>0</v>
      </c>
      <c r="C960" s="27" t="s">
        <v>1260</v>
      </c>
      <c r="D960" s="28">
        <v>4</v>
      </c>
      <c r="E960" s="28" t="s">
        <v>429</v>
      </c>
      <c r="F960" s="28" t="s">
        <v>430</v>
      </c>
      <c r="G960" s="28">
        <v>14.200000000000001</v>
      </c>
      <c r="H960" s="28"/>
      <c r="I960" s="28">
        <v>14.200000000000001</v>
      </c>
      <c r="J960" s="29">
        <v>20</v>
      </c>
    </row>
    <row r="961" spans="1:10" x14ac:dyDescent="0.35">
      <c r="A961" s="26">
        <v>541381</v>
      </c>
      <c r="B961" s="28">
        <v>0</v>
      </c>
      <c r="C961" s="27" t="s">
        <v>34</v>
      </c>
      <c r="D961" s="28">
        <v>4</v>
      </c>
      <c r="E961" s="28" t="s">
        <v>298</v>
      </c>
      <c r="F961" s="28" t="s">
        <v>1</v>
      </c>
      <c r="G961" s="28">
        <v>55</v>
      </c>
      <c r="H961" s="28"/>
      <c r="I961" s="28">
        <v>55</v>
      </c>
      <c r="J961" s="29">
        <v>26</v>
      </c>
    </row>
    <row r="962" spans="1:10" x14ac:dyDescent="0.35">
      <c r="A962" s="26">
        <v>541511</v>
      </c>
      <c r="B962" s="28">
        <v>0</v>
      </c>
      <c r="C962" s="27" t="s">
        <v>1261</v>
      </c>
      <c r="D962" s="28">
        <v>4</v>
      </c>
      <c r="E962" s="28" t="s">
        <v>864</v>
      </c>
      <c r="F962" s="28" t="s">
        <v>999</v>
      </c>
      <c r="G962" s="28">
        <v>7.1</v>
      </c>
      <c r="H962" s="28"/>
      <c r="I962" s="30">
        <v>27.3</v>
      </c>
      <c r="J962" s="29">
        <v>18</v>
      </c>
    </row>
    <row r="963" spans="1:10" x14ac:dyDescent="0.35">
      <c r="A963" s="26">
        <v>542692</v>
      </c>
      <c r="B963" s="28">
        <v>0</v>
      </c>
      <c r="C963" s="27" t="s">
        <v>1262</v>
      </c>
      <c r="D963" s="28">
        <v>2</v>
      </c>
      <c r="E963" s="28" t="s">
        <v>864</v>
      </c>
      <c r="F963" s="28" t="s">
        <v>1049</v>
      </c>
      <c r="G963" s="28">
        <v>29.5</v>
      </c>
      <c r="H963" s="28"/>
      <c r="I963" s="28">
        <v>30.72</v>
      </c>
      <c r="J963" s="29">
        <v>23</v>
      </c>
    </row>
    <row r="964" spans="1:10" x14ac:dyDescent="0.35">
      <c r="A964" s="26">
        <v>542887</v>
      </c>
      <c r="B964" s="28">
        <v>0</v>
      </c>
      <c r="C964" s="27" t="s">
        <v>1263</v>
      </c>
      <c r="D964" s="28">
        <v>4</v>
      </c>
      <c r="E964" s="28" t="s">
        <v>429</v>
      </c>
      <c r="F964" s="28" t="s">
        <v>877</v>
      </c>
      <c r="G964" s="28">
        <v>4.3</v>
      </c>
      <c r="H964" s="28"/>
      <c r="I964" s="28">
        <v>4.3</v>
      </c>
      <c r="J964" s="29">
        <v>14.52</v>
      </c>
    </row>
    <row r="965" spans="1:10" x14ac:dyDescent="0.35">
      <c r="A965" s="26">
        <v>543590</v>
      </c>
      <c r="B965" s="28">
        <v>0</v>
      </c>
      <c r="C965" s="27" t="s">
        <v>38</v>
      </c>
      <c r="D965" s="28">
        <v>4</v>
      </c>
      <c r="E965" s="28" t="s">
        <v>298</v>
      </c>
      <c r="F965" s="28" t="s">
        <v>1</v>
      </c>
      <c r="G965" s="28">
        <v>19</v>
      </c>
      <c r="H965" s="28"/>
      <c r="I965" s="28">
        <v>19</v>
      </c>
      <c r="J965" s="29">
        <v>18.72</v>
      </c>
    </row>
    <row r="966" spans="1:10" x14ac:dyDescent="0.35">
      <c r="A966" s="26">
        <v>543625</v>
      </c>
      <c r="B966" s="28">
        <v>0</v>
      </c>
      <c r="C966" s="27" t="s">
        <v>1264</v>
      </c>
      <c r="D966" s="28">
        <v>4</v>
      </c>
      <c r="E966" s="28" t="s">
        <v>429</v>
      </c>
      <c r="F966" s="28" t="s">
        <v>430</v>
      </c>
      <c r="G966" s="28">
        <v>13.200000000000001</v>
      </c>
      <c r="H966" s="28"/>
      <c r="I966" s="28">
        <v>13.200000000000001</v>
      </c>
      <c r="J966" s="29">
        <v>20</v>
      </c>
    </row>
    <row r="967" spans="1:10" x14ac:dyDescent="0.35">
      <c r="A967" s="26">
        <v>544098</v>
      </c>
      <c r="B967" s="28">
        <v>0</v>
      </c>
      <c r="C967" s="27" t="s">
        <v>1265</v>
      </c>
      <c r="D967" s="28">
        <v>0</v>
      </c>
      <c r="E967" s="28" t="s">
        <v>429</v>
      </c>
      <c r="F967" s="28" t="s">
        <v>889</v>
      </c>
      <c r="G967" s="28">
        <v>4.5999999999999996</v>
      </c>
      <c r="H967" s="28"/>
      <c r="I967" s="28">
        <v>3.5</v>
      </c>
      <c r="J967" s="29">
        <v>14</v>
      </c>
    </row>
    <row r="968" spans="1:10" x14ac:dyDescent="0.35">
      <c r="A968" s="26">
        <v>544784</v>
      </c>
      <c r="B968" s="28">
        <v>0</v>
      </c>
      <c r="C968" s="27" t="s">
        <v>1266</v>
      </c>
      <c r="D968" s="28">
        <v>4</v>
      </c>
      <c r="E968" s="28" t="s">
        <v>298</v>
      </c>
      <c r="F968" s="28" t="s">
        <v>1</v>
      </c>
      <c r="G968" s="28">
        <v>30</v>
      </c>
      <c r="H968" s="28"/>
      <c r="I968" s="28">
        <v>23</v>
      </c>
      <c r="J968" s="29">
        <v>31.4</v>
      </c>
    </row>
    <row r="969" spans="1:10" x14ac:dyDescent="0.35">
      <c r="A969" s="26">
        <v>544852</v>
      </c>
      <c r="B969" s="28">
        <v>0</v>
      </c>
      <c r="C969" s="27" t="s">
        <v>1267</v>
      </c>
      <c r="D969" s="28">
        <v>4</v>
      </c>
      <c r="E969" s="28" t="s">
        <v>298</v>
      </c>
      <c r="F969" s="28" t="s">
        <v>1</v>
      </c>
      <c r="G969" s="28">
        <v>30</v>
      </c>
      <c r="H969" s="28"/>
      <c r="I969" s="28">
        <v>30</v>
      </c>
      <c r="J969" s="29">
        <v>30</v>
      </c>
    </row>
    <row r="970" spans="1:10" x14ac:dyDescent="0.35">
      <c r="A970" s="26">
        <v>545429</v>
      </c>
      <c r="B970" s="28">
        <v>0</v>
      </c>
      <c r="C970" s="27" t="s">
        <v>1268</v>
      </c>
      <c r="D970" s="28">
        <v>4</v>
      </c>
      <c r="E970" s="28" t="s">
        <v>429</v>
      </c>
      <c r="F970" s="28" t="s">
        <v>440</v>
      </c>
      <c r="G970" s="28">
        <v>7.3000000000000007</v>
      </c>
      <c r="H970" s="28"/>
      <c r="I970" s="28">
        <v>7.3000000000000007</v>
      </c>
      <c r="J970" s="29">
        <v>15.3</v>
      </c>
    </row>
    <row r="971" spans="1:10" x14ac:dyDescent="0.35">
      <c r="A971" s="26">
        <v>546271</v>
      </c>
      <c r="B971" s="28">
        <v>0</v>
      </c>
      <c r="C971" s="27" t="s">
        <v>1269</v>
      </c>
      <c r="D971" s="28">
        <v>4</v>
      </c>
      <c r="E971" s="28" t="s">
        <v>429</v>
      </c>
      <c r="F971" s="28" t="s">
        <v>922</v>
      </c>
      <c r="G971" s="28">
        <v>6.1000000000000005</v>
      </c>
      <c r="H971" s="28"/>
      <c r="I971" s="28">
        <v>4.8</v>
      </c>
      <c r="J971" s="29">
        <v>18.399999999999999</v>
      </c>
    </row>
    <row r="972" spans="1:10" x14ac:dyDescent="0.35">
      <c r="A972" s="26">
        <v>546292</v>
      </c>
      <c r="B972" s="28">
        <v>0</v>
      </c>
      <c r="C972" s="27" t="s">
        <v>1270</v>
      </c>
      <c r="D972" s="28">
        <v>4</v>
      </c>
      <c r="E972" s="28" t="s">
        <v>429</v>
      </c>
      <c r="F972" s="28" t="s">
        <v>922</v>
      </c>
      <c r="G972" s="28">
        <v>5.1000000000000005</v>
      </c>
      <c r="H972" s="28"/>
      <c r="I972" s="28">
        <v>5.1000000000000005</v>
      </c>
      <c r="J972" s="29">
        <v>18.399999999999999</v>
      </c>
    </row>
    <row r="973" spans="1:10" x14ac:dyDescent="0.35">
      <c r="A973" s="26">
        <v>549292</v>
      </c>
      <c r="B973" s="28">
        <v>0</v>
      </c>
      <c r="C973" s="27" t="s">
        <v>1271</v>
      </c>
      <c r="D973" s="28">
        <v>4</v>
      </c>
      <c r="E973" s="28" t="s">
        <v>429</v>
      </c>
      <c r="F973" s="28" t="s">
        <v>467</v>
      </c>
      <c r="G973" s="28">
        <v>4.8499999999999996</v>
      </c>
      <c r="H973" s="28"/>
      <c r="I973" s="28">
        <v>4.8499999999999996</v>
      </c>
      <c r="J973" s="29">
        <v>16.2</v>
      </c>
    </row>
    <row r="974" spans="1:10" x14ac:dyDescent="0.35">
      <c r="A974" s="26">
        <v>549409</v>
      </c>
      <c r="B974" s="28">
        <v>0</v>
      </c>
      <c r="C974" s="27" t="s">
        <v>1272</v>
      </c>
      <c r="D974" s="28">
        <v>4</v>
      </c>
      <c r="E974" s="28" t="s">
        <v>298</v>
      </c>
      <c r="F974" s="28" t="s">
        <v>1</v>
      </c>
      <c r="G974" s="28">
        <v>32</v>
      </c>
      <c r="H974" s="28"/>
      <c r="I974" s="28">
        <v>32</v>
      </c>
      <c r="J974" s="29">
        <v>25.92</v>
      </c>
    </row>
    <row r="975" spans="1:10" x14ac:dyDescent="0.35">
      <c r="A975" s="26">
        <v>549410</v>
      </c>
      <c r="B975" s="28">
        <v>0</v>
      </c>
      <c r="C975" s="27" t="s">
        <v>1273</v>
      </c>
      <c r="D975" s="28">
        <v>4</v>
      </c>
      <c r="E975" s="28" t="s">
        <v>298</v>
      </c>
      <c r="F975" s="28" t="s">
        <v>12</v>
      </c>
      <c r="G975" s="28">
        <v>48</v>
      </c>
      <c r="H975" s="28"/>
      <c r="I975" s="28">
        <v>48</v>
      </c>
      <c r="J975" s="29">
        <v>30.12</v>
      </c>
    </row>
    <row r="976" spans="1:10" x14ac:dyDescent="0.35">
      <c r="A976" s="26">
        <v>549760</v>
      </c>
      <c r="B976" s="28">
        <v>0</v>
      </c>
      <c r="C976" s="27" t="s">
        <v>1274</v>
      </c>
      <c r="D976" s="28">
        <v>4</v>
      </c>
      <c r="E976" s="28" t="s">
        <v>429</v>
      </c>
      <c r="F976" s="28" t="s">
        <v>467</v>
      </c>
      <c r="G976" s="28">
        <v>4.8499999999999996</v>
      </c>
      <c r="H976" s="28"/>
      <c r="I976" s="28">
        <v>4.8499999999999996</v>
      </c>
      <c r="J976" s="29">
        <v>16.2</v>
      </c>
    </row>
    <row r="977" spans="1:10" x14ac:dyDescent="0.35">
      <c r="A977" s="26">
        <v>549814</v>
      </c>
      <c r="B977" s="28">
        <v>0</v>
      </c>
      <c r="C977" s="27" t="s">
        <v>1275</v>
      </c>
      <c r="D977" s="28">
        <v>4</v>
      </c>
      <c r="E977" s="28" t="s">
        <v>298</v>
      </c>
      <c r="F977" s="28" t="s">
        <v>1</v>
      </c>
      <c r="G977" s="28">
        <v>18.349999999999998</v>
      </c>
      <c r="H977" s="28"/>
      <c r="I977" s="28">
        <v>11.3</v>
      </c>
      <c r="J977" s="29">
        <v>19.239999999999998</v>
      </c>
    </row>
    <row r="978" spans="1:10" x14ac:dyDescent="0.35">
      <c r="A978" s="26">
        <v>550076</v>
      </c>
      <c r="B978" s="28">
        <v>0</v>
      </c>
      <c r="C978" s="27" t="s">
        <v>1276</v>
      </c>
      <c r="D978" s="28">
        <v>6</v>
      </c>
      <c r="E978" s="28" t="s">
        <v>298</v>
      </c>
      <c r="F978" s="28" t="s">
        <v>19</v>
      </c>
      <c r="G978" s="28">
        <v>18.8</v>
      </c>
      <c r="H978" s="28"/>
      <c r="I978" s="28">
        <v>11.3</v>
      </c>
      <c r="J978" s="29">
        <v>22.5</v>
      </c>
    </row>
    <row r="979" spans="1:10" x14ac:dyDescent="0.35">
      <c r="A979" s="26">
        <v>550077</v>
      </c>
      <c r="B979" s="28">
        <v>0</v>
      </c>
      <c r="C979" s="27" t="s">
        <v>1277</v>
      </c>
      <c r="D979" s="28">
        <v>6</v>
      </c>
      <c r="E979" s="28" t="s">
        <v>298</v>
      </c>
      <c r="F979" s="28" t="s">
        <v>19</v>
      </c>
      <c r="G979" s="28">
        <v>28</v>
      </c>
      <c r="H979" s="28"/>
      <c r="I979" s="28">
        <v>28</v>
      </c>
      <c r="J979" s="29">
        <v>42</v>
      </c>
    </row>
    <row r="980" spans="1:10" x14ac:dyDescent="0.35">
      <c r="A980" s="26">
        <v>550363</v>
      </c>
      <c r="B980" s="28">
        <v>0</v>
      </c>
      <c r="C980" s="27" t="s">
        <v>1278</v>
      </c>
      <c r="D980" s="28">
        <v>1</v>
      </c>
      <c r="E980" s="28" t="s">
        <v>429</v>
      </c>
      <c r="F980" s="28" t="s">
        <v>1279</v>
      </c>
      <c r="G980" s="28">
        <v>35</v>
      </c>
      <c r="H980" s="28"/>
      <c r="I980" s="28"/>
      <c r="J980" s="29">
        <v>10</v>
      </c>
    </row>
    <row r="981" spans="1:10" x14ac:dyDescent="0.35">
      <c r="A981" s="26">
        <v>552181</v>
      </c>
      <c r="B981" s="28">
        <v>1</v>
      </c>
      <c r="C981" s="27" t="s">
        <v>36</v>
      </c>
      <c r="D981" s="28">
        <v>6</v>
      </c>
      <c r="E981" s="28" t="s">
        <v>298</v>
      </c>
      <c r="F981" s="28" t="s">
        <v>19</v>
      </c>
      <c r="G981" s="28">
        <v>18.8</v>
      </c>
      <c r="H981" s="28"/>
      <c r="I981" s="28">
        <v>18.8</v>
      </c>
      <c r="J981" s="29">
        <v>27</v>
      </c>
    </row>
    <row r="982" spans="1:10" x14ac:dyDescent="0.35">
      <c r="A982" s="26">
        <v>552181</v>
      </c>
      <c r="B982" s="28">
        <v>2</v>
      </c>
      <c r="C982" s="27" t="s">
        <v>1280</v>
      </c>
      <c r="D982" s="28">
        <v>6</v>
      </c>
      <c r="E982" s="28" t="s">
        <v>298</v>
      </c>
      <c r="F982" s="28" t="s">
        <v>19</v>
      </c>
      <c r="G982" s="28">
        <v>18.8</v>
      </c>
      <c r="H982" s="28"/>
      <c r="I982" s="28">
        <v>18.8</v>
      </c>
      <c r="J982" s="29">
        <v>27</v>
      </c>
    </row>
    <row r="983" spans="1:10" x14ac:dyDescent="0.35">
      <c r="A983" s="26">
        <v>552181</v>
      </c>
      <c r="B983" s="28">
        <v>3</v>
      </c>
      <c r="C983" s="27" t="s">
        <v>1281</v>
      </c>
      <c r="D983" s="28">
        <v>6</v>
      </c>
      <c r="E983" s="28" t="s">
        <v>298</v>
      </c>
      <c r="F983" s="28" t="s">
        <v>19</v>
      </c>
      <c r="G983" s="28">
        <v>18.8</v>
      </c>
      <c r="H983" s="28"/>
      <c r="I983" s="28">
        <v>18.8</v>
      </c>
      <c r="J983" s="29">
        <v>27</v>
      </c>
    </row>
    <row r="984" spans="1:10" x14ac:dyDescent="0.35">
      <c r="A984" s="26">
        <v>552181</v>
      </c>
      <c r="B984" s="28">
        <v>4</v>
      </c>
      <c r="C984" s="27" t="s">
        <v>28</v>
      </c>
      <c r="D984" s="28">
        <v>6</v>
      </c>
      <c r="E984" s="28" t="s">
        <v>298</v>
      </c>
      <c r="F984" s="28" t="s">
        <v>19</v>
      </c>
      <c r="G984" s="28">
        <v>18.8</v>
      </c>
      <c r="H984" s="28"/>
      <c r="I984" s="28">
        <v>18.8</v>
      </c>
      <c r="J984" s="29">
        <v>27</v>
      </c>
    </row>
    <row r="985" spans="1:10" x14ac:dyDescent="0.35">
      <c r="A985" s="26">
        <v>552181</v>
      </c>
      <c r="B985" s="28">
        <v>5</v>
      </c>
      <c r="C985" s="27" t="s">
        <v>1282</v>
      </c>
      <c r="D985" s="28">
        <v>6</v>
      </c>
      <c r="E985" s="28" t="s">
        <v>298</v>
      </c>
      <c r="F985" s="28" t="s">
        <v>19</v>
      </c>
      <c r="G985" s="28">
        <v>18.8</v>
      </c>
      <c r="H985" s="28"/>
      <c r="I985" s="28">
        <v>18.8</v>
      </c>
      <c r="J985" s="29">
        <v>27</v>
      </c>
    </row>
    <row r="986" spans="1:10" x14ac:dyDescent="0.35">
      <c r="A986" s="26">
        <v>552603</v>
      </c>
      <c r="B986" s="28">
        <v>0</v>
      </c>
      <c r="C986" s="27" t="s">
        <v>1283</v>
      </c>
      <c r="D986" s="28">
        <v>4</v>
      </c>
      <c r="E986" s="28" t="s">
        <v>864</v>
      </c>
      <c r="F986" s="28" t="s">
        <v>999</v>
      </c>
      <c r="G986" s="28">
        <v>45</v>
      </c>
      <c r="H986" s="28"/>
      <c r="I986" s="30">
        <v>36</v>
      </c>
      <c r="J986" s="29">
        <v>30</v>
      </c>
    </row>
    <row r="987" spans="1:10" x14ac:dyDescent="0.35">
      <c r="A987" s="26">
        <v>552986</v>
      </c>
      <c r="B987" s="28">
        <v>0</v>
      </c>
      <c r="C987" s="27" t="s">
        <v>1284</v>
      </c>
      <c r="D987" s="28">
        <v>2</v>
      </c>
      <c r="E987" s="28" t="s">
        <v>864</v>
      </c>
      <c r="F987" s="28" t="s">
        <v>1049</v>
      </c>
      <c r="G987" s="28">
        <v>29.5</v>
      </c>
      <c r="H987" s="28"/>
      <c r="I987" s="30">
        <v>38.35</v>
      </c>
      <c r="J987" s="29">
        <v>23</v>
      </c>
    </row>
    <row r="988" spans="1:10" x14ac:dyDescent="0.35">
      <c r="A988" s="26">
        <v>553482</v>
      </c>
      <c r="B988" s="28">
        <v>0</v>
      </c>
      <c r="C988" s="27" t="s">
        <v>1285</v>
      </c>
      <c r="D988" s="28">
        <v>0</v>
      </c>
      <c r="E988" s="28" t="s">
        <v>429</v>
      </c>
      <c r="F988" s="28" t="s">
        <v>877</v>
      </c>
      <c r="G988" s="28">
        <v>15.5</v>
      </c>
      <c r="H988" s="28"/>
      <c r="I988" s="28">
        <v>15.5</v>
      </c>
      <c r="J988" s="29">
        <v>13.2</v>
      </c>
    </row>
    <row r="989" spans="1:10" x14ac:dyDescent="0.35">
      <c r="A989" s="26">
        <v>554304</v>
      </c>
      <c r="B989" s="28">
        <v>0</v>
      </c>
      <c r="C989" s="27" t="s">
        <v>1044</v>
      </c>
      <c r="D989" s="28">
        <v>2</v>
      </c>
      <c r="E989" s="28" t="s">
        <v>864</v>
      </c>
      <c r="F989" s="28" t="s">
        <v>999</v>
      </c>
      <c r="G989" s="28">
        <v>34</v>
      </c>
      <c r="H989" s="28"/>
      <c r="I989" s="28">
        <v>61.2</v>
      </c>
      <c r="J989" s="29">
        <v>18</v>
      </c>
    </row>
    <row r="990" spans="1:10" x14ac:dyDescent="0.35">
      <c r="A990" s="26">
        <v>554978</v>
      </c>
      <c r="B990" s="28">
        <v>0</v>
      </c>
      <c r="C990" s="27" t="s">
        <v>1286</v>
      </c>
      <c r="D990" s="28">
        <v>2</v>
      </c>
      <c r="E990" s="28" t="s">
        <v>429</v>
      </c>
      <c r="F990" s="28" t="s">
        <v>877</v>
      </c>
      <c r="G990" s="28">
        <v>23.2</v>
      </c>
      <c r="H990" s="28"/>
      <c r="I990" s="28">
        <v>23.2</v>
      </c>
      <c r="J990" s="29">
        <v>30</v>
      </c>
    </row>
    <row r="991" spans="1:10" x14ac:dyDescent="0.35">
      <c r="A991" s="26">
        <v>554979</v>
      </c>
      <c r="B991" s="28">
        <v>0</v>
      </c>
      <c r="C991" s="27" t="s">
        <v>1287</v>
      </c>
      <c r="D991" s="28">
        <v>4</v>
      </c>
      <c r="E991" s="28" t="s">
        <v>298</v>
      </c>
      <c r="F991" s="28" t="s">
        <v>1</v>
      </c>
      <c r="G991" s="28">
        <v>29</v>
      </c>
      <c r="H991" s="28"/>
      <c r="I991" s="28">
        <v>23</v>
      </c>
      <c r="J991" s="29">
        <v>24</v>
      </c>
    </row>
    <row r="992" spans="1:10" x14ac:dyDescent="0.35">
      <c r="A992" s="26">
        <v>555128</v>
      </c>
      <c r="B992" s="28">
        <v>0</v>
      </c>
      <c r="C992" s="27" t="s">
        <v>1288</v>
      </c>
      <c r="D992" s="28">
        <v>4</v>
      </c>
      <c r="E992" s="28" t="s">
        <v>429</v>
      </c>
      <c r="F992" s="28" t="s">
        <v>440</v>
      </c>
      <c r="G992" s="28">
        <v>8.3000000000000007</v>
      </c>
      <c r="H992" s="28"/>
      <c r="I992" s="28">
        <v>7.8</v>
      </c>
      <c r="J992" s="29">
        <v>15.3</v>
      </c>
    </row>
    <row r="993" spans="1:10" x14ac:dyDescent="0.35">
      <c r="A993" s="26">
        <v>555192</v>
      </c>
      <c r="B993" s="28">
        <v>0</v>
      </c>
      <c r="C993" s="27" t="s">
        <v>1289</v>
      </c>
      <c r="D993" s="28">
        <v>4</v>
      </c>
      <c r="E993" s="28" t="s">
        <v>298</v>
      </c>
      <c r="F993" s="28" t="s">
        <v>1</v>
      </c>
      <c r="G993" s="28">
        <v>44</v>
      </c>
      <c r="H993" s="28"/>
      <c r="I993" s="28">
        <v>76.2</v>
      </c>
      <c r="J993" s="29">
        <v>28</v>
      </c>
    </row>
    <row r="994" spans="1:10" x14ac:dyDescent="0.35">
      <c r="A994" s="26">
        <v>555193</v>
      </c>
      <c r="B994" s="28">
        <v>0</v>
      </c>
      <c r="C994" s="27" t="s">
        <v>1290</v>
      </c>
      <c r="D994" s="28">
        <v>8</v>
      </c>
      <c r="E994" s="28" t="s">
        <v>429</v>
      </c>
      <c r="F994" s="28" t="s">
        <v>440</v>
      </c>
      <c r="G994" s="28">
        <v>3.6999999999999997</v>
      </c>
      <c r="H994" s="28"/>
      <c r="I994" s="28">
        <v>3.7</v>
      </c>
      <c r="J994" s="29">
        <v>17.600000000000001</v>
      </c>
    </row>
    <row r="995" spans="1:10" x14ac:dyDescent="0.35">
      <c r="A995" s="26">
        <v>555281</v>
      </c>
      <c r="B995" s="28">
        <v>0</v>
      </c>
      <c r="C995" s="27" t="s">
        <v>1291</v>
      </c>
      <c r="D995" s="28">
        <v>4</v>
      </c>
      <c r="E995" s="28" t="s">
        <v>298</v>
      </c>
      <c r="F995" s="28" t="s">
        <v>1</v>
      </c>
      <c r="G995" s="28">
        <v>30</v>
      </c>
      <c r="H995" s="28"/>
      <c r="I995" s="28">
        <v>30</v>
      </c>
      <c r="J995" s="29">
        <v>27</v>
      </c>
    </row>
    <row r="996" spans="1:10" x14ac:dyDescent="0.35">
      <c r="A996" s="26">
        <v>555586</v>
      </c>
      <c r="B996" s="28">
        <v>0</v>
      </c>
      <c r="C996" s="27" t="s">
        <v>1292</v>
      </c>
      <c r="D996" s="28">
        <v>4</v>
      </c>
      <c r="E996" s="28" t="s">
        <v>298</v>
      </c>
      <c r="F996" s="28" t="s">
        <v>1</v>
      </c>
      <c r="G996" s="28">
        <v>24</v>
      </c>
      <c r="H996" s="28"/>
      <c r="I996" s="28">
        <v>24.3</v>
      </c>
      <c r="J996" s="29">
        <v>21.68</v>
      </c>
    </row>
    <row r="997" spans="1:10" x14ac:dyDescent="0.35">
      <c r="A997" s="26">
        <v>555589</v>
      </c>
      <c r="B997" s="28">
        <v>0</v>
      </c>
      <c r="C997" s="27" t="s">
        <v>1293</v>
      </c>
      <c r="D997" s="28">
        <v>4</v>
      </c>
      <c r="E997" s="28" t="s">
        <v>429</v>
      </c>
      <c r="F997" s="28" t="s">
        <v>872</v>
      </c>
      <c r="G997" s="28">
        <v>3.1</v>
      </c>
      <c r="H997" s="28"/>
      <c r="I997" s="28">
        <v>3.1</v>
      </c>
      <c r="J997" s="29">
        <v>9</v>
      </c>
    </row>
    <row r="998" spans="1:10" x14ac:dyDescent="0.35">
      <c r="A998" s="26">
        <v>555879</v>
      </c>
      <c r="B998" s="28">
        <v>0</v>
      </c>
      <c r="C998" s="27" t="s">
        <v>1294</v>
      </c>
      <c r="D998" s="28">
        <v>4</v>
      </c>
      <c r="E998" s="28" t="s">
        <v>298</v>
      </c>
      <c r="F998" s="28" t="s">
        <v>1</v>
      </c>
      <c r="G998" s="28">
        <v>24</v>
      </c>
      <c r="H998" s="28"/>
      <c r="I998" s="28">
        <v>24.45</v>
      </c>
      <c r="J998" s="29">
        <v>36</v>
      </c>
    </row>
    <row r="999" spans="1:10" x14ac:dyDescent="0.35">
      <c r="A999" s="26">
        <v>555979</v>
      </c>
      <c r="B999" s="28">
        <v>1</v>
      </c>
      <c r="C999" s="27" t="s">
        <v>1295</v>
      </c>
      <c r="D999" s="28">
        <v>6</v>
      </c>
      <c r="E999" s="28" t="s">
        <v>298</v>
      </c>
      <c r="F999" s="28" t="s">
        <v>19</v>
      </c>
      <c r="G999" s="28">
        <v>28</v>
      </c>
      <c r="H999" s="28"/>
      <c r="I999" s="28">
        <v>28</v>
      </c>
      <c r="J999" s="29">
        <v>42</v>
      </c>
    </row>
    <row r="1000" spans="1:10" x14ac:dyDescent="0.35">
      <c r="A1000" s="26">
        <v>555979</v>
      </c>
      <c r="B1000" s="28">
        <v>2</v>
      </c>
      <c r="C1000" s="27" t="s">
        <v>1296</v>
      </c>
      <c r="D1000" s="28">
        <v>6</v>
      </c>
      <c r="E1000" s="28" t="s">
        <v>298</v>
      </c>
      <c r="F1000" s="28" t="s">
        <v>19</v>
      </c>
      <c r="G1000" s="28">
        <v>28</v>
      </c>
      <c r="H1000" s="28"/>
      <c r="I1000" s="28">
        <v>28</v>
      </c>
      <c r="J1000" s="29">
        <v>42</v>
      </c>
    </row>
    <row r="1001" spans="1:10" x14ac:dyDescent="0.35">
      <c r="A1001" s="26">
        <v>555979</v>
      </c>
      <c r="B1001" s="28">
        <v>3</v>
      </c>
      <c r="C1001" s="27" t="s">
        <v>1297</v>
      </c>
      <c r="D1001" s="28">
        <v>6</v>
      </c>
      <c r="E1001" s="28" t="s">
        <v>298</v>
      </c>
      <c r="F1001" s="28" t="s">
        <v>19</v>
      </c>
      <c r="G1001" s="28">
        <v>28</v>
      </c>
      <c r="H1001" s="28"/>
      <c r="I1001" s="28">
        <v>28</v>
      </c>
      <c r="J1001" s="29">
        <v>42</v>
      </c>
    </row>
    <row r="1002" spans="1:10" x14ac:dyDescent="0.35">
      <c r="A1002" s="26">
        <v>556157</v>
      </c>
      <c r="B1002" s="28">
        <v>0</v>
      </c>
      <c r="C1002" s="27" t="s">
        <v>1298</v>
      </c>
      <c r="D1002" s="28">
        <v>4</v>
      </c>
      <c r="E1002" s="28" t="s">
        <v>429</v>
      </c>
      <c r="F1002" s="28" t="s">
        <v>922</v>
      </c>
      <c r="G1002" s="28">
        <v>5.1999999999999993</v>
      </c>
      <c r="H1002" s="28"/>
      <c r="I1002" s="28">
        <v>4.8</v>
      </c>
      <c r="J1002" s="29">
        <v>15.2</v>
      </c>
    </row>
    <row r="1003" spans="1:10" x14ac:dyDescent="0.35">
      <c r="A1003" s="26">
        <v>557186</v>
      </c>
      <c r="B1003" s="28">
        <v>0</v>
      </c>
      <c r="C1003" s="27" t="s">
        <v>1299</v>
      </c>
      <c r="D1003" s="28">
        <v>4</v>
      </c>
      <c r="E1003" s="28" t="s">
        <v>298</v>
      </c>
      <c r="F1003" s="28" t="s">
        <v>1</v>
      </c>
      <c r="G1003" s="28">
        <v>34</v>
      </c>
      <c r="H1003" s="28"/>
      <c r="I1003" s="28">
        <v>34</v>
      </c>
      <c r="J1003" s="29">
        <v>9</v>
      </c>
    </row>
    <row r="1004" spans="1:10" x14ac:dyDescent="0.35">
      <c r="A1004" s="26">
        <v>557187</v>
      </c>
      <c r="B1004" s="28">
        <v>0</v>
      </c>
      <c r="C1004" s="27" t="s">
        <v>1300</v>
      </c>
      <c r="D1004" s="28">
        <v>4</v>
      </c>
      <c r="E1004" s="28" t="s">
        <v>298</v>
      </c>
      <c r="F1004" s="28" t="s">
        <v>1</v>
      </c>
      <c r="G1004" s="28">
        <v>68</v>
      </c>
      <c r="H1004" s="28"/>
      <c r="I1004" s="28">
        <v>68</v>
      </c>
      <c r="J1004" s="29">
        <v>31.08</v>
      </c>
    </row>
    <row r="1005" spans="1:10" x14ac:dyDescent="0.35">
      <c r="A1005" s="26">
        <v>557213</v>
      </c>
      <c r="B1005" s="28">
        <v>0</v>
      </c>
      <c r="C1005" s="27" t="s">
        <v>1301</v>
      </c>
      <c r="D1005" s="28">
        <v>3</v>
      </c>
      <c r="E1005" s="28" t="s">
        <v>298</v>
      </c>
      <c r="F1005" s="28" t="s">
        <v>1</v>
      </c>
      <c r="G1005" s="28">
        <v>98.2</v>
      </c>
      <c r="H1005" s="28"/>
      <c r="I1005" s="28">
        <v>24.3</v>
      </c>
      <c r="J1005" s="29">
        <v>30</v>
      </c>
    </row>
    <row r="1006" spans="1:10" x14ac:dyDescent="0.35">
      <c r="A1006" s="26">
        <v>557349</v>
      </c>
      <c r="B1006" s="28">
        <v>0</v>
      </c>
      <c r="C1006" s="27" t="s">
        <v>1302</v>
      </c>
      <c r="D1006" s="28">
        <v>4</v>
      </c>
      <c r="E1006" s="28" t="s">
        <v>298</v>
      </c>
      <c r="F1006" s="28" t="s">
        <v>1</v>
      </c>
      <c r="G1006" s="28">
        <v>34.5</v>
      </c>
      <c r="H1006" s="28"/>
      <c r="I1006" s="28">
        <v>33.6</v>
      </c>
      <c r="J1006" s="29">
        <v>18</v>
      </c>
    </row>
    <row r="1007" spans="1:10" x14ac:dyDescent="0.35">
      <c r="A1007" s="26">
        <v>558106</v>
      </c>
      <c r="B1007" s="28">
        <v>0</v>
      </c>
      <c r="C1007" s="27" t="s">
        <v>1303</v>
      </c>
      <c r="D1007" s="28">
        <v>6</v>
      </c>
      <c r="E1007" s="28" t="s">
        <v>298</v>
      </c>
      <c r="F1007" s="28" t="s">
        <v>19</v>
      </c>
      <c r="G1007" s="28">
        <v>28</v>
      </c>
      <c r="H1007" s="28"/>
      <c r="I1007" s="28">
        <v>26</v>
      </c>
      <c r="J1007" s="29">
        <v>27.599999999999998</v>
      </c>
    </row>
    <row r="1008" spans="1:10" x14ac:dyDescent="0.35">
      <c r="A1008" s="26">
        <v>558274</v>
      </c>
      <c r="B1008" s="28">
        <v>0</v>
      </c>
      <c r="C1008" s="27" t="s">
        <v>1304</v>
      </c>
      <c r="D1008" s="28">
        <v>1</v>
      </c>
      <c r="E1008" s="28" t="s">
        <v>864</v>
      </c>
      <c r="F1008" s="28" t="s">
        <v>1305</v>
      </c>
      <c r="G1008" s="28">
        <v>85.4</v>
      </c>
      <c r="H1008" s="28"/>
      <c r="I1008" s="28">
        <v>95.2</v>
      </c>
      <c r="J1008" s="29">
        <v>41</v>
      </c>
    </row>
    <row r="1009" spans="1:10" x14ac:dyDescent="0.35">
      <c r="A1009" s="26">
        <v>558275</v>
      </c>
      <c r="B1009" s="28">
        <v>0</v>
      </c>
      <c r="C1009" s="27" t="s">
        <v>1306</v>
      </c>
      <c r="D1009" s="28">
        <v>1</v>
      </c>
      <c r="E1009" s="28" t="s">
        <v>864</v>
      </c>
      <c r="F1009" s="28" t="s">
        <v>19</v>
      </c>
      <c r="G1009" s="28">
        <v>86.5</v>
      </c>
      <c r="H1009" s="28"/>
      <c r="I1009" s="28">
        <v>44.4</v>
      </c>
      <c r="J1009" s="29">
        <v>40</v>
      </c>
    </row>
    <row r="1010" spans="1:10" x14ac:dyDescent="0.35">
      <c r="A1010" s="26">
        <v>558276</v>
      </c>
      <c r="B1010" s="28">
        <v>0</v>
      </c>
      <c r="C1010" s="27" t="s">
        <v>1307</v>
      </c>
      <c r="D1010" s="28">
        <v>1</v>
      </c>
      <c r="E1010" s="28" t="s">
        <v>864</v>
      </c>
      <c r="F1010" s="28" t="s">
        <v>1308</v>
      </c>
      <c r="G1010" s="28">
        <v>86.5</v>
      </c>
      <c r="H1010" s="28"/>
      <c r="I1010" s="28">
        <v>45</v>
      </c>
      <c r="J1010" s="29">
        <v>40</v>
      </c>
    </row>
    <row r="1011" spans="1:10" x14ac:dyDescent="0.35">
      <c r="A1011" s="26">
        <v>561158</v>
      </c>
      <c r="B1011" s="28">
        <v>0</v>
      </c>
      <c r="C1011" s="27" t="s">
        <v>1309</v>
      </c>
      <c r="D1011" s="28">
        <v>4</v>
      </c>
      <c r="E1011" s="28" t="s">
        <v>298</v>
      </c>
      <c r="F1011" s="28" t="s">
        <v>1</v>
      </c>
      <c r="G1011" s="28">
        <v>23</v>
      </c>
      <c r="H1011" s="28"/>
      <c r="I1011" s="28">
        <v>29</v>
      </c>
      <c r="J1011" s="29">
        <v>20.399999999999999</v>
      </c>
    </row>
    <row r="1012" spans="1:10" x14ac:dyDescent="0.35">
      <c r="A1012" s="26">
        <v>561358</v>
      </c>
      <c r="B1012" s="28">
        <v>0</v>
      </c>
      <c r="C1012" s="27" t="s">
        <v>1310</v>
      </c>
      <c r="D1012" s="28">
        <v>4</v>
      </c>
      <c r="E1012" s="28" t="s">
        <v>298</v>
      </c>
      <c r="F1012" s="28" t="s">
        <v>1</v>
      </c>
      <c r="G1012" s="28">
        <v>34.5</v>
      </c>
      <c r="H1012" s="28"/>
      <c r="I1012" s="28">
        <v>35</v>
      </c>
      <c r="J1012" s="29">
        <v>22</v>
      </c>
    </row>
    <row r="1013" spans="1:10" x14ac:dyDescent="0.35">
      <c r="A1013" s="26">
        <v>561718</v>
      </c>
      <c r="B1013" s="28">
        <v>0</v>
      </c>
      <c r="C1013" s="27" t="s">
        <v>1311</v>
      </c>
      <c r="D1013" s="28">
        <v>4</v>
      </c>
      <c r="E1013" s="28" t="s">
        <v>298</v>
      </c>
      <c r="F1013" s="28" t="s">
        <v>1</v>
      </c>
      <c r="G1013" s="28">
        <v>31</v>
      </c>
      <c r="H1013" s="28"/>
      <c r="I1013" s="28">
        <v>31.5</v>
      </c>
      <c r="J1013" s="29">
        <v>28</v>
      </c>
    </row>
    <row r="1014" spans="1:10" x14ac:dyDescent="0.35">
      <c r="A1014" s="26">
        <v>561720</v>
      </c>
      <c r="B1014" s="28">
        <v>0</v>
      </c>
      <c r="C1014" s="27" t="s">
        <v>1312</v>
      </c>
      <c r="D1014" s="28">
        <v>0</v>
      </c>
      <c r="E1014" s="28" t="s">
        <v>429</v>
      </c>
      <c r="F1014" s="28" t="s">
        <v>872</v>
      </c>
      <c r="G1014" s="28">
        <v>6.399</v>
      </c>
      <c r="H1014" s="28"/>
      <c r="I1014" s="28"/>
      <c r="J1014" s="29">
        <v>20.100000000000001</v>
      </c>
    </row>
    <row r="1015" spans="1:10" x14ac:dyDescent="0.35">
      <c r="A1015" s="26">
        <v>563945</v>
      </c>
      <c r="B1015" s="28">
        <v>0</v>
      </c>
      <c r="C1015" s="27" t="s">
        <v>1313</v>
      </c>
      <c r="D1015" s="28">
        <v>4</v>
      </c>
      <c r="E1015" s="28" t="s">
        <v>298</v>
      </c>
      <c r="F1015" s="28" t="s">
        <v>1</v>
      </c>
      <c r="G1015" s="28">
        <v>24</v>
      </c>
      <c r="H1015" s="28"/>
      <c r="I1015" s="28">
        <v>24</v>
      </c>
      <c r="J1015" s="29">
        <v>36</v>
      </c>
    </row>
    <row r="1016" spans="1:10" x14ac:dyDescent="0.35">
      <c r="A1016" s="26">
        <v>563998</v>
      </c>
      <c r="B1016" s="28">
        <v>0</v>
      </c>
      <c r="C1016" s="27" t="s">
        <v>1314</v>
      </c>
      <c r="D1016" s="28">
        <v>8</v>
      </c>
      <c r="E1016" s="28" t="s">
        <v>429</v>
      </c>
      <c r="F1016" s="28" t="s">
        <v>440</v>
      </c>
      <c r="G1016" s="28">
        <v>4.7</v>
      </c>
      <c r="H1016" s="28"/>
      <c r="I1016" s="28">
        <v>4.7</v>
      </c>
      <c r="J1016" s="29">
        <v>17.600000000000001</v>
      </c>
    </row>
    <row r="1017" spans="1:10" x14ac:dyDescent="0.35">
      <c r="A1017" s="26">
        <v>563999</v>
      </c>
      <c r="B1017" s="28">
        <v>0</v>
      </c>
      <c r="C1017" s="27" t="s">
        <v>1315</v>
      </c>
      <c r="D1017" s="28">
        <v>8</v>
      </c>
      <c r="E1017" s="28" t="s">
        <v>429</v>
      </c>
      <c r="F1017" s="28" t="s">
        <v>440</v>
      </c>
      <c r="G1017" s="28">
        <v>4.7</v>
      </c>
      <c r="H1017" s="28"/>
      <c r="I1017" s="28">
        <v>4.7</v>
      </c>
      <c r="J1017" s="29">
        <v>17.600000000000001</v>
      </c>
    </row>
    <row r="1018" spans="1:10" x14ac:dyDescent="0.35">
      <c r="A1018" s="26">
        <v>564905</v>
      </c>
      <c r="B1018" s="28">
        <v>0</v>
      </c>
      <c r="C1018" s="27" t="s">
        <v>1316</v>
      </c>
      <c r="D1018" s="28">
        <v>0</v>
      </c>
      <c r="E1018" s="28" t="s">
        <v>429</v>
      </c>
      <c r="F1018" s="28" t="s">
        <v>872</v>
      </c>
      <c r="G1018" s="28">
        <v>6.7</v>
      </c>
      <c r="H1018" s="28"/>
      <c r="I1018" s="28">
        <v>6.7</v>
      </c>
      <c r="J1018" s="29">
        <v>20</v>
      </c>
    </row>
    <row r="1019" spans="1:10" x14ac:dyDescent="0.35">
      <c r="A1019" s="26">
        <v>565885</v>
      </c>
      <c r="B1019" s="28">
        <v>0</v>
      </c>
      <c r="C1019" s="27" t="s">
        <v>1317</v>
      </c>
      <c r="D1019" s="28">
        <v>0</v>
      </c>
      <c r="E1019" s="28" t="s">
        <v>429</v>
      </c>
      <c r="F1019" s="28" t="s">
        <v>922</v>
      </c>
      <c r="G1019" s="28">
        <v>6.1000000000000005</v>
      </c>
      <c r="H1019" s="28"/>
      <c r="I1019" s="28">
        <v>6.1000000000000005</v>
      </c>
      <c r="J1019" s="29">
        <v>18.399999999999999</v>
      </c>
    </row>
    <row r="1020" spans="1:10" x14ac:dyDescent="0.35">
      <c r="A1020" s="26">
        <v>566823</v>
      </c>
      <c r="B1020" s="28">
        <v>0</v>
      </c>
      <c r="C1020" s="27" t="s">
        <v>1318</v>
      </c>
      <c r="D1020" s="28">
        <v>0</v>
      </c>
      <c r="E1020" s="28" t="s">
        <v>429</v>
      </c>
      <c r="F1020" s="28" t="s">
        <v>877</v>
      </c>
      <c r="G1020" s="28">
        <v>18.5</v>
      </c>
      <c r="H1020" s="28"/>
      <c r="I1020" s="28">
        <v>18.5</v>
      </c>
      <c r="J1020" s="29">
        <v>22.2</v>
      </c>
    </row>
    <row r="1021" spans="1:10" x14ac:dyDescent="0.35">
      <c r="A1021" s="26">
        <v>566824</v>
      </c>
      <c r="B1021" s="28">
        <v>0</v>
      </c>
      <c r="C1021" s="27" t="s">
        <v>1319</v>
      </c>
      <c r="D1021" s="28">
        <v>0</v>
      </c>
      <c r="E1021" s="28" t="s">
        <v>429</v>
      </c>
      <c r="F1021" s="28" t="s">
        <v>877</v>
      </c>
      <c r="G1021" s="28">
        <v>12.2</v>
      </c>
      <c r="H1021" s="28"/>
      <c r="I1021" s="28">
        <v>12.2</v>
      </c>
      <c r="J1021" s="29">
        <v>19.7</v>
      </c>
    </row>
    <row r="1022" spans="1:10" x14ac:dyDescent="0.35">
      <c r="A1022" s="26">
        <v>567509</v>
      </c>
      <c r="B1022" s="28">
        <v>0</v>
      </c>
      <c r="C1022" s="27" t="s">
        <v>1320</v>
      </c>
      <c r="D1022" s="28">
        <v>0</v>
      </c>
      <c r="E1022" s="28" t="s">
        <v>429</v>
      </c>
      <c r="F1022" s="28" t="s">
        <v>877</v>
      </c>
      <c r="G1022" s="28">
        <v>13.2</v>
      </c>
      <c r="H1022" s="28"/>
      <c r="I1022" s="28">
        <v>13.2</v>
      </c>
      <c r="J1022" s="29">
        <v>19.7</v>
      </c>
    </row>
    <row r="1023" spans="1:10" x14ac:dyDescent="0.35">
      <c r="A1023" s="26">
        <v>573943</v>
      </c>
      <c r="B1023" s="28">
        <v>0</v>
      </c>
      <c r="C1023" s="27" t="s">
        <v>1321</v>
      </c>
      <c r="D1023" s="28">
        <v>1</v>
      </c>
      <c r="E1023" s="28" t="s">
        <v>864</v>
      </c>
      <c r="F1023" s="28" t="s">
        <v>865</v>
      </c>
      <c r="G1023" s="28">
        <v>122</v>
      </c>
      <c r="H1023" s="28"/>
      <c r="I1023" s="28">
        <v>168.2</v>
      </c>
      <c r="J1023" s="29">
        <v>34</v>
      </c>
    </row>
    <row r="1024" spans="1:10" x14ac:dyDescent="0.35">
      <c r="A1024" s="26">
        <v>575317</v>
      </c>
      <c r="B1024" s="28">
        <v>0</v>
      </c>
      <c r="C1024" s="27" t="s">
        <v>1322</v>
      </c>
      <c r="D1024" s="28">
        <v>4</v>
      </c>
      <c r="E1024" s="28" t="s">
        <v>298</v>
      </c>
      <c r="F1024" s="28" t="s">
        <v>1</v>
      </c>
      <c r="G1024" s="28">
        <v>77.900000000000006</v>
      </c>
      <c r="H1024" s="28"/>
      <c r="I1024" s="28">
        <v>77</v>
      </c>
      <c r="J1024" s="29">
        <v>36</v>
      </c>
    </row>
    <row r="1025" spans="1:10" x14ac:dyDescent="0.35">
      <c r="A1025" s="26">
        <v>575368</v>
      </c>
      <c r="B1025" s="28">
        <v>0</v>
      </c>
      <c r="C1025" s="27" t="s">
        <v>1323</v>
      </c>
      <c r="D1025" s="28">
        <v>0</v>
      </c>
      <c r="E1025" s="28" t="s">
        <v>429</v>
      </c>
      <c r="F1025" s="28" t="s">
        <v>872</v>
      </c>
      <c r="G1025" s="28">
        <v>4.5999999999999996</v>
      </c>
      <c r="H1025" s="28"/>
      <c r="I1025" s="28">
        <v>4.5999999999999996</v>
      </c>
      <c r="J1025" s="29">
        <v>14</v>
      </c>
    </row>
    <row r="1026" spans="1:10" x14ac:dyDescent="0.35">
      <c r="A1026" s="26">
        <v>575376</v>
      </c>
      <c r="B1026" s="28">
        <v>0</v>
      </c>
      <c r="C1026" s="27" t="s">
        <v>1324</v>
      </c>
      <c r="D1026" s="28">
        <v>0</v>
      </c>
      <c r="E1026" s="28" t="s">
        <v>429</v>
      </c>
      <c r="F1026" s="28" t="s">
        <v>1325</v>
      </c>
      <c r="G1026" s="28">
        <v>4.5999999999999996</v>
      </c>
      <c r="H1026" s="28"/>
      <c r="I1026" s="28">
        <v>1</v>
      </c>
      <c r="J1026" s="29">
        <v>14</v>
      </c>
    </row>
    <row r="1027" spans="1:10" x14ac:dyDescent="0.35">
      <c r="A1027" s="26">
        <v>576247</v>
      </c>
      <c r="B1027" s="28">
        <v>0</v>
      </c>
      <c r="C1027" s="27" t="s">
        <v>1326</v>
      </c>
      <c r="D1027" s="28">
        <v>2</v>
      </c>
      <c r="E1027" s="28" t="s">
        <v>864</v>
      </c>
      <c r="F1027" s="28" t="s">
        <v>1175</v>
      </c>
      <c r="G1027" s="28">
        <v>50</v>
      </c>
      <c r="H1027" s="28"/>
      <c r="I1027" s="28">
        <v>40</v>
      </c>
      <c r="J1027" s="29">
        <v>25</v>
      </c>
    </row>
    <row r="1028" spans="1:10" x14ac:dyDescent="0.35">
      <c r="A1028" s="26">
        <v>576559</v>
      </c>
      <c r="B1028" s="28">
        <v>0</v>
      </c>
      <c r="C1028" s="27" t="s">
        <v>1327</v>
      </c>
      <c r="D1028" s="28">
        <v>4</v>
      </c>
      <c r="E1028" s="28" t="s">
        <v>298</v>
      </c>
      <c r="F1028" s="28" t="s">
        <v>1</v>
      </c>
      <c r="G1028" s="28">
        <v>45</v>
      </c>
      <c r="H1028" s="28"/>
      <c r="I1028" s="28">
        <v>33.97</v>
      </c>
      <c r="J1028" s="29">
        <v>29</v>
      </c>
    </row>
    <row r="1029" spans="1:10" x14ac:dyDescent="0.35">
      <c r="A1029" s="26">
        <v>576582</v>
      </c>
      <c r="B1029" s="28">
        <v>0</v>
      </c>
      <c r="C1029" s="27" t="s">
        <v>1328</v>
      </c>
      <c r="D1029" s="28">
        <v>0</v>
      </c>
      <c r="E1029" s="28" t="s">
        <v>429</v>
      </c>
      <c r="F1029" s="28" t="s">
        <v>1329</v>
      </c>
      <c r="G1029" s="28">
        <v>4.5999999999999996</v>
      </c>
      <c r="H1029" s="28"/>
      <c r="I1029" s="28">
        <v>4.5999999999999996</v>
      </c>
      <c r="J1029" s="29">
        <v>14</v>
      </c>
    </row>
    <row r="1030" spans="1:10" x14ac:dyDescent="0.35">
      <c r="A1030" s="26">
        <v>576586</v>
      </c>
      <c r="B1030" s="28">
        <v>0</v>
      </c>
      <c r="C1030" s="27" t="s">
        <v>1330</v>
      </c>
      <c r="D1030" s="28">
        <v>0</v>
      </c>
      <c r="E1030" s="28" t="s">
        <v>429</v>
      </c>
      <c r="F1030" s="28" t="s">
        <v>1331</v>
      </c>
      <c r="G1030" s="28">
        <v>4.5999999999999996</v>
      </c>
      <c r="H1030" s="28"/>
      <c r="I1030" s="28">
        <v>3.7</v>
      </c>
      <c r="J1030" s="29">
        <v>14</v>
      </c>
    </row>
    <row r="1031" spans="1:10" x14ac:dyDescent="0.35">
      <c r="A1031" s="26">
        <v>577492</v>
      </c>
      <c r="B1031" s="28">
        <v>0</v>
      </c>
      <c r="C1031" s="27" t="s">
        <v>1332</v>
      </c>
      <c r="D1031" s="28">
        <v>4</v>
      </c>
      <c r="E1031" s="28" t="s">
        <v>298</v>
      </c>
      <c r="F1031" s="28" t="s">
        <v>1</v>
      </c>
      <c r="G1031" s="28">
        <v>35.599999999999994</v>
      </c>
      <c r="H1031" s="28"/>
      <c r="I1031" s="28">
        <v>35.6</v>
      </c>
      <c r="J1031" s="29">
        <v>29</v>
      </c>
    </row>
    <row r="1032" spans="1:10" x14ac:dyDescent="0.35">
      <c r="A1032" s="26">
        <v>577726</v>
      </c>
      <c r="B1032" s="28">
        <v>0</v>
      </c>
      <c r="C1032" s="27" t="s">
        <v>1333</v>
      </c>
      <c r="D1032" s="28">
        <v>0</v>
      </c>
      <c r="E1032" s="28" t="s">
        <v>429</v>
      </c>
      <c r="F1032" s="28" t="s">
        <v>440</v>
      </c>
      <c r="G1032" s="28">
        <v>3.3000000000000003</v>
      </c>
      <c r="H1032" s="28"/>
      <c r="I1032" s="28">
        <v>30.5</v>
      </c>
      <c r="J1032" s="29">
        <v>17.600000000000001</v>
      </c>
    </row>
    <row r="1033" spans="1:10" x14ac:dyDescent="0.35">
      <c r="A1033" s="26">
        <v>577926</v>
      </c>
      <c r="B1033" s="28">
        <v>0</v>
      </c>
      <c r="C1033" s="27" t="s">
        <v>1334</v>
      </c>
      <c r="D1033" s="28">
        <v>0</v>
      </c>
      <c r="E1033" s="28" t="s">
        <v>429</v>
      </c>
      <c r="F1033" s="28" t="s">
        <v>440</v>
      </c>
      <c r="G1033" s="28">
        <v>3.75</v>
      </c>
      <c r="H1033" s="28"/>
      <c r="I1033" s="28">
        <v>4</v>
      </c>
      <c r="J1033" s="29">
        <v>17.600000000000001</v>
      </c>
    </row>
    <row r="1034" spans="1:10" x14ac:dyDescent="0.35">
      <c r="A1034" s="26">
        <v>578476</v>
      </c>
      <c r="B1034" s="28">
        <v>0</v>
      </c>
      <c r="C1034" s="27" t="s">
        <v>1335</v>
      </c>
      <c r="D1034" s="28">
        <v>4</v>
      </c>
      <c r="E1034" s="28" t="s">
        <v>864</v>
      </c>
      <c r="F1034" s="28" t="s">
        <v>1175</v>
      </c>
      <c r="G1034" s="28">
        <v>30</v>
      </c>
      <c r="H1034" s="28"/>
      <c r="I1034" s="28"/>
      <c r="J1034" s="29">
        <v>30</v>
      </c>
    </row>
    <row r="1035" spans="1:10" x14ac:dyDescent="0.35">
      <c r="A1035" s="26">
        <v>578505</v>
      </c>
      <c r="B1035" s="28">
        <v>0</v>
      </c>
      <c r="C1035" s="27" t="s">
        <v>1336</v>
      </c>
      <c r="D1035" s="28">
        <v>0</v>
      </c>
      <c r="E1035" s="28" t="s">
        <v>429</v>
      </c>
      <c r="F1035" s="28" t="s">
        <v>440</v>
      </c>
      <c r="G1035" s="28">
        <v>4.7</v>
      </c>
      <c r="H1035" s="28"/>
      <c r="I1035" s="28">
        <v>3.3</v>
      </c>
      <c r="J1035" s="29">
        <v>17.600000000000001</v>
      </c>
    </row>
    <row r="1036" spans="1:10" x14ac:dyDescent="0.35">
      <c r="A1036" s="26">
        <v>579471</v>
      </c>
      <c r="B1036" s="28">
        <v>0</v>
      </c>
      <c r="C1036" s="27" t="s">
        <v>1337</v>
      </c>
      <c r="D1036" s="28">
        <v>4</v>
      </c>
      <c r="E1036" s="28" t="s">
        <v>298</v>
      </c>
      <c r="F1036" s="28" t="s">
        <v>1</v>
      </c>
      <c r="G1036" s="28">
        <v>24</v>
      </c>
      <c r="H1036" s="28"/>
      <c r="I1036" s="28">
        <v>24</v>
      </c>
      <c r="J1036" s="29">
        <v>23</v>
      </c>
    </row>
    <row r="1037" spans="1:10" x14ac:dyDescent="0.35">
      <c r="A1037" s="26">
        <v>579613</v>
      </c>
      <c r="B1037" s="28">
        <v>0</v>
      </c>
      <c r="C1037" s="27" t="s">
        <v>1338</v>
      </c>
      <c r="D1037" s="28">
        <v>4</v>
      </c>
      <c r="E1037" s="28" t="s">
        <v>298</v>
      </c>
      <c r="F1037" s="28" t="s">
        <v>1</v>
      </c>
      <c r="G1037" s="28">
        <v>68</v>
      </c>
      <c r="H1037" s="28"/>
      <c r="I1037" s="28">
        <v>68</v>
      </c>
      <c r="J1037" s="29">
        <v>31.6</v>
      </c>
    </row>
    <row r="1038" spans="1:10" x14ac:dyDescent="0.35">
      <c r="A1038" s="26">
        <v>579651</v>
      </c>
      <c r="B1038" s="28">
        <v>0</v>
      </c>
      <c r="C1038" s="27" t="s">
        <v>1339</v>
      </c>
      <c r="D1038" s="28">
        <v>0</v>
      </c>
      <c r="E1038" s="28" t="s">
        <v>429</v>
      </c>
      <c r="F1038" s="28" t="s">
        <v>440</v>
      </c>
      <c r="G1038" s="28">
        <v>4.7</v>
      </c>
      <c r="H1038" s="28"/>
      <c r="I1038" s="28">
        <v>4.7</v>
      </c>
      <c r="J1038" s="29">
        <v>17.600000000000001</v>
      </c>
    </row>
    <row r="1039" spans="1:10" x14ac:dyDescent="0.35">
      <c r="A1039" s="26">
        <v>579653</v>
      </c>
      <c r="B1039" s="28">
        <v>0</v>
      </c>
      <c r="C1039" s="27" t="s">
        <v>1340</v>
      </c>
      <c r="D1039" s="28">
        <v>0</v>
      </c>
      <c r="E1039" s="28" t="s">
        <v>429</v>
      </c>
      <c r="F1039" s="28" t="s">
        <v>440</v>
      </c>
      <c r="G1039" s="28">
        <v>4.7</v>
      </c>
      <c r="H1039" s="28"/>
      <c r="I1039" s="28">
        <v>4</v>
      </c>
      <c r="J1039" s="29">
        <v>17.600000000000001</v>
      </c>
    </row>
    <row r="1040" spans="1:10" x14ac:dyDescent="0.35">
      <c r="A1040" s="26">
        <v>579654</v>
      </c>
      <c r="B1040" s="28">
        <v>0</v>
      </c>
      <c r="C1040" s="27" t="s">
        <v>1341</v>
      </c>
      <c r="D1040" s="28">
        <v>0</v>
      </c>
      <c r="E1040" s="28" t="s">
        <v>429</v>
      </c>
      <c r="F1040" s="28" t="s">
        <v>440</v>
      </c>
      <c r="G1040" s="28">
        <v>3.3000000000000003</v>
      </c>
      <c r="H1040" s="28"/>
      <c r="I1040" s="28">
        <v>31</v>
      </c>
      <c r="J1040" s="29">
        <v>17.600000000000001</v>
      </c>
    </row>
    <row r="1041" spans="1:10" x14ac:dyDescent="0.35">
      <c r="A1041" s="26">
        <v>579681</v>
      </c>
      <c r="B1041" s="28">
        <v>0</v>
      </c>
      <c r="C1041" s="27" t="s">
        <v>1342</v>
      </c>
      <c r="D1041" s="28">
        <v>0</v>
      </c>
      <c r="E1041" s="28" t="s">
        <v>429</v>
      </c>
      <c r="F1041" s="28" t="s">
        <v>440</v>
      </c>
      <c r="G1041" s="28">
        <v>3.7</v>
      </c>
      <c r="H1041" s="28"/>
      <c r="I1041" s="28">
        <v>3.7</v>
      </c>
      <c r="J1041" s="29">
        <v>17.600000000000001</v>
      </c>
    </row>
    <row r="1042" spans="1:10" x14ac:dyDescent="0.35">
      <c r="A1042" s="26">
        <v>579684</v>
      </c>
      <c r="B1042" s="28">
        <v>0</v>
      </c>
      <c r="C1042" s="27" t="s">
        <v>1343</v>
      </c>
      <c r="D1042" s="28">
        <v>4</v>
      </c>
      <c r="E1042" s="28" t="s">
        <v>298</v>
      </c>
      <c r="F1042" s="28" t="s">
        <v>1</v>
      </c>
      <c r="G1042" s="28">
        <v>44</v>
      </c>
      <c r="H1042" s="28"/>
      <c r="I1042" s="28">
        <v>54.25</v>
      </c>
      <c r="J1042" s="29">
        <v>35</v>
      </c>
    </row>
    <row r="1043" spans="1:10" x14ac:dyDescent="0.35">
      <c r="A1043" s="26">
        <v>579877</v>
      </c>
      <c r="B1043" s="28">
        <v>0</v>
      </c>
      <c r="C1043" s="27" t="s">
        <v>1344</v>
      </c>
      <c r="D1043" s="28">
        <v>0</v>
      </c>
      <c r="E1043" s="28" t="s">
        <v>429</v>
      </c>
      <c r="F1043" s="28" t="s">
        <v>440</v>
      </c>
      <c r="G1043" s="28">
        <v>4.7</v>
      </c>
      <c r="H1043" s="28"/>
      <c r="I1043" s="28">
        <v>4</v>
      </c>
      <c r="J1043" s="29">
        <v>17.600000000000001</v>
      </c>
    </row>
    <row r="1044" spans="1:10" x14ac:dyDescent="0.35">
      <c r="A1044" s="26">
        <v>579878</v>
      </c>
      <c r="B1044" s="28">
        <v>0</v>
      </c>
      <c r="C1044" s="27" t="s">
        <v>1345</v>
      </c>
      <c r="D1044" s="28">
        <v>0</v>
      </c>
      <c r="E1044" s="28" t="s">
        <v>429</v>
      </c>
      <c r="F1044" s="28" t="s">
        <v>440</v>
      </c>
      <c r="G1044" s="28">
        <v>4.7</v>
      </c>
      <c r="H1044" s="28"/>
      <c r="I1044" s="28">
        <v>3.8</v>
      </c>
      <c r="J1044" s="29">
        <v>17.600000000000001</v>
      </c>
    </row>
    <row r="1045" spans="1:10" x14ac:dyDescent="0.35">
      <c r="A1045" s="26">
        <v>579879</v>
      </c>
      <c r="B1045" s="28">
        <v>0</v>
      </c>
      <c r="C1045" s="27" t="s">
        <v>1346</v>
      </c>
      <c r="D1045" s="28">
        <v>0</v>
      </c>
      <c r="E1045" s="28" t="s">
        <v>429</v>
      </c>
      <c r="F1045" s="28" t="s">
        <v>440</v>
      </c>
      <c r="G1045" s="28">
        <v>4.7</v>
      </c>
      <c r="H1045" s="28"/>
      <c r="I1045" s="28">
        <v>4</v>
      </c>
      <c r="J1045" s="29">
        <v>17.600000000000001</v>
      </c>
    </row>
    <row r="1046" spans="1:10" x14ac:dyDescent="0.35">
      <c r="A1046" s="26">
        <v>580035</v>
      </c>
      <c r="B1046" s="28">
        <v>0</v>
      </c>
      <c r="C1046" s="27" t="s">
        <v>1347</v>
      </c>
      <c r="D1046" s="28">
        <v>4</v>
      </c>
      <c r="E1046" s="28" t="s">
        <v>298</v>
      </c>
      <c r="F1046" s="28" t="s">
        <v>1</v>
      </c>
      <c r="G1046" s="28">
        <v>44</v>
      </c>
      <c r="H1046" s="28"/>
      <c r="I1046" s="28">
        <v>44</v>
      </c>
      <c r="J1046" s="29">
        <v>28.88</v>
      </c>
    </row>
    <row r="1047" spans="1:10" x14ac:dyDescent="0.35">
      <c r="A1047" s="26">
        <v>580047</v>
      </c>
      <c r="B1047" s="28">
        <v>0</v>
      </c>
      <c r="C1047" s="27" t="s">
        <v>1348</v>
      </c>
      <c r="D1047" s="28">
        <v>0</v>
      </c>
      <c r="E1047" s="28" t="s">
        <v>429</v>
      </c>
      <c r="F1047" s="28" t="s">
        <v>440</v>
      </c>
      <c r="G1047" s="28">
        <v>4.7</v>
      </c>
      <c r="H1047" s="28"/>
      <c r="I1047" s="28">
        <v>5</v>
      </c>
      <c r="J1047" s="29">
        <v>17.600000000000001</v>
      </c>
    </row>
    <row r="1048" spans="1:10" x14ac:dyDescent="0.35">
      <c r="A1048" s="26">
        <v>580324</v>
      </c>
      <c r="B1048" s="28">
        <v>0</v>
      </c>
      <c r="C1048" s="27" t="s">
        <v>103</v>
      </c>
      <c r="D1048" s="28">
        <v>4</v>
      </c>
      <c r="E1048" s="28" t="s">
        <v>298</v>
      </c>
      <c r="F1048" s="28" t="s">
        <v>1</v>
      </c>
      <c r="G1048" s="28">
        <v>11.3</v>
      </c>
      <c r="H1048" s="28"/>
      <c r="I1048" s="28">
        <v>11.3</v>
      </c>
      <c r="J1048" s="29">
        <v>19.239999999999998</v>
      </c>
    </row>
    <row r="1049" spans="1:10" x14ac:dyDescent="0.35">
      <c r="A1049" s="26">
        <v>580540</v>
      </c>
      <c r="B1049" s="28">
        <v>0</v>
      </c>
      <c r="C1049" s="27" t="s">
        <v>1349</v>
      </c>
      <c r="D1049" s="28">
        <v>8</v>
      </c>
      <c r="E1049" s="28" t="s">
        <v>429</v>
      </c>
      <c r="F1049" s="28" t="s">
        <v>538</v>
      </c>
      <c r="G1049" s="28">
        <v>1</v>
      </c>
      <c r="H1049" s="28"/>
      <c r="I1049" s="28">
        <v>3.7</v>
      </c>
      <c r="J1049" s="29">
        <v>8.8000000000000007</v>
      </c>
    </row>
    <row r="1050" spans="1:10" x14ac:dyDescent="0.35">
      <c r="A1050" s="26">
        <v>580564</v>
      </c>
      <c r="B1050" s="28">
        <v>0</v>
      </c>
      <c r="C1050" s="27" t="s">
        <v>1350</v>
      </c>
      <c r="D1050" s="28">
        <v>2</v>
      </c>
      <c r="E1050" s="28" t="s">
        <v>864</v>
      </c>
      <c r="F1050" s="28" t="s">
        <v>865</v>
      </c>
      <c r="G1050" s="28">
        <v>63.8</v>
      </c>
      <c r="H1050" s="28"/>
      <c r="I1050" s="28">
        <v>81.8</v>
      </c>
      <c r="J1050" s="29">
        <v>26</v>
      </c>
    </row>
    <row r="1051" spans="1:10" x14ac:dyDescent="0.35">
      <c r="A1051" s="26">
        <v>580580</v>
      </c>
      <c r="B1051" s="28">
        <v>0</v>
      </c>
      <c r="C1051" s="27" t="s">
        <v>1351</v>
      </c>
      <c r="D1051" s="28">
        <v>1</v>
      </c>
      <c r="E1051" s="28" t="s">
        <v>864</v>
      </c>
      <c r="F1051" s="28" t="s">
        <v>865</v>
      </c>
      <c r="G1051" s="28">
        <v>103</v>
      </c>
      <c r="H1051" s="28"/>
      <c r="I1051" s="28">
        <v>139.80000000000001</v>
      </c>
      <c r="J1051" s="29">
        <v>33</v>
      </c>
    </row>
    <row r="1052" spans="1:10" x14ac:dyDescent="0.35">
      <c r="A1052" s="26">
        <v>581013</v>
      </c>
      <c r="B1052" s="28">
        <v>0</v>
      </c>
      <c r="C1052" s="27" t="s">
        <v>1352</v>
      </c>
      <c r="D1052" s="28">
        <v>0</v>
      </c>
      <c r="E1052" s="28" t="s">
        <v>429</v>
      </c>
      <c r="F1052" s="28" t="s">
        <v>440</v>
      </c>
      <c r="G1052" s="28">
        <v>3.87</v>
      </c>
      <c r="H1052" s="28"/>
      <c r="I1052" s="28">
        <v>3.87</v>
      </c>
      <c r="J1052" s="29">
        <v>17.600000000000001</v>
      </c>
    </row>
    <row r="1053" spans="1:10" x14ac:dyDescent="0.35">
      <c r="A1053" s="26">
        <v>584529</v>
      </c>
      <c r="B1053" s="28">
        <v>0</v>
      </c>
      <c r="C1053" s="27" t="s">
        <v>1353</v>
      </c>
      <c r="D1053" s="28">
        <v>1</v>
      </c>
      <c r="E1053" s="28" t="s">
        <v>429</v>
      </c>
      <c r="F1053" s="28" t="s">
        <v>877</v>
      </c>
      <c r="G1053" s="28">
        <v>177</v>
      </c>
      <c r="H1053" s="28"/>
      <c r="I1053" s="28"/>
      <c r="J1053" s="29">
        <v>24</v>
      </c>
    </row>
    <row r="1054" spans="1:10" x14ac:dyDescent="0.35">
      <c r="A1054" s="26">
        <v>584790</v>
      </c>
      <c r="B1054" s="28">
        <v>0</v>
      </c>
      <c r="C1054" s="27" t="s">
        <v>1354</v>
      </c>
      <c r="D1054" s="28">
        <v>0</v>
      </c>
      <c r="E1054" s="28" t="s">
        <v>429</v>
      </c>
      <c r="F1054" s="28" t="s">
        <v>440</v>
      </c>
      <c r="G1054" s="28">
        <v>3.7</v>
      </c>
      <c r="H1054" s="28"/>
      <c r="I1054" s="28">
        <v>5</v>
      </c>
      <c r="J1054" s="29">
        <v>17.600000000000001</v>
      </c>
    </row>
    <row r="1055" spans="1:10" x14ac:dyDescent="0.35">
      <c r="A1055" s="26">
        <v>585907</v>
      </c>
      <c r="B1055" s="28">
        <v>0</v>
      </c>
      <c r="C1055" s="27" t="s">
        <v>1355</v>
      </c>
      <c r="D1055" s="28">
        <v>0</v>
      </c>
      <c r="E1055" s="28" t="s">
        <v>429</v>
      </c>
      <c r="F1055" s="28" t="s">
        <v>440</v>
      </c>
      <c r="G1055" s="28">
        <v>3.7</v>
      </c>
      <c r="H1055" s="28"/>
      <c r="I1055" s="28">
        <v>4</v>
      </c>
      <c r="J1055" s="29">
        <v>17.600000000000001</v>
      </c>
    </row>
    <row r="1056" spans="1:10" x14ac:dyDescent="0.35">
      <c r="A1056" s="26">
        <v>586058</v>
      </c>
      <c r="B1056" s="28">
        <v>0</v>
      </c>
      <c r="C1056" s="27" t="s">
        <v>1356</v>
      </c>
      <c r="D1056" s="28">
        <v>4</v>
      </c>
      <c r="E1056" s="28" t="s">
        <v>298</v>
      </c>
      <c r="F1056" s="28" t="s">
        <v>1</v>
      </c>
      <c r="G1056" s="28">
        <v>12.5</v>
      </c>
      <c r="H1056" s="28"/>
      <c r="I1056" s="28">
        <v>12.5</v>
      </c>
      <c r="J1056" s="29">
        <v>17.920000000000002</v>
      </c>
    </row>
    <row r="1057" spans="1:10" x14ac:dyDescent="0.35">
      <c r="A1057" s="26">
        <v>586276</v>
      </c>
      <c r="B1057" s="28">
        <v>1</v>
      </c>
      <c r="C1057" s="27" t="s">
        <v>1357</v>
      </c>
      <c r="D1057" s="28">
        <v>6</v>
      </c>
      <c r="E1057" s="28" t="s">
        <v>298</v>
      </c>
      <c r="F1057" s="28" t="s">
        <v>19</v>
      </c>
      <c r="G1057" s="28">
        <v>12.3</v>
      </c>
      <c r="H1057" s="28">
        <v>12.3</v>
      </c>
      <c r="I1057" s="28">
        <v>12.3</v>
      </c>
      <c r="J1057" s="29">
        <v>26</v>
      </c>
    </row>
    <row r="1058" spans="1:10" x14ac:dyDescent="0.35">
      <c r="A1058" s="26">
        <v>586276</v>
      </c>
      <c r="B1058" s="28">
        <v>2</v>
      </c>
      <c r="C1058" s="27" t="s">
        <v>24</v>
      </c>
      <c r="D1058" s="28">
        <v>6</v>
      </c>
      <c r="E1058" s="28" t="s">
        <v>298</v>
      </c>
      <c r="F1058" s="28" t="s">
        <v>19</v>
      </c>
      <c r="G1058" s="28">
        <v>12.3</v>
      </c>
      <c r="H1058" s="28">
        <v>12.3</v>
      </c>
      <c r="I1058" s="28">
        <v>12.3</v>
      </c>
      <c r="J1058" s="29">
        <v>26</v>
      </c>
    </row>
    <row r="1059" spans="1:10" x14ac:dyDescent="0.35">
      <c r="A1059" s="26">
        <v>586276</v>
      </c>
      <c r="B1059" s="28">
        <v>3</v>
      </c>
      <c r="C1059" s="27" t="s">
        <v>1358</v>
      </c>
      <c r="D1059" s="28">
        <v>6</v>
      </c>
      <c r="E1059" s="28" t="s">
        <v>298</v>
      </c>
      <c r="F1059" s="28" t="s">
        <v>19</v>
      </c>
      <c r="G1059" s="28">
        <v>12.3</v>
      </c>
      <c r="H1059" s="28">
        <v>12.3</v>
      </c>
      <c r="I1059" s="28">
        <v>12.3</v>
      </c>
      <c r="J1059" s="29">
        <v>26</v>
      </c>
    </row>
    <row r="1060" spans="1:10" x14ac:dyDescent="0.35">
      <c r="A1060" s="26">
        <v>586276</v>
      </c>
      <c r="B1060" s="28">
        <v>4</v>
      </c>
      <c r="C1060" s="27" t="s">
        <v>32</v>
      </c>
      <c r="D1060" s="28">
        <v>6</v>
      </c>
      <c r="E1060" s="28" t="s">
        <v>298</v>
      </c>
      <c r="F1060" s="28" t="s">
        <v>19</v>
      </c>
      <c r="G1060" s="28">
        <v>12.3</v>
      </c>
      <c r="H1060" s="28">
        <v>12.3</v>
      </c>
      <c r="I1060" s="28">
        <v>12.3</v>
      </c>
      <c r="J1060" s="29">
        <v>26</v>
      </c>
    </row>
    <row r="1061" spans="1:10" x14ac:dyDescent="0.35">
      <c r="A1061" s="26">
        <v>586276</v>
      </c>
      <c r="B1061" s="28">
        <v>5</v>
      </c>
      <c r="C1061" s="27" t="s">
        <v>1359</v>
      </c>
      <c r="D1061" s="28">
        <v>6</v>
      </c>
      <c r="E1061" s="28" t="s">
        <v>298</v>
      </c>
      <c r="F1061" s="28" t="s">
        <v>19</v>
      </c>
      <c r="G1061" s="28">
        <v>12.3</v>
      </c>
      <c r="H1061" s="28">
        <v>12.3</v>
      </c>
      <c r="I1061" s="28">
        <v>12.3</v>
      </c>
      <c r="J1061" s="29">
        <v>26</v>
      </c>
    </row>
    <row r="1062" spans="1:10" x14ac:dyDescent="0.35">
      <c r="A1062" s="26">
        <v>587447</v>
      </c>
      <c r="B1062" s="28">
        <v>0</v>
      </c>
      <c r="C1062" s="27" t="s">
        <v>1360</v>
      </c>
      <c r="D1062" s="28">
        <v>1</v>
      </c>
      <c r="E1062" s="28" t="s">
        <v>864</v>
      </c>
      <c r="F1062" s="28" t="s">
        <v>865</v>
      </c>
      <c r="G1062" s="28">
        <v>130</v>
      </c>
      <c r="H1062" s="28"/>
      <c r="I1062" s="28">
        <v>148.69999999999999</v>
      </c>
      <c r="J1062" s="29">
        <v>38</v>
      </c>
    </row>
    <row r="1063" spans="1:10" ht="12" thickBot="1" x14ac:dyDescent="0.4">
      <c r="A1063" s="26">
        <v>587779</v>
      </c>
      <c r="B1063" s="28">
        <v>0</v>
      </c>
      <c r="C1063" s="27" t="s">
        <v>1361</v>
      </c>
      <c r="D1063" s="28">
        <v>0</v>
      </c>
      <c r="E1063" s="28" t="s">
        <v>429</v>
      </c>
      <c r="F1063" s="28" t="s">
        <v>467</v>
      </c>
      <c r="G1063" s="28">
        <v>4.8499999999999996</v>
      </c>
      <c r="H1063" s="28"/>
      <c r="I1063" s="28">
        <v>4.8499999999999996</v>
      </c>
      <c r="J1063" s="29">
        <v>16.2</v>
      </c>
    </row>
    <row r="1064" spans="1:10" x14ac:dyDescent="0.35">
      <c r="A1064" s="26">
        <v>588241</v>
      </c>
      <c r="B1064" s="28">
        <v>0</v>
      </c>
      <c r="C1064" s="34" t="s">
        <v>1362</v>
      </c>
      <c r="D1064" s="28">
        <v>0</v>
      </c>
      <c r="E1064" s="28" t="s">
        <v>429</v>
      </c>
      <c r="F1064" s="28" t="s">
        <v>1188</v>
      </c>
      <c r="G1064" s="28">
        <v>2.0880000000000001</v>
      </c>
      <c r="H1064" s="28"/>
      <c r="I1064" s="28"/>
      <c r="J1064" s="29">
        <v>17</v>
      </c>
    </row>
    <row r="1065" spans="1:10" x14ac:dyDescent="0.35">
      <c r="A1065" s="26">
        <v>588272</v>
      </c>
      <c r="B1065" s="28">
        <v>0</v>
      </c>
      <c r="C1065" s="27" t="s">
        <v>1363</v>
      </c>
      <c r="D1065" s="28">
        <v>2</v>
      </c>
      <c r="E1065" s="28" t="s">
        <v>1364</v>
      </c>
      <c r="F1065" s="28" t="s">
        <v>1365</v>
      </c>
      <c r="G1065" s="28">
        <v>18</v>
      </c>
      <c r="H1065" s="28"/>
      <c r="I1065" s="28">
        <v>24</v>
      </c>
      <c r="J1065" s="29">
        <v>6.3</v>
      </c>
    </row>
    <row r="1066" spans="1:10" x14ac:dyDescent="0.35">
      <c r="A1066" s="26">
        <v>588637</v>
      </c>
      <c r="B1066" s="28">
        <v>0</v>
      </c>
      <c r="C1066" s="27" t="s">
        <v>1366</v>
      </c>
      <c r="D1066" s="28">
        <v>6</v>
      </c>
      <c r="E1066" s="28" t="s">
        <v>429</v>
      </c>
      <c r="F1066" s="28" t="s">
        <v>1279</v>
      </c>
      <c r="G1066" s="28">
        <v>24.6</v>
      </c>
      <c r="H1066" s="28"/>
      <c r="I1066" s="28">
        <v>24.6</v>
      </c>
      <c r="J1066" s="29">
        <v>33</v>
      </c>
    </row>
    <row r="1067" spans="1:10" x14ac:dyDescent="0.35">
      <c r="A1067" s="26">
        <v>589040</v>
      </c>
      <c r="B1067" s="28">
        <v>0</v>
      </c>
      <c r="C1067" s="27" t="s">
        <v>1367</v>
      </c>
      <c r="D1067" s="28">
        <v>0</v>
      </c>
      <c r="E1067" s="28" t="s">
        <v>429</v>
      </c>
      <c r="F1067" s="28" t="s">
        <v>467</v>
      </c>
      <c r="G1067" s="28">
        <v>4.8499999999999996</v>
      </c>
      <c r="H1067" s="28"/>
      <c r="I1067" s="28">
        <v>4.6500000000000004</v>
      </c>
      <c r="J1067" s="29">
        <v>16.2</v>
      </c>
    </row>
    <row r="1068" spans="1:10" x14ac:dyDescent="0.35">
      <c r="A1068" s="26">
        <v>589412</v>
      </c>
      <c r="B1068" s="28">
        <v>0</v>
      </c>
      <c r="C1068" s="27" t="s">
        <v>1368</v>
      </c>
      <c r="D1068" s="28">
        <v>4</v>
      </c>
      <c r="E1068" s="28" t="s">
        <v>298</v>
      </c>
      <c r="F1068" s="28" t="s">
        <v>1</v>
      </c>
      <c r="G1068" s="28">
        <v>48.39</v>
      </c>
      <c r="H1068" s="28"/>
      <c r="I1068" s="28">
        <v>48.39</v>
      </c>
      <c r="J1068" s="29">
        <v>28</v>
      </c>
    </row>
    <row r="1069" spans="1:10" x14ac:dyDescent="0.35">
      <c r="A1069" s="26">
        <v>589461</v>
      </c>
      <c r="B1069" s="28">
        <v>0</v>
      </c>
      <c r="C1069" s="27" t="s">
        <v>1369</v>
      </c>
      <c r="D1069" s="28">
        <v>2</v>
      </c>
      <c r="E1069" s="28" t="s">
        <v>1370</v>
      </c>
      <c r="F1069" s="28" t="s">
        <v>1</v>
      </c>
      <c r="G1069" s="28">
        <v>118</v>
      </c>
      <c r="H1069" s="28"/>
      <c r="I1069" s="28">
        <v>118</v>
      </c>
      <c r="J1069" s="29">
        <v>14</v>
      </c>
    </row>
    <row r="1070" spans="1:10" x14ac:dyDescent="0.35">
      <c r="A1070" s="26">
        <v>590133</v>
      </c>
      <c r="B1070" s="28">
        <v>0</v>
      </c>
      <c r="C1070" s="27" t="s">
        <v>1371</v>
      </c>
      <c r="D1070" s="28">
        <v>4</v>
      </c>
      <c r="E1070" s="28" t="s">
        <v>298</v>
      </c>
      <c r="F1070" s="28" t="s">
        <v>1</v>
      </c>
      <c r="G1070" s="28">
        <v>36.729999999999997</v>
      </c>
      <c r="H1070" s="28"/>
      <c r="I1070" s="28">
        <v>36.799999999999997</v>
      </c>
      <c r="J1070" s="29">
        <v>36</v>
      </c>
    </row>
    <row r="1071" spans="1:10" x14ac:dyDescent="0.35">
      <c r="A1071" s="26">
        <v>590337</v>
      </c>
      <c r="B1071" s="28">
        <v>0</v>
      </c>
      <c r="C1071" s="27" t="s">
        <v>1372</v>
      </c>
      <c r="D1071" s="28">
        <v>4</v>
      </c>
      <c r="E1071" s="28" t="s">
        <v>298</v>
      </c>
      <c r="F1071" s="28" t="s">
        <v>1</v>
      </c>
      <c r="G1071" s="28">
        <v>32.82</v>
      </c>
      <c r="H1071" s="28"/>
      <c r="I1071" s="28">
        <v>32.82</v>
      </c>
      <c r="J1071" s="29">
        <v>22</v>
      </c>
    </row>
    <row r="1072" spans="1:10" x14ac:dyDescent="0.35">
      <c r="A1072" s="26">
        <v>590665</v>
      </c>
      <c r="B1072" s="28">
        <v>0</v>
      </c>
      <c r="C1072" s="27" t="s">
        <v>1373</v>
      </c>
      <c r="D1072" s="28">
        <v>2</v>
      </c>
      <c r="E1072" s="28" t="s">
        <v>1370</v>
      </c>
      <c r="F1072" s="28" t="s">
        <v>1</v>
      </c>
      <c r="G1072" s="28">
        <v>118</v>
      </c>
      <c r="H1072" s="28"/>
      <c r="I1072" s="28">
        <v>118</v>
      </c>
      <c r="J1072" s="29">
        <v>14</v>
      </c>
    </row>
    <row r="1073" spans="1:10" x14ac:dyDescent="0.35">
      <c r="A1073" s="26">
        <v>591265</v>
      </c>
      <c r="B1073" s="28">
        <v>0</v>
      </c>
      <c r="C1073" s="27" t="s">
        <v>1374</v>
      </c>
      <c r="D1073" s="28">
        <v>4</v>
      </c>
      <c r="E1073" s="28" t="s">
        <v>298</v>
      </c>
      <c r="F1073" s="28" t="s">
        <v>1</v>
      </c>
      <c r="G1073" s="28">
        <v>24</v>
      </c>
      <c r="H1073" s="28"/>
      <c r="I1073" s="28">
        <v>24</v>
      </c>
      <c r="J1073" s="29">
        <v>36</v>
      </c>
    </row>
    <row r="1074" spans="1:10" x14ac:dyDescent="0.35">
      <c r="A1074" s="26">
        <v>591265</v>
      </c>
      <c r="B1074" s="28">
        <v>0</v>
      </c>
      <c r="C1074" s="27" t="s">
        <v>1374</v>
      </c>
      <c r="D1074" s="28">
        <v>4</v>
      </c>
      <c r="E1074" s="28" t="s">
        <v>298</v>
      </c>
      <c r="F1074" s="28" t="s">
        <v>1</v>
      </c>
      <c r="G1074" s="28">
        <v>24</v>
      </c>
      <c r="H1074" s="28"/>
      <c r="I1074" s="28">
        <v>24.45</v>
      </c>
      <c r="J1074" s="29">
        <v>36</v>
      </c>
    </row>
    <row r="1075" spans="1:10" x14ac:dyDescent="0.35">
      <c r="A1075" s="26">
        <v>591266</v>
      </c>
      <c r="B1075" s="28">
        <v>0</v>
      </c>
      <c r="C1075" s="27" t="s">
        <v>1375</v>
      </c>
      <c r="D1075" s="28">
        <v>4</v>
      </c>
      <c r="E1075" s="28" t="s">
        <v>298</v>
      </c>
      <c r="F1075" s="28" t="s">
        <v>1</v>
      </c>
      <c r="G1075" s="28">
        <v>24</v>
      </c>
      <c r="H1075" s="28"/>
      <c r="I1075" s="28">
        <v>24</v>
      </c>
      <c r="J1075" s="29">
        <v>36</v>
      </c>
    </row>
    <row r="1076" spans="1:10" x14ac:dyDescent="0.35">
      <c r="A1076" s="26">
        <v>591266</v>
      </c>
      <c r="B1076" s="28">
        <v>0</v>
      </c>
      <c r="C1076" s="27" t="s">
        <v>1376</v>
      </c>
      <c r="D1076" s="28">
        <v>4</v>
      </c>
      <c r="E1076" s="28" t="s">
        <v>298</v>
      </c>
      <c r="F1076" s="28" t="s">
        <v>1</v>
      </c>
      <c r="G1076" s="28">
        <v>24</v>
      </c>
      <c r="H1076" s="28"/>
      <c r="I1076" s="28">
        <v>24</v>
      </c>
      <c r="J1076" s="29">
        <v>36</v>
      </c>
    </row>
    <row r="1077" spans="1:10" x14ac:dyDescent="0.35">
      <c r="A1077" s="26">
        <v>591268</v>
      </c>
      <c r="B1077" s="28">
        <v>0</v>
      </c>
      <c r="C1077" s="27" t="s">
        <v>1377</v>
      </c>
      <c r="D1077" s="28">
        <v>4</v>
      </c>
      <c r="E1077" s="28" t="s">
        <v>298</v>
      </c>
      <c r="F1077" s="28" t="s">
        <v>1</v>
      </c>
      <c r="G1077" s="28">
        <v>24</v>
      </c>
      <c r="H1077" s="28"/>
      <c r="I1077" s="28">
        <v>24</v>
      </c>
      <c r="J1077" s="29">
        <v>36</v>
      </c>
    </row>
    <row r="1078" spans="1:10" x14ac:dyDescent="0.35">
      <c r="A1078" s="26">
        <v>591269</v>
      </c>
      <c r="B1078" s="28">
        <v>0</v>
      </c>
      <c r="C1078" s="27" t="s">
        <v>1378</v>
      </c>
      <c r="D1078" s="28">
        <v>4</v>
      </c>
      <c r="E1078" s="28" t="s">
        <v>298</v>
      </c>
      <c r="F1078" s="28" t="s">
        <v>1</v>
      </c>
      <c r="G1078" s="28">
        <v>24</v>
      </c>
      <c r="H1078" s="28"/>
      <c r="I1078" s="28">
        <v>24.45</v>
      </c>
      <c r="J1078" s="29">
        <v>36</v>
      </c>
    </row>
    <row r="1079" spans="1:10" x14ac:dyDescent="0.35">
      <c r="A1079" s="26">
        <v>591270</v>
      </c>
      <c r="B1079" s="28">
        <v>0</v>
      </c>
      <c r="C1079" s="27" t="s">
        <v>1379</v>
      </c>
      <c r="D1079" s="28">
        <v>4</v>
      </c>
      <c r="E1079" s="28" t="s">
        <v>298</v>
      </c>
      <c r="F1079" s="28" t="s">
        <v>1</v>
      </c>
      <c r="G1079" s="28">
        <v>24</v>
      </c>
      <c r="H1079" s="28"/>
      <c r="I1079" s="28">
        <v>24</v>
      </c>
      <c r="J1079" s="29">
        <v>36</v>
      </c>
    </row>
    <row r="1080" spans="1:10" x14ac:dyDescent="0.35">
      <c r="A1080" s="26">
        <v>592128</v>
      </c>
      <c r="B1080" s="28">
        <v>0</v>
      </c>
      <c r="C1080" s="27" t="s">
        <v>1380</v>
      </c>
      <c r="D1080" s="28">
        <v>4</v>
      </c>
      <c r="E1080" s="28" t="s">
        <v>298</v>
      </c>
      <c r="F1080" s="28" t="s">
        <v>1</v>
      </c>
      <c r="G1080" s="28">
        <v>34.5</v>
      </c>
      <c r="H1080" s="28"/>
      <c r="I1080" s="28">
        <v>34.5</v>
      </c>
      <c r="J1080" s="29">
        <v>9</v>
      </c>
    </row>
    <row r="1081" spans="1:10" x14ac:dyDescent="0.35">
      <c r="A1081" s="26">
        <v>593537</v>
      </c>
      <c r="B1081" s="28">
        <v>0</v>
      </c>
      <c r="C1081" s="27" t="s">
        <v>107</v>
      </c>
      <c r="D1081" s="28">
        <v>4</v>
      </c>
      <c r="E1081" s="28" t="s">
        <v>298</v>
      </c>
      <c r="F1081" s="28" t="s">
        <v>12</v>
      </c>
      <c r="G1081" s="28">
        <v>56.8</v>
      </c>
      <c r="H1081" s="28"/>
      <c r="I1081" s="28">
        <v>56.5</v>
      </c>
      <c r="J1081" s="29">
        <v>28.5</v>
      </c>
    </row>
    <row r="1082" spans="1:10" x14ac:dyDescent="0.35">
      <c r="A1082" s="26">
        <v>593730</v>
      </c>
      <c r="B1082" s="28">
        <v>0</v>
      </c>
      <c r="C1082" s="27" t="s">
        <v>1381</v>
      </c>
      <c r="D1082" s="28">
        <v>1</v>
      </c>
      <c r="E1082" s="28" t="s">
        <v>864</v>
      </c>
      <c r="F1082" s="28" t="s">
        <v>865</v>
      </c>
      <c r="G1082" s="28">
        <v>103</v>
      </c>
      <c r="H1082" s="28"/>
      <c r="I1082" s="28"/>
      <c r="J1082" s="29">
        <v>36</v>
      </c>
    </row>
    <row r="1083" spans="1:10" x14ac:dyDescent="0.35">
      <c r="A1083" s="26">
        <v>594832</v>
      </c>
      <c r="B1083" s="28">
        <v>0</v>
      </c>
      <c r="C1083" s="27" t="s">
        <v>1382</v>
      </c>
      <c r="D1083" s="28">
        <v>2</v>
      </c>
      <c r="E1083" s="28" t="s">
        <v>1370</v>
      </c>
      <c r="F1083" s="28" t="s">
        <v>1</v>
      </c>
      <c r="G1083" s="28">
        <v>95</v>
      </c>
      <c r="H1083" s="28"/>
      <c r="I1083" s="28">
        <v>95</v>
      </c>
      <c r="J1083" s="29">
        <v>14</v>
      </c>
    </row>
    <row r="1084" spans="1:10" x14ac:dyDescent="0.35">
      <c r="A1084" s="26">
        <v>594833</v>
      </c>
      <c r="B1084" s="28">
        <v>0</v>
      </c>
      <c r="C1084" s="27" t="s">
        <v>1383</v>
      </c>
      <c r="D1084" s="28">
        <v>2</v>
      </c>
      <c r="E1084" s="28" t="s">
        <v>1370</v>
      </c>
      <c r="F1084" s="28" t="s">
        <v>1</v>
      </c>
      <c r="G1084" s="28">
        <v>95</v>
      </c>
      <c r="H1084" s="28"/>
      <c r="I1084" s="28">
        <v>95</v>
      </c>
      <c r="J1084" s="29">
        <v>28</v>
      </c>
    </row>
    <row r="1085" spans="1:10" x14ac:dyDescent="0.35">
      <c r="A1085" s="26">
        <v>596313</v>
      </c>
      <c r="B1085" s="28">
        <v>0</v>
      </c>
      <c r="C1085" s="27" t="s">
        <v>1384</v>
      </c>
      <c r="D1085" s="28">
        <v>4</v>
      </c>
      <c r="E1085" s="28" t="s">
        <v>298</v>
      </c>
      <c r="F1085" s="28" t="s">
        <v>1</v>
      </c>
      <c r="G1085" s="28">
        <v>15</v>
      </c>
      <c r="H1085" s="28"/>
      <c r="I1085" s="28">
        <v>15</v>
      </c>
      <c r="J1085" s="29">
        <v>23</v>
      </c>
    </row>
    <row r="1086" spans="1:10" x14ac:dyDescent="0.35">
      <c r="A1086" s="26">
        <v>596313</v>
      </c>
      <c r="B1086" s="28">
        <v>0</v>
      </c>
      <c r="C1086" s="27" t="s">
        <v>1385</v>
      </c>
      <c r="D1086" s="28">
        <v>4</v>
      </c>
      <c r="E1086" s="28" t="s">
        <v>298</v>
      </c>
      <c r="F1086" s="28" t="s">
        <v>1</v>
      </c>
      <c r="G1086" s="28"/>
      <c r="H1086" s="28"/>
      <c r="I1086" s="28"/>
      <c r="J1086" s="29">
        <v>23</v>
      </c>
    </row>
    <row r="1087" spans="1:10" x14ac:dyDescent="0.35">
      <c r="A1087" s="26">
        <v>597024</v>
      </c>
      <c r="B1087" s="28">
        <v>0</v>
      </c>
      <c r="C1087" s="27" t="s">
        <v>1386</v>
      </c>
      <c r="D1087" s="28">
        <v>4</v>
      </c>
      <c r="E1087" s="28" t="s">
        <v>298</v>
      </c>
      <c r="F1087" s="28" t="s">
        <v>1</v>
      </c>
      <c r="G1087" s="28">
        <v>19</v>
      </c>
      <c r="H1087" s="28"/>
      <c r="I1087" s="28">
        <v>19</v>
      </c>
      <c r="J1087" s="29">
        <v>18.72</v>
      </c>
    </row>
    <row r="1088" spans="1:10" x14ac:dyDescent="0.35">
      <c r="A1088" s="26">
        <v>597322</v>
      </c>
      <c r="B1088" s="28">
        <v>0</v>
      </c>
      <c r="C1088" s="27" t="s">
        <v>1387</v>
      </c>
      <c r="D1088" s="28">
        <v>4</v>
      </c>
      <c r="E1088" s="28" t="s">
        <v>298</v>
      </c>
      <c r="F1088" s="28" t="s">
        <v>1</v>
      </c>
      <c r="G1088" s="28">
        <v>34.5</v>
      </c>
      <c r="H1088" s="28"/>
      <c r="I1088" s="28">
        <v>34.5</v>
      </c>
      <c r="J1088" s="29">
        <v>9</v>
      </c>
    </row>
    <row r="1089" spans="1:10" x14ac:dyDescent="0.35">
      <c r="A1089" s="26">
        <v>597507</v>
      </c>
      <c r="B1089" s="28">
        <v>0</v>
      </c>
      <c r="C1089" s="27" t="s">
        <v>1388</v>
      </c>
      <c r="D1089" s="28">
        <v>4</v>
      </c>
      <c r="E1089" s="28" t="s">
        <v>298</v>
      </c>
      <c r="F1089" s="28" t="s">
        <v>1</v>
      </c>
      <c r="G1089" s="28">
        <v>23</v>
      </c>
      <c r="H1089" s="28"/>
      <c r="I1089" s="28">
        <v>23</v>
      </c>
      <c r="J1089" s="29">
        <v>22</v>
      </c>
    </row>
    <row r="1090" spans="1:10" x14ac:dyDescent="0.35">
      <c r="A1090" s="26">
        <v>597508</v>
      </c>
      <c r="B1090" s="28">
        <v>0</v>
      </c>
      <c r="C1090" s="27" t="s">
        <v>1389</v>
      </c>
      <c r="D1090" s="28">
        <v>4</v>
      </c>
      <c r="E1090" s="28" t="s">
        <v>298</v>
      </c>
      <c r="F1090" s="28" t="s">
        <v>1</v>
      </c>
      <c r="G1090" s="28">
        <v>23</v>
      </c>
      <c r="H1090" s="28"/>
      <c r="I1090" s="28">
        <v>29</v>
      </c>
      <c r="J1090" s="29">
        <v>9</v>
      </c>
    </row>
    <row r="1091" spans="1:10" x14ac:dyDescent="0.35">
      <c r="A1091" s="26">
        <v>597509</v>
      </c>
      <c r="B1091" s="28">
        <v>0</v>
      </c>
      <c r="C1091" s="27" t="s">
        <v>1390</v>
      </c>
      <c r="D1091" s="28">
        <v>4</v>
      </c>
      <c r="E1091" s="28" t="s">
        <v>298</v>
      </c>
      <c r="F1091" s="28" t="s">
        <v>1</v>
      </c>
      <c r="G1091" s="28">
        <v>24.9</v>
      </c>
      <c r="H1091" s="28"/>
      <c r="I1091" s="28">
        <v>24.9</v>
      </c>
      <c r="J1091" s="29">
        <v>20</v>
      </c>
    </row>
    <row r="1092" spans="1:10" x14ac:dyDescent="0.35">
      <c r="A1092" s="26">
        <v>597510</v>
      </c>
      <c r="B1092" s="28">
        <v>0</v>
      </c>
      <c r="C1092" s="27" t="s">
        <v>1391</v>
      </c>
      <c r="D1092" s="28">
        <v>4</v>
      </c>
      <c r="E1092" s="28" t="s">
        <v>298</v>
      </c>
      <c r="F1092" s="28" t="s">
        <v>1</v>
      </c>
      <c r="G1092" s="28">
        <v>24.9</v>
      </c>
      <c r="H1092" s="28"/>
      <c r="I1092" s="28">
        <v>24.9</v>
      </c>
      <c r="J1092" s="29">
        <v>9</v>
      </c>
    </row>
    <row r="1093" spans="1:10" x14ac:dyDescent="0.35">
      <c r="A1093" s="26">
        <v>597674</v>
      </c>
      <c r="B1093" s="28">
        <v>0</v>
      </c>
      <c r="C1093" s="27" t="s">
        <v>1392</v>
      </c>
      <c r="D1093" s="28">
        <v>4</v>
      </c>
      <c r="E1093" s="28" t="s">
        <v>298</v>
      </c>
      <c r="F1093" s="28" t="s">
        <v>1</v>
      </c>
      <c r="G1093" s="28">
        <v>23</v>
      </c>
      <c r="H1093" s="28"/>
      <c r="I1093" s="28">
        <v>29</v>
      </c>
      <c r="J1093" s="29">
        <v>9</v>
      </c>
    </row>
    <row r="1094" spans="1:10" x14ac:dyDescent="0.35">
      <c r="A1094" s="26">
        <v>597675</v>
      </c>
      <c r="B1094" s="28">
        <v>0</v>
      </c>
      <c r="C1094" s="27" t="s">
        <v>1393</v>
      </c>
      <c r="D1094" s="28">
        <v>4</v>
      </c>
      <c r="E1094" s="28" t="s">
        <v>298</v>
      </c>
      <c r="F1094" s="28" t="s">
        <v>1</v>
      </c>
      <c r="G1094" s="28">
        <v>23</v>
      </c>
      <c r="H1094" s="28"/>
      <c r="I1094" s="28">
        <v>29</v>
      </c>
      <c r="J1094" s="29">
        <v>9</v>
      </c>
    </row>
    <row r="1095" spans="1:10" x14ac:dyDescent="0.35">
      <c r="A1095" s="26">
        <v>597676</v>
      </c>
      <c r="B1095" s="28">
        <v>0</v>
      </c>
      <c r="C1095" s="27" t="s">
        <v>1394</v>
      </c>
      <c r="D1095" s="28">
        <v>4</v>
      </c>
      <c r="E1095" s="28" t="s">
        <v>298</v>
      </c>
      <c r="F1095" s="28" t="s">
        <v>1</v>
      </c>
      <c r="G1095" s="28">
        <v>23</v>
      </c>
      <c r="H1095" s="28"/>
      <c r="I1095" s="28">
        <v>29</v>
      </c>
      <c r="J1095" s="29">
        <v>9</v>
      </c>
    </row>
    <row r="1096" spans="1:10" x14ac:dyDescent="0.35">
      <c r="A1096" s="26">
        <v>597677</v>
      </c>
      <c r="B1096" s="28">
        <v>0</v>
      </c>
      <c r="C1096" s="27" t="s">
        <v>1395</v>
      </c>
      <c r="D1096" s="28">
        <v>12</v>
      </c>
      <c r="E1096" s="28" t="s">
        <v>429</v>
      </c>
      <c r="F1096" s="28" t="s">
        <v>467</v>
      </c>
      <c r="G1096" s="28">
        <v>5.86</v>
      </c>
      <c r="H1096" s="28"/>
      <c r="I1096" s="28">
        <v>5.86</v>
      </c>
      <c r="J1096" s="29">
        <v>29.04</v>
      </c>
    </row>
    <row r="1097" spans="1:10" x14ac:dyDescent="0.35">
      <c r="A1097" s="26">
        <v>599672</v>
      </c>
      <c r="B1097" s="28">
        <v>0</v>
      </c>
      <c r="C1097" s="27" t="s">
        <v>1396</v>
      </c>
      <c r="D1097" s="28">
        <v>4</v>
      </c>
      <c r="E1097" s="28" t="s">
        <v>298</v>
      </c>
      <c r="F1097" s="28" t="s">
        <v>1</v>
      </c>
      <c r="G1097" s="28">
        <v>20</v>
      </c>
      <c r="H1097" s="28"/>
      <c r="I1097" s="28">
        <v>20</v>
      </c>
      <c r="J1097" s="29">
        <v>18.399999999999999</v>
      </c>
    </row>
    <row r="1098" spans="1:10" x14ac:dyDescent="0.35">
      <c r="A1098" s="26">
        <v>601608</v>
      </c>
      <c r="B1098" s="28">
        <v>0</v>
      </c>
      <c r="C1098" s="27" t="s">
        <v>1397</v>
      </c>
      <c r="D1098" s="28">
        <v>4</v>
      </c>
      <c r="E1098" s="28" t="s">
        <v>298</v>
      </c>
      <c r="F1098" s="28" t="s">
        <v>1</v>
      </c>
      <c r="G1098" s="28">
        <v>32</v>
      </c>
      <c r="H1098" s="28"/>
      <c r="I1098" s="28">
        <v>32</v>
      </c>
      <c r="J1098" s="29">
        <v>27</v>
      </c>
    </row>
    <row r="1099" spans="1:10" x14ac:dyDescent="0.35">
      <c r="A1099" s="26">
        <v>601939</v>
      </c>
      <c r="B1099" s="28">
        <v>0</v>
      </c>
      <c r="C1099" s="27" t="s">
        <v>1398</v>
      </c>
      <c r="D1099" s="28">
        <v>4</v>
      </c>
      <c r="E1099" s="28" t="s">
        <v>298</v>
      </c>
      <c r="F1099" s="28" t="s">
        <v>1</v>
      </c>
      <c r="G1099" s="28">
        <v>22</v>
      </c>
      <c r="H1099" s="28"/>
      <c r="I1099" s="28">
        <v>22</v>
      </c>
      <c r="J1099" s="29">
        <v>21</v>
      </c>
    </row>
    <row r="1100" spans="1:10" x14ac:dyDescent="0.35">
      <c r="A1100" s="26">
        <v>602720</v>
      </c>
      <c r="B1100" s="28">
        <v>0</v>
      </c>
      <c r="C1100" s="27" t="s">
        <v>1399</v>
      </c>
      <c r="D1100" s="28">
        <v>4</v>
      </c>
      <c r="E1100" s="28" t="s">
        <v>298</v>
      </c>
      <c r="F1100" s="28" t="s">
        <v>1</v>
      </c>
      <c r="G1100" s="28">
        <v>34.5</v>
      </c>
      <c r="H1100" s="28"/>
      <c r="I1100" s="28">
        <v>32.97</v>
      </c>
      <c r="J1100" s="29">
        <v>22</v>
      </c>
    </row>
    <row r="1101" spans="1:10" x14ac:dyDescent="0.35">
      <c r="A1101" s="26">
        <v>603551</v>
      </c>
      <c r="B1101" s="28">
        <v>0</v>
      </c>
      <c r="C1101" s="27" t="s">
        <v>1400</v>
      </c>
      <c r="D1101" s="28">
        <v>4</v>
      </c>
      <c r="E1101" s="28" t="s">
        <v>298</v>
      </c>
      <c r="F1101" s="28" t="s">
        <v>1</v>
      </c>
      <c r="G1101" s="28">
        <v>20.6</v>
      </c>
      <c r="H1101" s="28"/>
      <c r="I1101" s="28">
        <v>20.6</v>
      </c>
      <c r="J1101" s="29">
        <v>21</v>
      </c>
    </row>
    <row r="1102" spans="1:10" x14ac:dyDescent="0.35">
      <c r="A1102" s="26">
        <v>604327</v>
      </c>
      <c r="B1102" s="28">
        <v>0</v>
      </c>
      <c r="C1102" s="32" t="s">
        <v>1401</v>
      </c>
      <c r="D1102" s="28">
        <v>6</v>
      </c>
      <c r="E1102" s="28" t="s">
        <v>429</v>
      </c>
      <c r="F1102" s="28" t="s">
        <v>1402</v>
      </c>
      <c r="G1102" s="28">
        <v>55.9</v>
      </c>
      <c r="H1102" s="28"/>
      <c r="I1102" s="28">
        <v>55.9</v>
      </c>
      <c r="J1102" s="29">
        <v>37.5</v>
      </c>
    </row>
    <row r="1103" spans="1:10" x14ac:dyDescent="0.35">
      <c r="A1103" s="26">
        <v>604853</v>
      </c>
      <c r="B1103" s="28">
        <v>0</v>
      </c>
      <c r="C1103" s="27" t="s">
        <v>1403</v>
      </c>
      <c r="D1103" s="28">
        <v>4</v>
      </c>
      <c r="E1103" s="28" t="s">
        <v>298</v>
      </c>
      <c r="F1103" s="28" t="s">
        <v>1</v>
      </c>
      <c r="G1103" s="28">
        <v>20.6</v>
      </c>
      <c r="H1103" s="28"/>
      <c r="I1103" s="28">
        <v>20.6</v>
      </c>
      <c r="J1103" s="29">
        <v>22</v>
      </c>
    </row>
    <row r="1104" spans="1:10" x14ac:dyDescent="0.35">
      <c r="A1104" s="26">
        <v>605461</v>
      </c>
      <c r="B1104" s="28">
        <v>0</v>
      </c>
      <c r="C1104" s="27" t="s">
        <v>1404</v>
      </c>
      <c r="D1104" s="28">
        <v>2</v>
      </c>
      <c r="E1104" s="28" t="s">
        <v>864</v>
      </c>
      <c r="F1104" s="28" t="s">
        <v>1175</v>
      </c>
      <c r="G1104" s="28">
        <v>29.5</v>
      </c>
      <c r="H1104" s="28"/>
      <c r="I1104" s="28">
        <v>38.35</v>
      </c>
      <c r="J1104" s="29">
        <v>24</v>
      </c>
    </row>
    <row r="1105" spans="1:10" x14ac:dyDescent="0.35">
      <c r="A1105" s="26">
        <v>605737</v>
      </c>
      <c r="B1105" s="28">
        <v>0</v>
      </c>
      <c r="C1105" s="27" t="s">
        <v>1405</v>
      </c>
      <c r="D1105" s="28">
        <v>12</v>
      </c>
      <c r="E1105" s="28" t="s">
        <v>429</v>
      </c>
      <c r="F1105" s="28" t="s">
        <v>467</v>
      </c>
      <c r="G1105" s="28">
        <v>5.6</v>
      </c>
      <c r="H1105" s="28"/>
      <c r="I1105" s="28">
        <v>5.6</v>
      </c>
      <c r="J1105" s="29">
        <v>28.5</v>
      </c>
    </row>
    <row r="1106" spans="1:10" x14ac:dyDescent="0.35">
      <c r="A1106" s="26">
        <v>606524</v>
      </c>
      <c r="B1106" s="28">
        <v>0</v>
      </c>
      <c r="C1106" s="27" t="s">
        <v>1406</v>
      </c>
      <c r="D1106" s="28">
        <v>12</v>
      </c>
      <c r="E1106" s="28" t="s">
        <v>429</v>
      </c>
      <c r="F1106" s="28" t="s">
        <v>467</v>
      </c>
      <c r="G1106" s="28">
        <v>5.86</v>
      </c>
      <c r="H1106" s="28"/>
      <c r="I1106" s="28">
        <v>5.86</v>
      </c>
      <c r="J1106" s="29">
        <v>28.5</v>
      </c>
    </row>
    <row r="1107" spans="1:10" x14ac:dyDescent="0.35">
      <c r="A1107" s="26">
        <v>606528</v>
      </c>
      <c r="B1107" s="28">
        <v>0</v>
      </c>
      <c r="C1107" s="27" t="s">
        <v>1407</v>
      </c>
      <c r="D1107" s="28">
        <v>12</v>
      </c>
      <c r="E1107" s="28" t="s">
        <v>429</v>
      </c>
      <c r="F1107" s="28" t="s">
        <v>467</v>
      </c>
      <c r="G1107" s="28">
        <v>5.86</v>
      </c>
      <c r="H1107" s="28"/>
      <c r="I1107" s="28">
        <v>5.86</v>
      </c>
      <c r="J1107" s="29">
        <v>28.5</v>
      </c>
    </row>
    <row r="1108" spans="1:10" x14ac:dyDescent="0.35">
      <c r="A1108" s="26">
        <v>606531</v>
      </c>
      <c r="B1108" s="28">
        <v>0</v>
      </c>
      <c r="C1108" s="27" t="s">
        <v>1408</v>
      </c>
      <c r="D1108" s="28">
        <v>12</v>
      </c>
      <c r="E1108" s="28" t="s">
        <v>429</v>
      </c>
      <c r="F1108" s="28" t="s">
        <v>467</v>
      </c>
      <c r="G1108" s="28">
        <v>5.6</v>
      </c>
      <c r="H1108" s="28"/>
      <c r="I1108" s="28">
        <v>5.6</v>
      </c>
      <c r="J1108" s="29">
        <v>28.5</v>
      </c>
    </row>
    <row r="1109" spans="1:10" x14ac:dyDescent="0.35">
      <c r="A1109" s="26">
        <v>606768</v>
      </c>
      <c r="B1109" s="28">
        <v>0</v>
      </c>
      <c r="C1109" s="27" t="s">
        <v>1409</v>
      </c>
      <c r="D1109" s="28">
        <v>4</v>
      </c>
      <c r="E1109" s="28" t="s">
        <v>298</v>
      </c>
      <c r="F1109" s="28" t="s">
        <v>1</v>
      </c>
      <c r="G1109" s="28">
        <v>32</v>
      </c>
      <c r="H1109" s="28"/>
      <c r="I1109" s="28">
        <v>32</v>
      </c>
      <c r="J1109" s="29">
        <v>24</v>
      </c>
    </row>
    <row r="1110" spans="1:10" x14ac:dyDescent="0.35">
      <c r="A1110" s="26">
        <v>606902</v>
      </c>
      <c r="B1110" s="28">
        <v>0</v>
      </c>
      <c r="C1110" s="27" t="s">
        <v>1410</v>
      </c>
      <c r="D1110" s="28">
        <v>4</v>
      </c>
      <c r="E1110" s="28" t="s">
        <v>298</v>
      </c>
      <c r="F1110" s="28" t="s">
        <v>1</v>
      </c>
      <c r="G1110" s="28">
        <v>34.5</v>
      </c>
      <c r="H1110" s="28"/>
      <c r="I1110" s="28">
        <v>34.5</v>
      </c>
      <c r="J1110" s="29">
        <v>9</v>
      </c>
    </row>
    <row r="1111" spans="1:10" x14ac:dyDescent="0.35">
      <c r="A1111" s="26">
        <v>607338</v>
      </c>
      <c r="B1111" s="28">
        <v>0</v>
      </c>
      <c r="C1111" s="27" t="s">
        <v>1411</v>
      </c>
      <c r="D1111" s="28">
        <v>4</v>
      </c>
      <c r="E1111" s="28" t="s">
        <v>298</v>
      </c>
      <c r="F1111" s="28" t="s">
        <v>1</v>
      </c>
      <c r="G1111" s="28">
        <v>23</v>
      </c>
      <c r="H1111" s="28"/>
      <c r="I1111" s="28">
        <v>23</v>
      </c>
      <c r="J1111" s="29">
        <v>23</v>
      </c>
    </row>
    <row r="1112" spans="1:10" x14ac:dyDescent="0.35">
      <c r="A1112" s="26">
        <v>609312</v>
      </c>
      <c r="B1112" s="28">
        <v>0</v>
      </c>
      <c r="C1112" s="27" t="s">
        <v>1412</v>
      </c>
      <c r="D1112" s="28">
        <v>4</v>
      </c>
      <c r="E1112" s="28" t="s">
        <v>298</v>
      </c>
      <c r="F1112" s="28" t="s">
        <v>1</v>
      </c>
      <c r="G1112" s="28">
        <v>35</v>
      </c>
      <c r="H1112" s="28"/>
      <c r="I1112" s="28">
        <v>35</v>
      </c>
      <c r="J1112" s="29">
        <v>9</v>
      </c>
    </row>
    <row r="1113" spans="1:10" x14ac:dyDescent="0.35">
      <c r="A1113" s="26">
        <v>609312</v>
      </c>
      <c r="B1113" s="28">
        <v>0</v>
      </c>
      <c r="C1113" s="27" t="s">
        <v>1413</v>
      </c>
      <c r="D1113" s="28">
        <v>4</v>
      </c>
      <c r="E1113" s="28" t="s">
        <v>298</v>
      </c>
      <c r="F1113" s="28" t="s">
        <v>1</v>
      </c>
      <c r="G1113" s="28">
        <v>34</v>
      </c>
      <c r="H1113" s="28"/>
      <c r="I1113" s="28">
        <v>34</v>
      </c>
      <c r="J1113" s="29">
        <v>9</v>
      </c>
    </row>
    <row r="1114" spans="1:10" x14ac:dyDescent="0.35">
      <c r="A1114" s="26">
        <v>609313</v>
      </c>
      <c r="B1114" s="28">
        <v>0</v>
      </c>
      <c r="C1114" s="27" t="s">
        <v>1414</v>
      </c>
      <c r="D1114" s="28">
        <v>4</v>
      </c>
      <c r="E1114" s="28" t="s">
        <v>298</v>
      </c>
      <c r="F1114" s="28" t="s">
        <v>1</v>
      </c>
      <c r="G1114" s="28">
        <v>35</v>
      </c>
      <c r="H1114" s="28"/>
      <c r="I1114" s="28">
        <v>35</v>
      </c>
      <c r="J1114" s="29">
        <v>9</v>
      </c>
    </row>
    <row r="1115" spans="1:10" x14ac:dyDescent="0.35">
      <c r="A1115" s="26">
        <v>609313</v>
      </c>
      <c r="B1115" s="28">
        <v>0</v>
      </c>
      <c r="C1115" s="27" t="s">
        <v>1415</v>
      </c>
      <c r="D1115" s="28">
        <v>4</v>
      </c>
      <c r="E1115" s="28" t="s">
        <v>298</v>
      </c>
      <c r="F1115" s="28" t="s">
        <v>1</v>
      </c>
      <c r="G1115" s="28">
        <v>33.42</v>
      </c>
      <c r="H1115" s="28"/>
      <c r="I1115" s="28">
        <v>33.42</v>
      </c>
      <c r="J1115" s="29">
        <v>9</v>
      </c>
    </row>
    <row r="1116" spans="1:10" x14ac:dyDescent="0.35">
      <c r="A1116" s="26">
        <v>609314</v>
      </c>
      <c r="B1116" s="28">
        <v>0</v>
      </c>
      <c r="C1116" s="27" t="s">
        <v>1416</v>
      </c>
      <c r="D1116" s="28">
        <v>4</v>
      </c>
      <c r="E1116" s="28" t="s">
        <v>298</v>
      </c>
      <c r="F1116" s="28" t="s">
        <v>1</v>
      </c>
      <c r="G1116" s="28">
        <v>35</v>
      </c>
      <c r="H1116" s="28"/>
      <c r="I1116" s="28">
        <v>35</v>
      </c>
      <c r="J1116" s="29">
        <v>9</v>
      </c>
    </row>
    <row r="1117" spans="1:10" x14ac:dyDescent="0.35">
      <c r="A1117" s="26">
        <v>611846</v>
      </c>
      <c r="B1117" s="28">
        <v>0</v>
      </c>
      <c r="C1117" s="27" t="s">
        <v>1417</v>
      </c>
      <c r="D1117" s="28">
        <v>2</v>
      </c>
      <c r="E1117" s="28" t="s">
        <v>864</v>
      </c>
      <c r="F1117" s="28" t="s">
        <v>1418</v>
      </c>
      <c r="G1117" s="28">
        <v>320</v>
      </c>
      <c r="H1117" s="28"/>
      <c r="I1117" s="28">
        <v>453</v>
      </c>
      <c r="J1117" s="29">
        <v>30</v>
      </c>
    </row>
    <row r="1118" spans="1:10" x14ac:dyDescent="0.35">
      <c r="A1118" s="26">
        <v>611847</v>
      </c>
      <c r="B1118" s="28">
        <v>0</v>
      </c>
      <c r="C1118" s="27" t="s">
        <v>1419</v>
      </c>
      <c r="D1118" s="28"/>
      <c r="E1118" s="28" t="s">
        <v>429</v>
      </c>
      <c r="F1118" s="28" t="s">
        <v>1420</v>
      </c>
      <c r="G1118" s="28">
        <v>15.5</v>
      </c>
      <c r="H1118" s="28"/>
      <c r="I1118" s="28">
        <v>15.5</v>
      </c>
      <c r="J1118" s="29">
        <v>37</v>
      </c>
    </row>
    <row r="1119" spans="1:10" x14ac:dyDescent="0.35">
      <c r="A1119" s="26">
        <v>611949</v>
      </c>
      <c r="B1119" s="28">
        <v>0</v>
      </c>
      <c r="C1119" s="32" t="s">
        <v>10</v>
      </c>
      <c r="D1119" s="28">
        <v>4</v>
      </c>
      <c r="E1119" s="28" t="s">
        <v>298</v>
      </c>
      <c r="F1119" s="28" t="s">
        <v>1</v>
      </c>
      <c r="G1119" s="28">
        <v>23</v>
      </c>
      <c r="H1119" s="28"/>
      <c r="I1119" s="28">
        <v>23</v>
      </c>
      <c r="J1119" s="29">
        <v>22</v>
      </c>
    </row>
    <row r="1120" spans="1:10" x14ac:dyDescent="0.35">
      <c r="A1120" s="26">
        <v>612060</v>
      </c>
      <c r="B1120" s="28">
        <v>0</v>
      </c>
      <c r="C1120" s="32" t="s">
        <v>1421</v>
      </c>
      <c r="D1120" s="28"/>
      <c r="E1120" s="28" t="s">
        <v>429</v>
      </c>
      <c r="F1120" s="28"/>
      <c r="G1120" s="28"/>
      <c r="H1120" s="28"/>
      <c r="I1120" s="28"/>
      <c r="J1120" s="29">
        <v>9</v>
      </c>
    </row>
    <row r="1121" spans="1:10" x14ac:dyDescent="0.35">
      <c r="A1121" s="26">
        <v>612132</v>
      </c>
      <c r="B1121" s="28">
        <v>0</v>
      </c>
      <c r="C1121" s="32" t="s">
        <v>1422</v>
      </c>
      <c r="D1121" s="28"/>
      <c r="E1121" s="28" t="s">
        <v>429</v>
      </c>
      <c r="F1121" s="28"/>
      <c r="G1121" s="28"/>
      <c r="H1121" s="28"/>
      <c r="I1121" s="28"/>
      <c r="J1121" s="29">
        <v>9</v>
      </c>
    </row>
    <row r="1122" spans="1:10" x14ac:dyDescent="0.35">
      <c r="A1122" s="26">
        <v>612135</v>
      </c>
      <c r="B1122" s="28">
        <v>0</v>
      </c>
      <c r="C1122" s="32" t="s">
        <v>1423</v>
      </c>
      <c r="D1122" s="28"/>
      <c r="E1122" s="28" t="s">
        <v>429</v>
      </c>
      <c r="F1122" s="28"/>
      <c r="G1122" s="28"/>
      <c r="H1122" s="28"/>
      <c r="I1122" s="28"/>
      <c r="J1122" s="29">
        <v>9</v>
      </c>
    </row>
    <row r="1123" spans="1:10" x14ac:dyDescent="0.35">
      <c r="A1123" s="26">
        <v>612317</v>
      </c>
      <c r="B1123" s="28">
        <v>0</v>
      </c>
      <c r="C1123" s="32" t="s">
        <v>1424</v>
      </c>
      <c r="D1123" s="28"/>
      <c r="E1123" s="28" t="s">
        <v>429</v>
      </c>
      <c r="F1123" s="28"/>
      <c r="G1123" s="28"/>
      <c r="H1123" s="28"/>
      <c r="I1123" s="28"/>
      <c r="J1123" s="29"/>
    </row>
    <row r="1124" spans="1:10" x14ac:dyDescent="0.35">
      <c r="A1124" s="21">
        <v>613594</v>
      </c>
      <c r="B1124" s="28">
        <v>0</v>
      </c>
      <c r="C1124" s="35" t="s">
        <v>1425</v>
      </c>
      <c r="D1124" s="24">
        <v>1</v>
      </c>
      <c r="E1124" s="24" t="s">
        <v>298</v>
      </c>
      <c r="F1124" s="24" t="s">
        <v>1</v>
      </c>
      <c r="G1124" s="24">
        <v>24</v>
      </c>
      <c r="H1124" s="24"/>
      <c r="I1124" s="24">
        <v>24</v>
      </c>
      <c r="J1124" s="25">
        <v>9</v>
      </c>
    </row>
    <row r="1125" spans="1:10" x14ac:dyDescent="0.35">
      <c r="A1125" s="26">
        <v>616191</v>
      </c>
      <c r="B1125" s="28">
        <v>0</v>
      </c>
      <c r="C1125" s="32" t="s">
        <v>1313</v>
      </c>
      <c r="D1125" s="28">
        <v>1</v>
      </c>
      <c r="E1125" s="28" t="s">
        <v>298</v>
      </c>
      <c r="F1125" s="28" t="s">
        <v>1</v>
      </c>
      <c r="G1125" s="28">
        <v>24</v>
      </c>
      <c r="H1125" s="28"/>
      <c r="I1125" s="28">
        <v>24</v>
      </c>
      <c r="J1125" s="28">
        <v>9</v>
      </c>
    </row>
    <row r="1126" spans="1:10" x14ac:dyDescent="0.35">
      <c r="A1126" s="26">
        <v>616595</v>
      </c>
      <c r="B1126" s="28">
        <v>0</v>
      </c>
      <c r="C1126" s="32" t="s">
        <v>1426</v>
      </c>
      <c r="D1126" s="28">
        <v>4</v>
      </c>
      <c r="E1126" s="28" t="s">
        <v>298</v>
      </c>
      <c r="F1126" s="28" t="s">
        <v>1</v>
      </c>
      <c r="G1126" s="28">
        <v>24.8</v>
      </c>
      <c r="H1126" s="28"/>
      <c r="I1126" s="28">
        <v>24.18</v>
      </c>
      <c r="J1126" s="28">
        <v>18.2</v>
      </c>
    </row>
    <row r="1127" spans="1:10" x14ac:dyDescent="0.35">
      <c r="A1127" s="26">
        <v>617309</v>
      </c>
      <c r="B1127" s="28">
        <v>0</v>
      </c>
      <c r="C1127" s="32" t="s">
        <v>1427</v>
      </c>
      <c r="D1127" s="28">
        <v>4</v>
      </c>
      <c r="E1127" s="28" t="s">
        <v>429</v>
      </c>
      <c r="F1127" s="28" t="s">
        <v>872</v>
      </c>
      <c r="G1127" s="28">
        <v>5.2</v>
      </c>
      <c r="H1127" s="28"/>
      <c r="I1127" s="28">
        <v>5.2</v>
      </c>
      <c r="J1127" s="28">
        <v>17.600000000000001</v>
      </c>
    </row>
    <row r="1128" spans="1:10" x14ac:dyDescent="0.35">
      <c r="A1128" s="26">
        <v>620599</v>
      </c>
      <c r="B1128" s="28">
        <v>0</v>
      </c>
      <c r="C1128" s="32" t="s">
        <v>30</v>
      </c>
      <c r="D1128" s="28">
        <v>4</v>
      </c>
      <c r="E1128" s="28" t="s">
        <v>298</v>
      </c>
      <c r="F1128" s="28" t="s">
        <v>1</v>
      </c>
      <c r="G1128" s="28">
        <v>55</v>
      </c>
      <c r="H1128" s="28"/>
      <c r="I1128" s="28">
        <v>55</v>
      </c>
      <c r="J1128" s="29">
        <v>28</v>
      </c>
    </row>
    <row r="1129" spans="1:10" x14ac:dyDescent="0.35">
      <c r="A1129" s="21">
        <v>666666</v>
      </c>
      <c r="B1129" s="24">
        <v>0</v>
      </c>
      <c r="C1129" s="23" t="s">
        <v>22</v>
      </c>
      <c r="D1129" s="24">
        <v>4</v>
      </c>
      <c r="E1129" s="24" t="s">
        <v>298</v>
      </c>
      <c r="F1129" s="24" t="s">
        <v>1</v>
      </c>
      <c r="G1129" s="24">
        <v>44.9</v>
      </c>
      <c r="H1129" s="24"/>
      <c r="I1129" s="24">
        <v>45</v>
      </c>
      <c r="J1129" s="24">
        <v>32.04</v>
      </c>
    </row>
    <row r="1130" spans="1:10" x14ac:dyDescent="0.35">
      <c r="A1130" s="26">
        <v>555979</v>
      </c>
      <c r="B1130" s="28">
        <v>4</v>
      </c>
      <c r="C1130" s="32" t="s">
        <v>1428</v>
      </c>
      <c r="D1130" s="28">
        <v>6</v>
      </c>
      <c r="E1130" s="28" t="s">
        <v>298</v>
      </c>
      <c r="F1130" s="28" t="s">
        <v>19</v>
      </c>
      <c r="G1130" s="28">
        <v>28</v>
      </c>
      <c r="H1130" s="28"/>
      <c r="I1130" s="28">
        <v>28</v>
      </c>
      <c r="J1130" s="29">
        <v>42</v>
      </c>
    </row>
    <row r="1131" spans="1:10" x14ac:dyDescent="0.35">
      <c r="A1131" s="21">
        <v>555979</v>
      </c>
      <c r="B1131" s="24">
        <v>5</v>
      </c>
      <c r="C1131" s="35" t="s">
        <v>1429</v>
      </c>
      <c r="D1131" s="24">
        <v>6</v>
      </c>
      <c r="E1131" s="24" t="s">
        <v>298</v>
      </c>
      <c r="F1131" s="24" t="s">
        <v>19</v>
      </c>
      <c r="G1131" s="24">
        <v>28</v>
      </c>
      <c r="H1131" s="24"/>
      <c r="I1131" s="24">
        <v>28</v>
      </c>
      <c r="J1131" s="25">
        <v>42</v>
      </c>
    </row>
    <row r="1132" spans="1:10" x14ac:dyDescent="0.35">
      <c r="A1132" s="21">
        <v>620994</v>
      </c>
      <c r="B1132" s="24">
        <v>0</v>
      </c>
      <c r="C1132" s="35" t="s">
        <v>1430</v>
      </c>
      <c r="D1132" s="24">
        <v>4</v>
      </c>
      <c r="E1132" s="24" t="s">
        <v>298</v>
      </c>
      <c r="F1132" s="24" t="s">
        <v>12</v>
      </c>
      <c r="G1132" s="24">
        <v>33</v>
      </c>
      <c r="H1132" s="24"/>
      <c r="I1132" s="24">
        <v>32.74</v>
      </c>
      <c r="J1132" s="25">
        <v>22</v>
      </c>
    </row>
    <row r="1133" spans="1:10" x14ac:dyDescent="0.35">
      <c r="A1133" s="21">
        <v>645098</v>
      </c>
      <c r="B1133" s="24">
        <v>0</v>
      </c>
      <c r="C1133" s="35" t="s">
        <v>1431</v>
      </c>
      <c r="D1133" s="24">
        <v>6</v>
      </c>
      <c r="E1133" s="24" t="s">
        <v>298</v>
      </c>
      <c r="F1133" s="24" t="s">
        <v>19</v>
      </c>
      <c r="G1133" s="24">
        <v>11</v>
      </c>
      <c r="H1133" s="24"/>
      <c r="I1133" s="24">
        <v>11</v>
      </c>
      <c r="J1133" s="25">
        <v>28</v>
      </c>
    </row>
  </sheetData>
  <mergeCells count="1">
    <mergeCell ref="G5:H5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Production Report</vt:lpstr>
      <vt:lpstr>Reference Card</vt:lpstr>
      <vt:lpstr>ReferenceCard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dcterms:created xsi:type="dcterms:W3CDTF">2026-01-28T01:14:24Z</dcterms:created>
  <dcterms:modified xsi:type="dcterms:W3CDTF">2026-01-28T01:42:27Z</dcterms:modified>
</cp:coreProperties>
</file>